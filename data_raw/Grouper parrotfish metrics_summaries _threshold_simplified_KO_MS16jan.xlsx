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9"/>
  <workbookPr showInkAnnotation="0" autoCompressPictures="0"/>
  <mc:AlternateContent xmlns:mc="http://schemas.openxmlformats.org/markup-compatibility/2006">
    <mc:Choice Requires="x15">
      <x15ac:absPath xmlns:x15ac="http://schemas.microsoft.com/office/spreadsheetml/2010/11/ac" url="/Users/melita/Google Drive/CORDIO-projects folders/NORAD 2018/Component 2/Output 2.1_RLE/Technical assessment/Fish-criterion D/Fish-MS-KO/"/>
    </mc:Choice>
  </mc:AlternateContent>
  <xr:revisionPtr revIDLastSave="0" documentId="13_ncr:1_{C306FA1C-5E98-F949-A565-DE93FF2E5AE2}" xr6:coauthVersionLast="36" xr6:coauthVersionMax="36" xr10:uidLastSave="{00000000-0000-0000-0000-000000000000}"/>
  <bookViews>
    <workbookView xWindow="560" yWindow="560" windowWidth="25040" windowHeight="15500" tabRatio="979" xr2:uid="{00000000-000D-0000-FFFF-FFFF00000000}"/>
  </bookViews>
  <sheets>
    <sheet name="summary stats" sheetId="12" r:id="rId1"/>
    <sheet name="thresholds calcs-grouper" sheetId="5" r:id="rId2"/>
    <sheet name="Kisite" sheetId="4" r:id="rId3"/>
    <sheet name="Kiunga" sheetId="7" r:id="rId4"/>
    <sheet name="Mayotte - Saziley" sheetId="6" r:id="rId5"/>
    <sheet name="Reunion- Planch'_Alizes" sheetId="13" r:id="rId6"/>
    <sheet name="Bai Ternay -Seychelles" sheetId="15" r:id="rId7"/>
    <sheet name="Mafia" sheetId="14" r:id="rId8"/>
    <sheet name="Chagos" sheetId="1" r:id="rId9"/>
    <sheet name="Glorieuses" sheetId="3" r:id="rId10"/>
    <sheet name="Glorieuses_raw" sheetId="2" r:id="rId11"/>
  </sheets>
  <definedNames>
    <definedName name="_xlnm._FilterDatabase" localSheetId="6" hidden="1">'Bai Ternay -Seychelles'!$E$2:$I$16</definedName>
    <definedName name="_xlnm._FilterDatabase" localSheetId="10" hidden="1">Glorieuses_raw!$A$2:$AZ$94</definedName>
    <definedName name="_xlnm._FilterDatabase" localSheetId="2" hidden="1">Kisite!$D$31:$F$39</definedName>
    <definedName name="_xlnm._FilterDatabase" localSheetId="5" hidden="1">'Reunion- Planch''_Alizes'!$C$20:$E$33</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9" i="12" l="1"/>
  <c r="D121" i="5"/>
  <c r="F9" i="12" l="1"/>
  <c r="K30" i="5"/>
  <c r="K192" i="5"/>
  <c r="F8" i="12"/>
  <c r="G8" i="12" s="1"/>
  <c r="I8" i="12" s="1"/>
  <c r="AA23" i="15"/>
  <c r="G3" i="15"/>
  <c r="G16" i="15"/>
  <c r="F16" i="15"/>
  <c r="G15" i="15"/>
  <c r="F15" i="15"/>
  <c r="G14" i="15"/>
  <c r="F14" i="15"/>
  <c r="G13" i="15"/>
  <c r="F13" i="15"/>
  <c r="G12" i="15"/>
  <c r="F12" i="15"/>
  <c r="G11" i="15"/>
  <c r="F11" i="15"/>
  <c r="G10" i="15"/>
  <c r="F10" i="15"/>
  <c r="G9" i="15"/>
  <c r="F9" i="15"/>
  <c r="G8" i="15"/>
  <c r="F8" i="15"/>
  <c r="G7" i="15"/>
  <c r="F7" i="15"/>
  <c r="G6" i="15"/>
  <c r="F6" i="15"/>
  <c r="G5" i="15"/>
  <c r="F5" i="15"/>
  <c r="G4" i="15"/>
  <c r="F4" i="15"/>
  <c r="M5" i="15"/>
  <c r="F3" i="15"/>
  <c r="K129" i="5"/>
  <c r="K171" i="5"/>
  <c r="K31" i="5"/>
  <c r="E178" i="5"/>
  <c r="B179" i="5"/>
  <c r="G9" i="12"/>
  <c r="B136" i="5"/>
  <c r="D137" i="5" s="1"/>
  <c r="D138" i="5" s="1"/>
  <c r="D139" i="5" s="1"/>
  <c r="B178" i="5"/>
  <c r="D178" i="5"/>
  <c r="D192" i="5"/>
  <c r="D191" i="5"/>
  <c r="D186" i="5"/>
  <c r="G177" i="5"/>
  <c r="F177" i="5"/>
  <c r="C177" i="5"/>
  <c r="C178" i="5"/>
  <c r="F3" i="12"/>
  <c r="G3" i="12"/>
  <c r="I3" i="12" s="1"/>
  <c r="L3" i="12" s="1"/>
  <c r="L4" i="12"/>
  <c r="F5" i="12"/>
  <c r="G5" i="12" s="1"/>
  <c r="I5" i="12" s="1"/>
  <c r="D171" i="5"/>
  <c r="D170" i="5"/>
  <c r="B159" i="5"/>
  <c r="D164" i="5" s="1"/>
  <c r="D159" i="5"/>
  <c r="E159" i="5"/>
  <c r="E160" i="5" s="1"/>
  <c r="E161" i="5" s="1"/>
  <c r="E162" i="5" s="1"/>
  <c r="D160" i="5"/>
  <c r="D161" i="5" s="1"/>
  <c r="D162" i="5" s="1"/>
  <c r="C158" i="5"/>
  <c r="C159" i="5"/>
  <c r="G158" i="5"/>
  <c r="F158" i="5"/>
  <c r="L6" i="12"/>
  <c r="M4" i="12"/>
  <c r="N18" i="3"/>
  <c r="N17" i="3"/>
  <c r="N16" i="3"/>
  <c r="N15" i="3"/>
  <c r="N14" i="3"/>
  <c r="L18" i="3"/>
  <c r="L17" i="3"/>
  <c r="L16" i="3"/>
  <c r="L15" i="3"/>
  <c r="L14" i="3"/>
  <c r="J18" i="3"/>
  <c r="J17" i="3"/>
  <c r="J16" i="3"/>
  <c r="J15" i="3"/>
  <c r="J14" i="3"/>
  <c r="H18" i="3"/>
  <c r="H17" i="3"/>
  <c r="H16" i="3"/>
  <c r="H15" i="3"/>
  <c r="H14" i="3"/>
  <c r="F18" i="3"/>
  <c r="F17" i="3"/>
  <c r="F16" i="3"/>
  <c r="F15" i="3"/>
  <c r="F14" i="3"/>
  <c r="D15" i="3"/>
  <c r="D16" i="3"/>
  <c r="R16" i="3" s="1"/>
  <c r="D17" i="3"/>
  <c r="D18" i="3"/>
  <c r="R18" i="3" s="1"/>
  <c r="D14" i="3"/>
  <c r="F10" i="12"/>
  <c r="G10" i="12"/>
  <c r="I10" i="12" s="1"/>
  <c r="F6" i="12"/>
  <c r="G6" i="12" s="1"/>
  <c r="I6" i="12" s="1"/>
  <c r="O16" i="14"/>
  <c r="O17" i="14"/>
  <c r="O18" i="14"/>
  <c r="O19" i="14"/>
  <c r="O20" i="14"/>
  <c r="O21" i="14"/>
  <c r="O22" i="14"/>
  <c r="N16" i="14"/>
  <c r="N17" i="14"/>
  <c r="N18" i="14"/>
  <c r="N19" i="14"/>
  <c r="N20" i="14"/>
  <c r="N21" i="14"/>
  <c r="N22" i="14"/>
  <c r="M16" i="14"/>
  <c r="M17" i="14"/>
  <c r="M18" i="14"/>
  <c r="M19" i="14"/>
  <c r="M20" i="14"/>
  <c r="M21" i="14"/>
  <c r="M22" i="14"/>
  <c r="L16" i="14"/>
  <c r="L17" i="14"/>
  <c r="L18" i="14"/>
  <c r="L19" i="14"/>
  <c r="L20" i="14"/>
  <c r="L21" i="14"/>
  <c r="L22" i="14"/>
  <c r="K16" i="14"/>
  <c r="K17" i="14"/>
  <c r="K18" i="14"/>
  <c r="K19" i="14"/>
  <c r="K20" i="14"/>
  <c r="K21" i="14"/>
  <c r="K22" i="14"/>
  <c r="L4" i="14"/>
  <c r="L5" i="14"/>
  <c r="L6" i="14"/>
  <c r="L7" i="14"/>
  <c r="L8" i="14"/>
  <c r="L9" i="14"/>
  <c r="L10" i="14"/>
  <c r="M4" i="14"/>
  <c r="M5" i="14"/>
  <c r="M6" i="14"/>
  <c r="M7" i="14"/>
  <c r="M8" i="14"/>
  <c r="M9" i="14"/>
  <c r="M10" i="14"/>
  <c r="N4" i="14"/>
  <c r="N12" i="14" s="1"/>
  <c r="N5" i="14"/>
  <c r="N6" i="14"/>
  <c r="N7" i="14"/>
  <c r="N8" i="14"/>
  <c r="N9" i="14"/>
  <c r="N10" i="14"/>
  <c r="O4" i="14"/>
  <c r="O5" i="14"/>
  <c r="O6" i="14"/>
  <c r="O7" i="14"/>
  <c r="O8" i="14"/>
  <c r="O9" i="14"/>
  <c r="O10" i="14"/>
  <c r="K4" i="14"/>
  <c r="K5" i="14"/>
  <c r="K6" i="14"/>
  <c r="K7" i="14"/>
  <c r="K8" i="14"/>
  <c r="K9" i="14"/>
  <c r="K10" i="14"/>
  <c r="D153" i="5"/>
  <c r="D152" i="5"/>
  <c r="D148" i="5"/>
  <c r="D147" i="5"/>
  <c r="D136" i="5"/>
  <c r="E136" i="5"/>
  <c r="D140" i="5" s="1"/>
  <c r="C135" i="5"/>
  <c r="C136" i="5" s="1"/>
  <c r="G135" i="5"/>
  <c r="F135" i="5"/>
  <c r="F7" i="12"/>
  <c r="G7" i="12" s="1"/>
  <c r="L18" i="1"/>
  <c r="F4" i="12"/>
  <c r="D80" i="5"/>
  <c r="D79" i="5"/>
  <c r="D106" i="5"/>
  <c r="D105" i="5"/>
  <c r="D98" i="5"/>
  <c r="B101" i="5" s="1"/>
  <c r="D99" i="5"/>
  <c r="E92" i="5"/>
  <c r="E93" i="5"/>
  <c r="E94" i="5" s="1"/>
  <c r="D92" i="5"/>
  <c r="D93" i="5" s="1"/>
  <c r="D94" i="5" s="1"/>
  <c r="G90" i="5"/>
  <c r="F90" i="5"/>
  <c r="C90" i="5"/>
  <c r="D51" i="5"/>
  <c r="D50" i="5"/>
  <c r="D45" i="5"/>
  <c r="D44" i="5"/>
  <c r="E38" i="5"/>
  <c r="E39" i="5" s="1"/>
  <c r="E40" i="5" s="1"/>
  <c r="D38" i="5"/>
  <c r="D39" i="5"/>
  <c r="D40" i="5" s="1"/>
  <c r="G36" i="5"/>
  <c r="F36" i="5"/>
  <c r="C36" i="5"/>
  <c r="G4" i="12"/>
  <c r="D21" i="5"/>
  <c r="B21" i="5"/>
  <c r="D18" i="5"/>
  <c r="F12" i="5"/>
  <c r="D123" i="5"/>
  <c r="D129" i="5"/>
  <c r="D128" i="5"/>
  <c r="D122" i="5"/>
  <c r="E115" i="5"/>
  <c r="E116" i="5"/>
  <c r="E117" i="5" s="1"/>
  <c r="D115" i="5"/>
  <c r="D116" i="5" s="1"/>
  <c r="D117" i="5" s="1"/>
  <c r="G113" i="5"/>
  <c r="F113" i="5"/>
  <c r="C113" i="5"/>
  <c r="D72" i="5"/>
  <c r="B75" i="5" s="1"/>
  <c r="E68" i="5"/>
  <c r="D68" i="5"/>
  <c r="G66" i="5"/>
  <c r="F66" i="5"/>
  <c r="C66" i="5"/>
  <c r="D14" i="5"/>
  <c r="D15" i="5"/>
  <c r="C12" i="5"/>
  <c r="D31" i="5"/>
  <c r="G12" i="5"/>
  <c r="N84" i="6"/>
  <c r="M79" i="6"/>
  <c r="N79" i="6"/>
  <c r="K79" i="6"/>
  <c r="N88" i="6"/>
  <c r="O79" i="6"/>
  <c r="P79" i="6"/>
  <c r="P88" i="6" s="1"/>
  <c r="Q79" i="6"/>
  <c r="BA67" i="6"/>
  <c r="BA66" i="6"/>
  <c r="BA65" i="6"/>
  <c r="BA64" i="6"/>
  <c r="BA63" i="6"/>
  <c r="AX67" i="6"/>
  <c r="AX66" i="6"/>
  <c r="AX65" i="6"/>
  <c r="AX64" i="6"/>
  <c r="AX63" i="6"/>
  <c r="AU67" i="6"/>
  <c r="AU66" i="6"/>
  <c r="AU65" i="6"/>
  <c r="AU64" i="6"/>
  <c r="AU63" i="6"/>
  <c r="AR67" i="6"/>
  <c r="AR66" i="6"/>
  <c r="AR65" i="6"/>
  <c r="AR64" i="6"/>
  <c r="AR63" i="6"/>
  <c r="AO67" i="6"/>
  <c r="AO66" i="6"/>
  <c r="AO65" i="6"/>
  <c r="AO64" i="6"/>
  <c r="AO63" i="6"/>
  <c r="AL67" i="6"/>
  <c r="AL66" i="6"/>
  <c r="AL65" i="6"/>
  <c r="AL64" i="6"/>
  <c r="AL63" i="6"/>
  <c r="AI67" i="6"/>
  <c r="AI66" i="6"/>
  <c r="AI65" i="6"/>
  <c r="AI64" i="6"/>
  <c r="AI63" i="6"/>
  <c r="AF67" i="6"/>
  <c r="AF66" i="6"/>
  <c r="AF65" i="6"/>
  <c r="AF64" i="6"/>
  <c r="AF63" i="6"/>
  <c r="AC67" i="6"/>
  <c r="AC66" i="6"/>
  <c r="AC65" i="6"/>
  <c r="AC64" i="6"/>
  <c r="AC63" i="6"/>
  <c r="Z67" i="6"/>
  <c r="Z66" i="6"/>
  <c r="Z65" i="6"/>
  <c r="Z64" i="6"/>
  <c r="Z63" i="6"/>
  <c r="W67" i="6"/>
  <c r="W66" i="6"/>
  <c r="W65" i="6"/>
  <c r="W64" i="6"/>
  <c r="W63" i="6"/>
  <c r="T67" i="6"/>
  <c r="T66" i="6"/>
  <c r="T65" i="6"/>
  <c r="T64" i="6"/>
  <c r="T63" i="6"/>
  <c r="Q67" i="6"/>
  <c r="Q66" i="6"/>
  <c r="Q65" i="6"/>
  <c r="Q64" i="6"/>
  <c r="Q63" i="6"/>
  <c r="N67" i="6"/>
  <c r="N66" i="6"/>
  <c r="N65" i="6"/>
  <c r="N64" i="6"/>
  <c r="N63" i="6"/>
  <c r="K67" i="6"/>
  <c r="K66" i="6"/>
  <c r="K65" i="6"/>
  <c r="K64" i="6"/>
  <c r="K63" i="6"/>
  <c r="H67" i="6"/>
  <c r="H66" i="6"/>
  <c r="H65" i="6"/>
  <c r="H64" i="6"/>
  <c r="H63" i="6"/>
  <c r="E67" i="6"/>
  <c r="E66" i="6"/>
  <c r="E65" i="6"/>
  <c r="E64" i="6"/>
  <c r="E63" i="6"/>
  <c r="N73" i="6"/>
  <c r="K73" i="6"/>
  <c r="O73" i="6"/>
  <c r="P73" i="6"/>
  <c r="Q73" i="6"/>
  <c r="Q82" i="6" s="1"/>
  <c r="N74" i="6"/>
  <c r="N83" i="6" s="1"/>
  <c r="K74" i="6"/>
  <c r="O74" i="6"/>
  <c r="P74" i="6"/>
  <c r="Q74" i="6"/>
  <c r="O84" i="6"/>
  <c r="P84" i="6"/>
  <c r="Q84" i="6"/>
  <c r="N76" i="6"/>
  <c r="N85" i="6" s="1"/>
  <c r="K76" i="6"/>
  <c r="O76" i="6"/>
  <c r="O85" i="6" s="1"/>
  <c r="P76" i="6"/>
  <c r="P85" i="6" s="1"/>
  <c r="Q76" i="6"/>
  <c r="Q85" i="6" s="1"/>
  <c r="N77" i="6"/>
  <c r="N86" i="6" s="1"/>
  <c r="K77" i="6"/>
  <c r="Q77" i="6"/>
  <c r="Q86" i="6" s="1"/>
  <c r="O77" i="6"/>
  <c r="P77" i="6"/>
  <c r="N78" i="6"/>
  <c r="N87" i="6" s="1"/>
  <c r="K78" i="6"/>
  <c r="O78" i="6"/>
  <c r="O87" i="6" s="1"/>
  <c r="P78" i="6"/>
  <c r="Q78" i="6"/>
  <c r="Q87" i="6"/>
  <c r="M74" i="6"/>
  <c r="M84" i="6"/>
  <c r="M76" i="6"/>
  <c r="M77" i="6"/>
  <c r="M86" i="6" s="1"/>
  <c r="M78" i="6"/>
  <c r="M87" i="6" s="1"/>
  <c r="M73" i="6"/>
  <c r="M82" i="6" s="1"/>
  <c r="T58" i="6"/>
  <c r="T57" i="6"/>
  <c r="T56" i="6"/>
  <c r="T55" i="6"/>
  <c r="T54" i="6"/>
  <c r="Q58" i="6"/>
  <c r="Q57" i="6"/>
  <c r="Q56" i="6"/>
  <c r="Q55" i="6"/>
  <c r="Q54" i="6"/>
  <c r="N58" i="6"/>
  <c r="N57" i="6"/>
  <c r="N56" i="6"/>
  <c r="N55" i="6"/>
  <c r="N54" i="6"/>
  <c r="K58" i="6"/>
  <c r="K57" i="6"/>
  <c r="K56" i="6"/>
  <c r="K55" i="6"/>
  <c r="K54" i="6"/>
  <c r="H58" i="6"/>
  <c r="H57" i="6"/>
  <c r="H56" i="6"/>
  <c r="H55" i="6"/>
  <c r="H54" i="6"/>
  <c r="E58" i="6"/>
  <c r="E57" i="6"/>
  <c r="E56" i="6"/>
  <c r="E55" i="6"/>
  <c r="E54" i="6"/>
  <c r="BN48" i="6"/>
  <c r="BN47" i="6"/>
  <c r="BN46" i="6"/>
  <c r="BN45" i="6"/>
  <c r="BN44" i="6"/>
  <c r="BJ48" i="6"/>
  <c r="BJ47" i="6"/>
  <c r="BJ46" i="6"/>
  <c r="BJ45" i="6"/>
  <c r="BJ44" i="6"/>
  <c r="BB45" i="6"/>
  <c r="BB46" i="6"/>
  <c r="BB47" i="6"/>
  <c r="BB48" i="6"/>
  <c r="BB44" i="6"/>
  <c r="BF48" i="6"/>
  <c r="BF47" i="6"/>
  <c r="BF46" i="6"/>
  <c r="BF45" i="6"/>
  <c r="BF44" i="6"/>
  <c r="AY48" i="6"/>
  <c r="AY47" i="6"/>
  <c r="AY46" i="6"/>
  <c r="AY45" i="6"/>
  <c r="AY44" i="6"/>
  <c r="AU48" i="6"/>
  <c r="AU47" i="6"/>
  <c r="AU46" i="6"/>
  <c r="AU45" i="6"/>
  <c r="AU44" i="6"/>
  <c r="AQ48" i="6"/>
  <c r="AQ47" i="6"/>
  <c r="AQ46" i="6"/>
  <c r="AQ45" i="6"/>
  <c r="AQ44" i="6"/>
  <c r="AM48" i="6"/>
  <c r="AM47" i="6"/>
  <c r="AM46" i="6"/>
  <c r="AM45" i="6"/>
  <c r="AM44" i="6"/>
  <c r="AI48" i="6"/>
  <c r="AI47" i="6"/>
  <c r="AI46" i="6"/>
  <c r="AI45" i="6"/>
  <c r="AI44" i="6"/>
  <c r="AF45" i="6"/>
  <c r="AF46" i="6"/>
  <c r="AF47" i="6"/>
  <c r="AF48" i="6"/>
  <c r="AF44" i="6"/>
  <c r="AC48" i="6"/>
  <c r="AC47" i="6"/>
  <c r="AC46" i="6"/>
  <c r="AC45" i="6"/>
  <c r="AC44" i="6"/>
  <c r="Y48" i="6"/>
  <c r="Y47" i="6"/>
  <c r="Y46" i="6"/>
  <c r="Y45" i="6"/>
  <c r="Y44" i="6"/>
  <c r="U48" i="6"/>
  <c r="U47" i="6"/>
  <c r="U46" i="6"/>
  <c r="U45" i="6"/>
  <c r="U44" i="6"/>
  <c r="Q45" i="6"/>
  <c r="Q46" i="6"/>
  <c r="Q47" i="6"/>
  <c r="Q48" i="6"/>
  <c r="Q44" i="6"/>
  <c r="M48" i="6"/>
  <c r="M47" i="6"/>
  <c r="M46" i="6"/>
  <c r="M45" i="6"/>
  <c r="M44" i="6"/>
  <c r="J48" i="6"/>
  <c r="J47" i="6"/>
  <c r="J46" i="6"/>
  <c r="J45" i="6"/>
  <c r="J44" i="6"/>
  <c r="F48" i="6"/>
  <c r="F47" i="6"/>
  <c r="F46" i="6"/>
  <c r="F45" i="6"/>
  <c r="F44" i="6"/>
  <c r="AU39" i="6"/>
  <c r="AU38" i="6"/>
  <c r="AU37" i="6"/>
  <c r="AU36" i="6"/>
  <c r="AU35" i="6"/>
  <c r="AR39" i="6"/>
  <c r="AR38" i="6"/>
  <c r="AR37" i="6"/>
  <c r="AR36" i="6"/>
  <c r="AR35" i="6"/>
  <c r="AO39" i="6"/>
  <c r="AO38" i="6"/>
  <c r="AO37" i="6"/>
  <c r="AO36" i="6"/>
  <c r="AO35" i="6"/>
  <c r="AK39" i="6"/>
  <c r="AK38" i="6"/>
  <c r="AK37" i="6"/>
  <c r="AK36" i="6"/>
  <c r="AK35" i="6"/>
  <c r="AG39" i="6"/>
  <c r="AG38" i="6"/>
  <c r="AG37" i="6"/>
  <c r="AG36" i="6"/>
  <c r="AG35" i="6"/>
  <c r="AC39" i="6"/>
  <c r="AC38" i="6"/>
  <c r="AC37" i="6"/>
  <c r="AC36" i="6"/>
  <c r="AC35" i="6"/>
  <c r="Y39" i="6"/>
  <c r="Y38" i="6"/>
  <c r="Y37" i="6"/>
  <c r="Y36" i="6"/>
  <c r="Y35" i="6"/>
  <c r="U39" i="6"/>
  <c r="U38" i="6"/>
  <c r="U37" i="6"/>
  <c r="U36" i="6"/>
  <c r="U35" i="6"/>
  <c r="Q39" i="6"/>
  <c r="Q38" i="6"/>
  <c r="Q37" i="6"/>
  <c r="Q36" i="6"/>
  <c r="Q35" i="6"/>
  <c r="N39" i="6"/>
  <c r="N38" i="6"/>
  <c r="N37" i="6"/>
  <c r="N36" i="6"/>
  <c r="N35" i="6"/>
  <c r="K39" i="6"/>
  <c r="K38" i="6"/>
  <c r="K37" i="6"/>
  <c r="K36" i="6"/>
  <c r="K35" i="6"/>
  <c r="H39" i="6"/>
  <c r="H38" i="6"/>
  <c r="H37" i="6"/>
  <c r="H36" i="6"/>
  <c r="H35" i="6"/>
  <c r="E39" i="6"/>
  <c r="E38" i="6"/>
  <c r="E37" i="6"/>
  <c r="E36" i="6"/>
  <c r="E35" i="6"/>
  <c r="R29" i="6"/>
  <c r="R28" i="6"/>
  <c r="R27" i="6"/>
  <c r="R26" i="6"/>
  <c r="R25" i="6"/>
  <c r="P29" i="6"/>
  <c r="P28" i="6"/>
  <c r="P27" i="6"/>
  <c r="P26" i="6"/>
  <c r="P25" i="6"/>
  <c r="K29" i="6"/>
  <c r="K28" i="6"/>
  <c r="K27" i="6"/>
  <c r="K26" i="6"/>
  <c r="K25" i="6"/>
  <c r="I29" i="6"/>
  <c r="I28" i="6"/>
  <c r="I27" i="6"/>
  <c r="I26" i="6"/>
  <c r="I25" i="6"/>
  <c r="N29" i="6"/>
  <c r="N28" i="6"/>
  <c r="N27" i="6"/>
  <c r="N26" i="6"/>
  <c r="N25" i="6"/>
  <c r="G29" i="6"/>
  <c r="G28" i="6"/>
  <c r="G27" i="6"/>
  <c r="G26" i="6"/>
  <c r="G25" i="6"/>
  <c r="D29" i="6"/>
  <c r="D28" i="6"/>
  <c r="D27" i="6"/>
  <c r="D26" i="6"/>
  <c r="D25" i="6"/>
  <c r="AG19" i="6"/>
  <c r="AG18" i="6"/>
  <c r="AG17" i="6"/>
  <c r="AG16" i="6"/>
  <c r="AG15" i="6"/>
  <c r="AE19" i="6"/>
  <c r="AE18" i="6"/>
  <c r="AE17" i="6"/>
  <c r="AE16" i="6"/>
  <c r="AE15" i="6"/>
  <c r="AA19" i="6"/>
  <c r="AA18" i="6"/>
  <c r="AA17" i="6"/>
  <c r="AA16" i="6"/>
  <c r="AA15" i="6"/>
  <c r="X19" i="6"/>
  <c r="X18" i="6"/>
  <c r="X17" i="6"/>
  <c r="X16" i="6"/>
  <c r="X15" i="6"/>
  <c r="U16" i="6"/>
  <c r="U17" i="6"/>
  <c r="U18" i="6"/>
  <c r="U19" i="6"/>
  <c r="U15" i="6"/>
  <c r="R19" i="6"/>
  <c r="R18" i="6"/>
  <c r="R17" i="6"/>
  <c r="R16" i="6"/>
  <c r="R15" i="6"/>
  <c r="N19" i="6"/>
  <c r="N18" i="6"/>
  <c r="N17" i="6"/>
  <c r="N16" i="6"/>
  <c r="N15" i="6"/>
  <c r="J19" i="6"/>
  <c r="J18" i="6"/>
  <c r="J17" i="6"/>
  <c r="J16" i="6"/>
  <c r="J15" i="6"/>
  <c r="F19" i="6"/>
  <c r="F18" i="6"/>
  <c r="F17" i="6"/>
  <c r="F16" i="6"/>
  <c r="F15" i="6"/>
  <c r="D19" i="6"/>
  <c r="D18" i="6"/>
  <c r="D17" i="6"/>
  <c r="D16" i="6"/>
  <c r="D15" i="6"/>
  <c r="F6" i="6"/>
  <c r="J6" i="6"/>
  <c r="BQ6" i="6" s="1"/>
  <c r="N6" i="6"/>
  <c r="P6" i="6"/>
  <c r="T6" i="6"/>
  <c r="X6" i="6"/>
  <c r="AB6" i="6"/>
  <c r="AJ6" i="6"/>
  <c r="AN6" i="6"/>
  <c r="AR6" i="6"/>
  <c r="AV6" i="6"/>
  <c r="AZ6" i="6"/>
  <c r="BD6" i="6"/>
  <c r="BP6" i="6"/>
  <c r="F7" i="6"/>
  <c r="J7" i="6"/>
  <c r="N7" i="6"/>
  <c r="BQ7" i="6" s="1"/>
  <c r="P7" i="6"/>
  <c r="T7" i="6"/>
  <c r="X7" i="6"/>
  <c r="AB7" i="6"/>
  <c r="AJ7" i="6"/>
  <c r="AN7" i="6"/>
  <c r="AR7" i="6"/>
  <c r="AV7" i="6"/>
  <c r="AZ7" i="6"/>
  <c r="BD7" i="6"/>
  <c r="BP7" i="6"/>
  <c r="F8" i="6"/>
  <c r="J8" i="6"/>
  <c r="N8" i="6"/>
  <c r="T8" i="6"/>
  <c r="X8" i="6"/>
  <c r="AB8" i="6"/>
  <c r="AJ8" i="6"/>
  <c r="AN8" i="6"/>
  <c r="AR8" i="6"/>
  <c r="AV8" i="6"/>
  <c r="AZ8" i="6"/>
  <c r="BD8" i="6"/>
  <c r="BP8" i="6"/>
  <c r="F9" i="6"/>
  <c r="BQ9" i="6" s="1"/>
  <c r="J9" i="6"/>
  <c r="N9" i="6"/>
  <c r="P9" i="6"/>
  <c r="T9" i="6"/>
  <c r="X9" i="6"/>
  <c r="AB9" i="6"/>
  <c r="AJ9" i="6"/>
  <c r="AN9" i="6"/>
  <c r="AR9" i="6"/>
  <c r="AV9" i="6"/>
  <c r="AZ9" i="6"/>
  <c r="BD9" i="6"/>
  <c r="BP9" i="6"/>
  <c r="BP5" i="6"/>
  <c r="BL9" i="6"/>
  <c r="BL8" i="6"/>
  <c r="BL7" i="6"/>
  <c r="BL6" i="6"/>
  <c r="BL5" i="6"/>
  <c r="BH9" i="6"/>
  <c r="BH8" i="6"/>
  <c r="BH7" i="6"/>
  <c r="BH6" i="6"/>
  <c r="BH5" i="6"/>
  <c r="BD5" i="6"/>
  <c r="AZ5" i="6"/>
  <c r="AV5" i="6"/>
  <c r="AR5" i="6"/>
  <c r="AN5" i="6"/>
  <c r="AJ5" i="6"/>
  <c r="AF9" i="6"/>
  <c r="AF8" i="6"/>
  <c r="AF7" i="6"/>
  <c r="AF6" i="6"/>
  <c r="AF5" i="6"/>
  <c r="AB5" i="6"/>
  <c r="X5" i="6"/>
  <c r="T5" i="6"/>
  <c r="P8" i="6"/>
  <c r="P5" i="6"/>
  <c r="N5" i="6"/>
  <c r="F5" i="6"/>
  <c r="J5" i="6"/>
  <c r="D30" i="5"/>
  <c r="E14" i="5"/>
  <c r="E15" i="5" s="1"/>
  <c r="C22" i="1"/>
  <c r="AB20" i="4"/>
  <c r="AB21" i="4"/>
  <c r="AB22" i="4"/>
  <c r="AB23" i="4"/>
  <c r="AB19" i="4"/>
  <c r="AA20" i="4"/>
  <c r="AA21" i="4"/>
  <c r="AA22" i="4"/>
  <c r="AA23" i="4"/>
  <c r="E39" i="4"/>
  <c r="AA19" i="4"/>
  <c r="AA12" i="4"/>
  <c r="AB12" i="4"/>
  <c r="AA13" i="4"/>
  <c r="AB13" i="4"/>
  <c r="AA14" i="4"/>
  <c r="AB14" i="4"/>
  <c r="AA15" i="4"/>
  <c r="K43" i="4" s="1"/>
  <c r="AB15" i="4"/>
  <c r="L43" i="4" s="1"/>
  <c r="AB11" i="4"/>
  <c r="AA11" i="4"/>
  <c r="M18" i="3"/>
  <c r="K18" i="3"/>
  <c r="I18" i="3"/>
  <c r="G18" i="3"/>
  <c r="E18" i="3"/>
  <c r="M17" i="3"/>
  <c r="K17" i="3"/>
  <c r="I17" i="3"/>
  <c r="G17" i="3"/>
  <c r="E17" i="3"/>
  <c r="M16" i="3"/>
  <c r="K16" i="3"/>
  <c r="I16" i="3"/>
  <c r="G16" i="3"/>
  <c r="E16" i="3"/>
  <c r="M15" i="3"/>
  <c r="K15" i="3"/>
  <c r="I15" i="3"/>
  <c r="G15" i="3"/>
  <c r="E15" i="3"/>
  <c r="M14" i="3"/>
  <c r="K14" i="3"/>
  <c r="I14" i="3"/>
  <c r="G14" i="3"/>
  <c r="E14" i="3"/>
  <c r="C15" i="3"/>
  <c r="Q15" i="3" s="1"/>
  <c r="C16" i="3"/>
  <c r="Q16" i="3" s="1"/>
  <c r="C17" i="3"/>
  <c r="Q17" i="3" s="1"/>
  <c r="C18" i="3"/>
  <c r="Q18" i="3" s="1"/>
  <c r="C14" i="3"/>
  <c r="Q14" i="3"/>
  <c r="E94" i="2"/>
  <c r="K94" i="2" s="1"/>
  <c r="G94" i="2"/>
  <c r="I94" i="2"/>
  <c r="D94" i="2"/>
  <c r="F94" i="2"/>
  <c r="H94" i="2"/>
  <c r="M94" i="2"/>
  <c r="O94" i="2"/>
  <c r="Q94" i="2"/>
  <c r="L94" i="2"/>
  <c r="N94" i="2"/>
  <c r="R94" i="2" s="1"/>
  <c r="P94" i="2"/>
  <c r="AK94" i="2"/>
  <c r="AM94" i="2"/>
  <c r="AQ94" i="2" s="1"/>
  <c r="AO94" i="2"/>
  <c r="AJ94" i="2"/>
  <c r="AL94" i="2"/>
  <c r="AP94" i="2" s="1"/>
  <c r="AN94" i="2"/>
  <c r="AS94" i="2"/>
  <c r="AU94" i="2"/>
  <c r="AW94" i="2"/>
  <c r="AR94" i="2"/>
  <c r="AX94" i="2" s="1"/>
  <c r="AT94" i="2"/>
  <c r="AV94" i="2"/>
  <c r="AS72" i="2"/>
  <c r="AU72" i="2"/>
  <c r="AY72" i="2"/>
  <c r="AW72" i="2"/>
  <c r="AR72" i="2"/>
  <c r="AT72" i="2"/>
  <c r="AX72" i="2"/>
  <c r="AV72" i="2"/>
  <c r="AK72" i="2"/>
  <c r="AM72" i="2"/>
  <c r="AQ72" i="2"/>
  <c r="AO72" i="2"/>
  <c r="AJ72" i="2"/>
  <c r="AL72" i="2"/>
  <c r="AP72" i="2"/>
  <c r="AN72" i="2"/>
  <c r="AC72" i="2"/>
  <c r="AE72" i="2"/>
  <c r="AG72" i="2"/>
  <c r="AI72" i="2" s="1"/>
  <c r="AB72" i="2"/>
  <c r="AD72" i="2"/>
  <c r="AF72" i="2"/>
  <c r="U72" i="2"/>
  <c r="AA72" i="2" s="1"/>
  <c r="W72" i="2"/>
  <c r="Y72" i="2"/>
  <c r="T72" i="2"/>
  <c r="V72" i="2"/>
  <c r="X72" i="2"/>
  <c r="Z72" i="2" s="1"/>
  <c r="M72" i="2"/>
  <c r="O72" i="2"/>
  <c r="Q72" i="2"/>
  <c r="L72" i="2"/>
  <c r="R72" i="2" s="1"/>
  <c r="N72" i="2"/>
  <c r="P72" i="2"/>
  <c r="E72" i="2"/>
  <c r="G72" i="2"/>
  <c r="I72" i="2"/>
  <c r="D72" i="2"/>
  <c r="J72" i="2"/>
  <c r="F72" i="2"/>
  <c r="H72" i="2"/>
  <c r="AS55" i="2"/>
  <c r="AY55" i="2"/>
  <c r="AU55" i="2"/>
  <c r="AW55" i="2"/>
  <c r="AR55" i="2"/>
  <c r="AX55" i="2"/>
  <c r="AT55" i="2"/>
  <c r="AV55" i="2"/>
  <c r="AK55" i="2"/>
  <c r="AM55" i="2"/>
  <c r="AQ55" i="2" s="1"/>
  <c r="AO55" i="2"/>
  <c r="AJ55" i="2"/>
  <c r="AL55" i="2"/>
  <c r="AP55" i="2" s="1"/>
  <c r="AN55" i="2"/>
  <c r="AC55" i="2"/>
  <c r="AE55" i="2"/>
  <c r="AI55" i="2" s="1"/>
  <c r="AG55" i="2"/>
  <c r="AB55" i="2"/>
  <c r="AD55" i="2"/>
  <c r="AH55" i="2" s="1"/>
  <c r="AF55" i="2"/>
  <c r="U55" i="2"/>
  <c r="W55" i="2"/>
  <c r="AA55" i="2" s="1"/>
  <c r="Y55" i="2"/>
  <c r="T55" i="2"/>
  <c r="V55" i="2"/>
  <c r="Z55" i="2" s="1"/>
  <c r="X55" i="2"/>
  <c r="M55" i="2"/>
  <c r="O55" i="2"/>
  <c r="Q55" i="2"/>
  <c r="L55" i="2"/>
  <c r="R55" i="2" s="1"/>
  <c r="N55" i="2"/>
  <c r="P55" i="2"/>
  <c r="E55" i="2"/>
  <c r="G55" i="2"/>
  <c r="I55" i="2"/>
  <c r="D55" i="2"/>
  <c r="J55" i="2" s="1"/>
  <c r="F55" i="2"/>
  <c r="H55" i="2"/>
  <c r="AS45" i="2"/>
  <c r="AY45" i="2" s="1"/>
  <c r="AU45" i="2"/>
  <c r="AW45" i="2"/>
  <c r="AR45" i="2"/>
  <c r="AX45" i="2" s="1"/>
  <c r="AT45" i="2"/>
  <c r="AV45" i="2"/>
  <c r="AK45" i="2"/>
  <c r="AQ45" i="2" s="1"/>
  <c r="AM45" i="2"/>
  <c r="AO45" i="2"/>
  <c r="AJ45" i="2"/>
  <c r="AL45" i="2"/>
  <c r="AN45" i="2"/>
  <c r="AC45" i="2"/>
  <c r="AE45" i="2"/>
  <c r="AG45" i="2"/>
  <c r="AB45" i="2"/>
  <c r="AH45" i="2"/>
  <c r="AD45" i="2"/>
  <c r="AF45" i="2"/>
  <c r="U45" i="2"/>
  <c r="AA45" i="2"/>
  <c r="W45" i="2"/>
  <c r="Y45" i="2"/>
  <c r="T45" i="2"/>
  <c r="V45" i="2"/>
  <c r="X45" i="2"/>
  <c r="M45" i="2"/>
  <c r="O45" i="2"/>
  <c r="S45" i="2"/>
  <c r="Q45" i="2"/>
  <c r="L45" i="2"/>
  <c r="N45" i="2"/>
  <c r="R45" i="2"/>
  <c r="P45" i="2"/>
  <c r="E45" i="2"/>
  <c r="G45" i="2"/>
  <c r="I45" i="2"/>
  <c r="D45" i="2"/>
  <c r="F45" i="2"/>
  <c r="H45" i="2"/>
  <c r="AS26" i="2"/>
  <c r="AU26" i="2"/>
  <c r="AW26" i="2"/>
  <c r="AR26" i="2"/>
  <c r="AT26" i="2"/>
  <c r="AV26" i="2"/>
  <c r="AK26" i="2"/>
  <c r="AM26" i="2"/>
  <c r="AO26" i="2"/>
  <c r="AJ26" i="2"/>
  <c r="AL26" i="2"/>
  <c r="AN26" i="2"/>
  <c r="AP26" i="2" s="1"/>
  <c r="AC26" i="2"/>
  <c r="AE26" i="2"/>
  <c r="AG26" i="2"/>
  <c r="AI26" i="2" s="1"/>
  <c r="AB26" i="2"/>
  <c r="AD26" i="2"/>
  <c r="AF26" i="2"/>
  <c r="AH26" i="2" s="1"/>
  <c r="U26" i="2"/>
  <c r="AA26" i="2" s="1"/>
  <c r="W26" i="2"/>
  <c r="Y26" i="2"/>
  <c r="T26" i="2"/>
  <c r="V26" i="2"/>
  <c r="X26" i="2"/>
  <c r="M26" i="2"/>
  <c r="O26" i="2"/>
  <c r="Q26" i="2"/>
  <c r="L26" i="2"/>
  <c r="R26" i="2"/>
  <c r="N26" i="2"/>
  <c r="P26" i="2"/>
  <c r="E26" i="2"/>
  <c r="K26" i="2"/>
  <c r="G26" i="2"/>
  <c r="I26" i="2"/>
  <c r="D26" i="2"/>
  <c r="F26" i="2"/>
  <c r="H26" i="2"/>
  <c r="T94" i="2"/>
  <c r="U94" i="2"/>
  <c r="V94" i="2"/>
  <c r="W94" i="2"/>
  <c r="X94" i="2"/>
  <c r="Y94" i="2"/>
  <c r="Z94" i="2"/>
  <c r="AA94" i="2"/>
  <c r="AB94" i="2"/>
  <c r="AC94" i="2"/>
  <c r="AD94" i="2"/>
  <c r="AE94" i="2"/>
  <c r="AF94" i="2"/>
  <c r="AG94" i="2"/>
  <c r="AH94" i="2"/>
  <c r="AI94" i="2"/>
  <c r="D22" i="1"/>
  <c r="D23" i="1"/>
  <c r="D24" i="1"/>
  <c r="D25" i="1"/>
  <c r="D26" i="1"/>
  <c r="D27" i="1"/>
  <c r="D37" i="1" s="1"/>
  <c r="D28" i="1"/>
  <c r="D29" i="1"/>
  <c r="D30" i="1"/>
  <c r="D31" i="1"/>
  <c r="D32" i="1"/>
  <c r="D33" i="1"/>
  <c r="D34" i="1"/>
  <c r="E22" i="1"/>
  <c r="E23" i="1"/>
  <c r="E24" i="1"/>
  <c r="E25" i="1"/>
  <c r="E26" i="1"/>
  <c r="E27" i="1"/>
  <c r="E28" i="1"/>
  <c r="E29" i="1"/>
  <c r="E30" i="1"/>
  <c r="E31" i="1"/>
  <c r="E32" i="1"/>
  <c r="E33" i="1"/>
  <c r="E34" i="1"/>
  <c r="F22" i="1"/>
  <c r="F23" i="1"/>
  <c r="F24" i="1"/>
  <c r="F25" i="1"/>
  <c r="F26" i="1"/>
  <c r="F27" i="1"/>
  <c r="F28" i="1"/>
  <c r="F29" i="1"/>
  <c r="F30" i="1"/>
  <c r="F31" i="1"/>
  <c r="F32" i="1"/>
  <c r="F33" i="1"/>
  <c r="F34" i="1"/>
  <c r="G22" i="1"/>
  <c r="G23" i="1"/>
  <c r="G24" i="1"/>
  <c r="G37" i="1" s="1"/>
  <c r="G25" i="1"/>
  <c r="G26" i="1"/>
  <c r="G27" i="1"/>
  <c r="G28" i="1"/>
  <c r="G29" i="1"/>
  <c r="G30" i="1"/>
  <c r="G31" i="1"/>
  <c r="G32" i="1"/>
  <c r="G33" i="1"/>
  <c r="G34" i="1"/>
  <c r="H22" i="1"/>
  <c r="H37" i="1" s="1"/>
  <c r="H23" i="1"/>
  <c r="H24" i="1"/>
  <c r="H25" i="1"/>
  <c r="H26" i="1"/>
  <c r="H27" i="1"/>
  <c r="H28" i="1"/>
  <c r="H29" i="1"/>
  <c r="H30" i="1"/>
  <c r="H31" i="1"/>
  <c r="H32" i="1"/>
  <c r="H33" i="1"/>
  <c r="H34" i="1"/>
  <c r="I22" i="1"/>
  <c r="I23" i="1"/>
  <c r="I24" i="1"/>
  <c r="I25" i="1"/>
  <c r="I26" i="1"/>
  <c r="I27" i="1"/>
  <c r="I28" i="1"/>
  <c r="I29" i="1"/>
  <c r="I30" i="1"/>
  <c r="I31" i="1"/>
  <c r="I32" i="1"/>
  <c r="I33" i="1"/>
  <c r="I34" i="1"/>
  <c r="J22" i="1"/>
  <c r="J23" i="1"/>
  <c r="J24" i="1"/>
  <c r="J25" i="1"/>
  <c r="J26" i="1"/>
  <c r="J27" i="1"/>
  <c r="J28" i="1"/>
  <c r="J29" i="1"/>
  <c r="J30" i="1"/>
  <c r="J31" i="1"/>
  <c r="J32" i="1"/>
  <c r="J33" i="1"/>
  <c r="J34" i="1"/>
  <c r="K22" i="1"/>
  <c r="K23" i="1"/>
  <c r="K24" i="1"/>
  <c r="K25" i="1"/>
  <c r="K26" i="1"/>
  <c r="K27" i="1"/>
  <c r="K28" i="1"/>
  <c r="K29" i="1"/>
  <c r="K30" i="1"/>
  <c r="K31" i="1"/>
  <c r="K32" i="1"/>
  <c r="K33" i="1"/>
  <c r="K34" i="1"/>
  <c r="L22" i="1"/>
  <c r="L23" i="1"/>
  <c r="L24" i="1"/>
  <c r="L25" i="1"/>
  <c r="L26" i="1"/>
  <c r="L27" i="1"/>
  <c r="L28" i="1"/>
  <c r="L29" i="1"/>
  <c r="L30" i="1"/>
  <c r="L31" i="1"/>
  <c r="L32" i="1"/>
  <c r="L33" i="1"/>
  <c r="L34" i="1"/>
  <c r="C23" i="1"/>
  <c r="C24" i="1"/>
  <c r="C25" i="1"/>
  <c r="C26" i="1"/>
  <c r="C27" i="1"/>
  <c r="C28" i="1"/>
  <c r="C36" i="1" s="1"/>
  <c r="C29" i="1"/>
  <c r="C30" i="1"/>
  <c r="C31" i="1"/>
  <c r="C32" i="1"/>
  <c r="C33" i="1"/>
  <c r="C34" i="1"/>
  <c r="P87" i="6"/>
  <c r="O83" i="6"/>
  <c r="N82" i="6"/>
  <c r="O86" i="6"/>
  <c r="D20" i="5"/>
  <c r="H22" i="5"/>
  <c r="P86" i="6"/>
  <c r="K37" i="1"/>
  <c r="E37" i="1"/>
  <c r="AH72" i="2"/>
  <c r="AY94" i="2"/>
  <c r="O82" i="6"/>
  <c r="P82" i="6"/>
  <c r="J94" i="2"/>
  <c r="F36" i="1"/>
  <c r="K72" i="2"/>
  <c r="M85" i="6"/>
  <c r="AP45" i="2"/>
  <c r="L37" i="1"/>
  <c r="E36" i="1"/>
  <c r="J26" i="2"/>
  <c r="Z26" i="2"/>
  <c r="J45" i="2"/>
  <c r="Z45" i="2"/>
  <c r="S94" i="2"/>
  <c r="D36" i="1"/>
  <c r="R17" i="3"/>
  <c r="BQ8" i="6"/>
  <c r="G36" i="1"/>
  <c r="F37" i="1"/>
  <c r="AQ26" i="2"/>
  <c r="K45" i="2"/>
  <c r="R14" i="3"/>
  <c r="R15" i="3"/>
  <c r="D74" i="5"/>
  <c r="Q88" i="6"/>
  <c r="M88" i="6"/>
  <c r="E137" i="5"/>
  <c r="E138" i="5" s="1"/>
  <c r="E139" i="5" s="1"/>
  <c r="O88" i="6"/>
  <c r="D100" i="5"/>
  <c r="B124" i="5"/>
  <c r="J37" i="1"/>
  <c r="J36" i="1"/>
  <c r="L24" i="14"/>
  <c r="C37" i="1"/>
  <c r="I36" i="1"/>
  <c r="AY26" i="2"/>
  <c r="K55" i="2"/>
  <c r="S72" i="2"/>
  <c r="BQ5" i="6"/>
  <c r="P83" i="6"/>
  <c r="O12" i="14"/>
  <c r="K24" i="14"/>
  <c r="O24" i="14"/>
  <c r="AX26" i="2"/>
  <c r="M83" i="6"/>
  <c r="K12" i="14"/>
  <c r="L12" i="14"/>
  <c r="N24" i="14"/>
  <c r="L36" i="1"/>
  <c r="I37" i="1"/>
  <c r="Q83" i="6"/>
  <c r="K36" i="1"/>
  <c r="H36" i="1"/>
  <c r="S26" i="2"/>
  <c r="AI45" i="2"/>
  <c r="S55" i="2"/>
  <c r="M12" i="14"/>
  <c r="M24" i="14"/>
  <c r="E179" i="5"/>
  <c r="E180" i="5"/>
  <c r="E181" i="5" s="1"/>
  <c r="D185" i="5"/>
  <c r="D179" i="5"/>
  <c r="D180" i="5"/>
  <c r="D181" i="5" s="1"/>
  <c r="D141" i="5" l="1"/>
  <c r="B142" i="5"/>
  <c r="D165" i="5"/>
  <c r="B16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Kennedy Osuka</author>
  </authors>
  <commentList>
    <comment ref="D140" authorId="0" shapeId="0" xr:uid="{00000000-0006-0000-0100-000001000000}">
      <text>
        <r>
          <rPr>
            <b/>
            <sz val="9"/>
            <color rgb="FF000000"/>
            <rFont val="Calibri"/>
            <family val="2"/>
          </rPr>
          <t>Kennedy Osuka:</t>
        </r>
        <r>
          <rPr>
            <sz val="9"/>
            <color rgb="FF000000"/>
            <rFont val="Calibri"/>
            <family val="2"/>
          </rPr>
          <t xml:space="preserve">
</t>
        </r>
        <r>
          <rPr>
            <sz val="9"/>
            <color rgb="FF000000"/>
            <rFont val="Calibri"/>
            <family val="2"/>
          </rPr>
          <t xml:space="preserve">Please check if you agree with my logical formula of using zero instead of negative threshold
</t>
        </r>
      </text>
    </comment>
    <comment ref="E164" authorId="0" shapeId="0" xr:uid="{00000000-0006-0000-0100-000002000000}">
      <text>
        <r>
          <rPr>
            <b/>
            <sz val="9"/>
            <color indexed="81"/>
            <rFont val="Calibri"/>
            <family val="2"/>
          </rPr>
          <t>Kennedy Osuka:</t>
        </r>
        <r>
          <rPr>
            <sz val="9"/>
            <color indexed="81"/>
            <rFont val="Calibri"/>
            <family val="2"/>
          </rPr>
          <t xml:space="preserve">
Please check if you agree with my logical formula of using zero instead of negative threshold
</t>
        </r>
      </text>
    </comment>
  </commentList>
</comments>
</file>

<file path=xl/sharedStrings.xml><?xml version="1.0" encoding="utf-8"?>
<sst xmlns="http://schemas.openxmlformats.org/spreadsheetml/2006/main" count="1299" uniqueCount="406">
  <si>
    <t>Acanthuridae</t>
  </si>
  <si>
    <t>Chaetodontidae</t>
  </si>
  <si>
    <t>Lutjanidae</t>
  </si>
  <si>
    <t>Scaridae</t>
  </si>
  <si>
    <t>Serranidae</t>
  </si>
  <si>
    <t>Row Labels</t>
  </si>
  <si>
    <t>Blenheim</t>
  </si>
  <si>
    <t>DGLagoonN</t>
  </si>
  <si>
    <t>DGOuterN</t>
  </si>
  <si>
    <t>Eagle Outer</t>
  </si>
  <si>
    <t>EgmontIn</t>
  </si>
  <si>
    <t>PBCoinLagoon</t>
  </si>
  <si>
    <t>PBDiamantLagoon</t>
  </si>
  <si>
    <t>PBIsdela Passe</t>
  </si>
  <si>
    <t>PBLagKnolls</t>
  </si>
  <si>
    <t>SAIsdela Passe</t>
  </si>
  <si>
    <t>SAIsle Anglaise</t>
  </si>
  <si>
    <t>Salomon Lagoon</t>
  </si>
  <si>
    <t>Three Brothers</t>
  </si>
  <si>
    <t>Density</t>
  </si>
  <si>
    <t>Biomass</t>
  </si>
  <si>
    <t>Density #/250m2</t>
  </si>
  <si>
    <t>Biomass g/250m2</t>
  </si>
  <si>
    <t>Density #/ha</t>
  </si>
  <si>
    <t>Biomass kg/ha</t>
  </si>
  <si>
    <t>Chagos mean</t>
  </si>
  <si>
    <t>Chagos Stdev</t>
  </si>
  <si>
    <t>Abondance</t>
  </si>
  <si>
    <t>Biomasse (kg/m²)</t>
  </si>
  <si>
    <t>Biomasse</t>
  </si>
  <si>
    <t>Acanthuris blochii</t>
  </si>
  <si>
    <t>HD</t>
  </si>
  <si>
    <t>Acanthurus dussumieri</t>
  </si>
  <si>
    <t>Acanthurus leucosternon</t>
  </si>
  <si>
    <t>Acanthurus lineatus</t>
  </si>
  <si>
    <t>Acanthurus mata</t>
  </si>
  <si>
    <t>PK</t>
  </si>
  <si>
    <t>Acanthurus nigricauda</t>
  </si>
  <si>
    <t>Acanthurus nigrofuscus</t>
  </si>
  <si>
    <t>Acanthurus tennentii</t>
  </si>
  <si>
    <t>Acanthurus thompsoni</t>
  </si>
  <si>
    <t>Acanthurus xanthopterus</t>
  </si>
  <si>
    <t>Acanthurus sp.</t>
  </si>
  <si>
    <t>Ctenochaetus binotatus</t>
  </si>
  <si>
    <t>OM</t>
  </si>
  <si>
    <t>Ctenochaetus striatus</t>
  </si>
  <si>
    <t>Ctenochaetus strigosus</t>
  </si>
  <si>
    <t>Naso brachycentron</t>
  </si>
  <si>
    <t>HM</t>
  </si>
  <si>
    <t>Naso brevirostris</t>
  </si>
  <si>
    <t>Naso elegans</t>
  </si>
  <si>
    <t>Naso hexacanthus</t>
  </si>
  <si>
    <t>Naso unicornis</t>
  </si>
  <si>
    <t>Naso vlamingii</t>
  </si>
  <si>
    <t>Zebrasoma gemmatum</t>
  </si>
  <si>
    <t>Zebrasoma scopas</t>
  </si>
  <si>
    <t>Zebrasoma veliferum</t>
  </si>
  <si>
    <t>Chaetodon auriga</t>
  </si>
  <si>
    <t>CA</t>
  </si>
  <si>
    <t>Chaetodon bennetti</t>
  </si>
  <si>
    <t>IS</t>
  </si>
  <si>
    <t>Chaetodon falcula</t>
  </si>
  <si>
    <t>Chaetodon guttatissimus</t>
  </si>
  <si>
    <t>Chaetodon kleinii</t>
  </si>
  <si>
    <t>Chaetodon lunula</t>
  </si>
  <si>
    <t>Chaetodon melannotus</t>
  </si>
  <si>
    <t>Chaetodon meyeri</t>
  </si>
  <si>
    <t>Chaetodon trifascialis</t>
  </si>
  <si>
    <t>Chaetodon trifasciatus</t>
  </si>
  <si>
    <t>Chaetodon vagabundus</t>
  </si>
  <si>
    <t>Chaetodon xanthocephalus</t>
  </si>
  <si>
    <t>Chaetodon zanzibarensis</t>
  </si>
  <si>
    <t>Forcipiger flavissimus</t>
  </si>
  <si>
    <t>Forcipiger longirostris</t>
  </si>
  <si>
    <t>Hemitaurichthys zoster</t>
  </si>
  <si>
    <t>Heniochus acuminatus</t>
  </si>
  <si>
    <t>Heniochus monoceros</t>
  </si>
  <si>
    <t>Aphareus furca</t>
  </si>
  <si>
    <t>FC</t>
  </si>
  <si>
    <t>Aprion virescens</t>
  </si>
  <si>
    <t>Lutjanus bohar</t>
  </si>
  <si>
    <t>Lutjanus fulvus</t>
  </si>
  <si>
    <t>Lutjanus gibbus</t>
  </si>
  <si>
    <t>Lutjanus kasmira</t>
  </si>
  <si>
    <t>Lutjanus monostigma</t>
  </si>
  <si>
    <t>Lutjanus rivulatus</t>
  </si>
  <si>
    <t>Macolor niger</t>
  </si>
  <si>
    <t>Calotomus carolinus</t>
  </si>
  <si>
    <t>Cetoscarus bicolor</t>
  </si>
  <si>
    <t>Chlorurus japanensis</t>
  </si>
  <si>
    <t>Chlorurus sordidus</t>
  </si>
  <si>
    <t>Chlorurus strongylocephalus</t>
  </si>
  <si>
    <t>Scarus caudofasciatus</t>
  </si>
  <si>
    <t>Scarus frenatus</t>
  </si>
  <si>
    <t>Scarus globiceps</t>
  </si>
  <si>
    <t>Scarus niger</t>
  </si>
  <si>
    <t>Scarus rubroviolaceus</t>
  </si>
  <si>
    <t>Scarus russelii</t>
  </si>
  <si>
    <t>Scarus scaber</t>
  </si>
  <si>
    <t>Scarus sordidus</t>
  </si>
  <si>
    <t>Scarus spp.</t>
  </si>
  <si>
    <t>Scarus strongylocephal</t>
  </si>
  <si>
    <t>Scarus tricolor</t>
  </si>
  <si>
    <t>Aethaloperca rogaa</t>
  </si>
  <si>
    <t>Anyperodon leucogramicus</t>
  </si>
  <si>
    <t>Cephalopholis argus</t>
  </si>
  <si>
    <t>Cephalopholis leopardus</t>
  </si>
  <si>
    <t>Cephalopholis miniata</t>
  </si>
  <si>
    <t>Cephalopholis sexmaculata</t>
  </si>
  <si>
    <t>Cephalopholis urodeta</t>
  </si>
  <si>
    <t>Epinephelus fasciatus/oceanicus</t>
  </si>
  <si>
    <t>Epinephelus fuscoguttatus</t>
  </si>
  <si>
    <t>Epinephelus melanostigma</t>
  </si>
  <si>
    <t>Epinephelus merra</t>
  </si>
  <si>
    <t>Epinephelus polyphekadion</t>
  </si>
  <si>
    <t>Epinephelus spilotoceps</t>
  </si>
  <si>
    <t>Epinephelus tauvina</t>
  </si>
  <si>
    <t>Epinephelus tukula</t>
  </si>
  <si>
    <t>Nemanthias carberryi</t>
  </si>
  <si>
    <t>Plectropomus laevis</t>
  </si>
  <si>
    <t>Plectropomus punctatus</t>
  </si>
  <si>
    <t>Pseudanthias evansi</t>
  </si>
  <si>
    <t>Pseudanthias squamipinnis</t>
  </si>
  <si>
    <t>Variola louti</t>
  </si>
  <si>
    <t>FAMILLES</t>
  </si>
  <si>
    <t>Genre espèce</t>
  </si>
  <si>
    <t>Régime alimentaire</t>
  </si>
  <si>
    <t>Glo15.1.1</t>
  </si>
  <si>
    <t>Glo15.1.2</t>
  </si>
  <si>
    <t>Glo15.1.3</t>
  </si>
  <si>
    <t>Glo15.2.1</t>
  </si>
  <si>
    <t>Glo15.2.2</t>
  </si>
  <si>
    <t>Glo15.2.3</t>
  </si>
  <si>
    <t>Glo15.3.1</t>
  </si>
  <si>
    <t>Glo15.3.2</t>
  </si>
  <si>
    <t>Glo15.3.3</t>
  </si>
  <si>
    <t>Glo15.5.1</t>
  </si>
  <si>
    <t>Glo15.5.2</t>
  </si>
  <si>
    <t>Glo15.5.3</t>
  </si>
  <si>
    <t>Glo15.6.1</t>
  </si>
  <si>
    <t>Glo15.6.2</t>
  </si>
  <si>
    <t>Glo15.6.3</t>
  </si>
  <si>
    <t>Glo15.7.1</t>
  </si>
  <si>
    <t>Glo15.7.2</t>
  </si>
  <si>
    <t>Glo15.7.3</t>
  </si>
  <si>
    <t>TOTAL ABONDANCE</t>
  </si>
  <si>
    <t>TOTAL BIOMASSE (kg/m²)</t>
  </si>
  <si>
    <t>Glo15.1</t>
  </si>
  <si>
    <t>Glo15.2</t>
  </si>
  <si>
    <t>Glo15.3</t>
  </si>
  <si>
    <t>Glo15.4</t>
  </si>
  <si>
    <t>Glo15.5</t>
  </si>
  <si>
    <t>Glo15.6</t>
  </si>
  <si>
    <t>Family</t>
  </si>
  <si>
    <t>Biomass (kg/m²)</t>
  </si>
  <si>
    <t>Glorieuses</t>
  </si>
  <si>
    <t>Density (#/ha)</t>
  </si>
  <si>
    <t>Biomass (kg/ha)</t>
  </si>
  <si>
    <t>Year</t>
  </si>
  <si>
    <t>Density (#/250m2)</t>
  </si>
  <si>
    <t>A_Rocha_Kenya</t>
  </si>
  <si>
    <t>KMFRI</t>
  </si>
  <si>
    <t>KWS</t>
  </si>
  <si>
    <t>Samoilys 1987</t>
  </si>
  <si>
    <t>CORDIO/CORDIO_IUCN</t>
  </si>
  <si>
    <t>Biomass data sources -Kisite</t>
  </si>
  <si>
    <t>Density data sources -Kisite</t>
  </si>
  <si>
    <t>CORDIO 2016 data</t>
  </si>
  <si>
    <t>mean</t>
  </si>
  <si>
    <t>stdev</t>
  </si>
  <si>
    <t>Density ind/ha</t>
  </si>
  <si>
    <t>NOTES from MS</t>
  </si>
  <si>
    <t>data needs:</t>
  </si>
  <si>
    <t>Density for Scaridae, Chaetodontidae and Acanthuridae</t>
  </si>
  <si>
    <t>MS Notes on calcs for determining collapse threshold</t>
  </si>
  <si>
    <t>Future</t>
  </si>
  <si>
    <t>Present/near abouts</t>
  </si>
  <si>
    <t>trends data period</t>
  </si>
  <si>
    <t>% decline</t>
  </si>
  <si>
    <t>working example for 2 families: 1. Epinephelidae and 2. Chaetodontidae</t>
  </si>
  <si>
    <t>generation length = 25.5 years (Rhodes et al. 2018 - RL assessment) using Depczynski and Bellwood (2006)</t>
  </si>
  <si>
    <t>0 = 0.01 so the maths work</t>
  </si>
  <si>
    <t>decline in kg/ha</t>
  </si>
  <si>
    <t>baseline (data)</t>
  </si>
  <si>
    <t>current (data)</t>
  </si>
  <si>
    <t>DATA years</t>
  </si>
  <si>
    <t>TREND estimate</t>
  </si>
  <si>
    <t>use these for the family as a whole - table below based on serranid biomass graph</t>
  </si>
  <si>
    <t>could use pristine value from Chagos though groupers were not pristine there - evidence for decline from old fishery (stopped in 2010)</t>
  </si>
  <si>
    <t>logic is to use population demography per taxa (family) to determine if pop has infact collapsed</t>
  </si>
  <si>
    <t>Source</t>
  </si>
  <si>
    <t>Y axis value for 1969 &amp; 2044</t>
  </si>
  <si>
    <t>Collapse Threshold biomass kisite</t>
  </si>
  <si>
    <t>Collapse Threshold biomass using chagos</t>
  </si>
  <si>
    <t>Data value</t>
  </si>
  <si>
    <t>Explanation and notes</t>
  </si>
  <si>
    <t>biomass values are kg/ha</t>
  </si>
  <si>
    <t>Then have to bring in Extent of severity (30,50% etc) and relative severity (30, 50%).</t>
  </si>
  <si>
    <t>Removing points outside CI</t>
  </si>
  <si>
    <t>Old equation</t>
  </si>
  <si>
    <t>Sum of REPLICAT_Abondance</t>
  </si>
  <si>
    <t>Column Labels</t>
  </si>
  <si>
    <t>Douamougno - 3 m</t>
  </si>
  <si>
    <t>Douamougno - 3 m Total</t>
  </si>
  <si>
    <t>Douamougno = 0 m</t>
  </si>
  <si>
    <t>Douamougno = 0 m Total</t>
  </si>
  <si>
    <t>Grand RÃ©cif du Nord Est - 3 m</t>
  </si>
  <si>
    <t>Grand RÃ©cif du Nord Est - 3 m Total</t>
  </si>
  <si>
    <t>Grand RÃ©cif du Nord Est - 6 m</t>
  </si>
  <si>
    <t>Grand RÃ©cif du Nord Est - 6 m Total</t>
  </si>
  <si>
    <t>Longoni = 0 m</t>
  </si>
  <si>
    <t>Longoni = 0 m Total</t>
  </si>
  <si>
    <t>Passe Bateaux - 3 m</t>
  </si>
  <si>
    <t>Passe Bateaux - 3 m Total</t>
  </si>
  <si>
    <t>Passe Bateaux - 6 m</t>
  </si>
  <si>
    <t>Passe Bateaux - 6 m Total</t>
  </si>
  <si>
    <t>Passe en S extÃ©rieur - 3 m</t>
  </si>
  <si>
    <t>Passe en S extÃ©rieur - 3 m Total</t>
  </si>
  <si>
    <t>Passe en S extÃ©rieur - 6 m</t>
  </si>
  <si>
    <t>Passe en S extÃ©rieur - 6 m Total</t>
  </si>
  <si>
    <t>Prevoyante - 3 m</t>
  </si>
  <si>
    <t>Prevoyante - 3 m Total</t>
  </si>
  <si>
    <t>Prevoyante = 0 m</t>
  </si>
  <si>
    <t>Prevoyante = 0 m Total</t>
  </si>
  <si>
    <t>Saziley - 3 m</t>
  </si>
  <si>
    <t>Saziley - 3 m Total</t>
  </si>
  <si>
    <t>Saziley = 0 m</t>
  </si>
  <si>
    <t>Saziley = 0 m Total</t>
  </si>
  <si>
    <t>Surprise - 3 m</t>
  </si>
  <si>
    <t>Surprise - 3 m Total</t>
  </si>
  <si>
    <t>Surprise = 0 m</t>
  </si>
  <si>
    <t>Surprise = 0 m Total</t>
  </si>
  <si>
    <t>Tanaraki - 3 m</t>
  </si>
  <si>
    <t>Tanaraki - 3 m Total</t>
  </si>
  <si>
    <t>Tanaraki = 0 m</t>
  </si>
  <si>
    <t>Tanaraki = 0 m Total</t>
  </si>
  <si>
    <t>Passe en S extÃ©rieur = 0 m</t>
  </si>
  <si>
    <t>Passe en S extÃ©rieur = 0 m Total</t>
  </si>
  <si>
    <t>Prevoyante - 6 m</t>
  </si>
  <si>
    <t>Prevoyante - 6 m Total</t>
  </si>
  <si>
    <t>Surprise - 6 m</t>
  </si>
  <si>
    <t>Surprise - 6 m Total</t>
  </si>
  <si>
    <t>Double BarriÃ¨re - 3 m</t>
  </si>
  <si>
    <t>Double BarriÃ¨re - 3 m Total</t>
  </si>
  <si>
    <t>Double BarriÃ¨re = 0 m</t>
  </si>
  <si>
    <t>Double BarriÃ¨re = 0 m Total</t>
  </si>
  <si>
    <t>Koungou = 0 m</t>
  </si>
  <si>
    <t>Koungou = 0 m Total</t>
  </si>
  <si>
    <t>Longoni - 3 m</t>
  </si>
  <si>
    <t>Longoni - 3 m Total</t>
  </si>
  <si>
    <t>Passe en S intÃ©rieur - 6 m</t>
  </si>
  <si>
    <t>Passe en S intÃ©rieur - 6 m Total</t>
  </si>
  <si>
    <t>Mayote</t>
  </si>
  <si>
    <t>Saziley</t>
  </si>
  <si>
    <t>decline in indiv/ha</t>
  </si>
  <si>
    <t>Text from Bland et al 2017</t>
  </si>
  <si>
    <t>Coral cover and piscivorous fish biomass revealed complementary information on the impacts of multiple threats, and we recommend these two indicators for future RLE assessments of coral reefs.</t>
  </si>
  <si>
    <t xml:space="preserve">High collapse thresholds </t>
  </si>
  <si>
    <t>Herbivores = 96kg/ha</t>
  </si>
  <si>
    <t>Piscivores = 42kg/ha</t>
  </si>
  <si>
    <t>Coral cover = 5%</t>
  </si>
  <si>
    <t>New equation (removal of outliers outside 95% CI)</t>
  </si>
  <si>
    <t>m (slope)</t>
  </si>
  <si>
    <t>c (intercept)</t>
  </si>
  <si>
    <t>x (year)</t>
  </si>
  <si>
    <t>y (biomass)</t>
  </si>
  <si>
    <t>Relative severity Kisite</t>
  </si>
  <si>
    <t>Low collapse thresholds</t>
  </si>
  <si>
    <t>Herbivores = 0kg/ha</t>
  </si>
  <si>
    <t>Piscivores = 0kg/ha</t>
  </si>
  <si>
    <t>Coral cover = 0%</t>
  </si>
  <si>
    <t>Recommendations</t>
  </si>
  <si>
    <t>The equation should be used to determine current value for 2019 and baseline value at 50/25 years ago and projected value 25 years in the future. As there are variability in data collection, a trend analysis with confidence intervals, using all data should be performed. All points outside the CI be determined before a second trend analysis is performed. It is this second equation that would be used to determine the various values</t>
  </si>
  <si>
    <t>all data</t>
  </si>
  <si>
    <t>remove outliers outside 95% CI</t>
  </si>
  <si>
    <t>these come from the new equation (95%)</t>
  </si>
  <si>
    <t>RL species status</t>
  </si>
  <si>
    <t>50% of the estimated pristine value  - 52.5kg/ha</t>
  </si>
  <si>
    <t>Using Chagos in 2014 instead as a proxy "pristine" value - paints a much worse picture with CR ie well beyond collpase threshold in present day - not likely to be realistic for Kenyan reefs.</t>
  </si>
  <si>
    <t>Biomass for Serranidae and Lutjanidae - if not available for most ecoregions then use density</t>
  </si>
  <si>
    <t>Total years needed for population demography RL assessment</t>
  </si>
  <si>
    <t xml:space="preserve">"pristine" year </t>
  </si>
  <si>
    <t>change the year to make this equation work</t>
  </si>
  <si>
    <t>Thus, the collapse threshold would be reached in ~ 2030.</t>
  </si>
  <si>
    <t>using a 50yr period ie 1969-2019</t>
  </si>
  <si>
    <t>So for each station in Kenya you then use this trend from Kisite to apply to other sites to estimate the projected baseline in 1969</t>
  </si>
  <si>
    <t>25 year Baseline back</t>
  </si>
  <si>
    <t>50 years baseline from current</t>
  </si>
  <si>
    <t>red text = question to address</t>
  </si>
  <si>
    <t>blue text = explnatory notes</t>
  </si>
  <si>
    <t>green text = additional from KO</t>
  </si>
  <si>
    <t>tried claculating a collapse threshold using Chagos as the baseline taking 228kg/ha (2014) as pristine baseline 1969 to add to text justification . and  can project backwards to what year does 229kg/ha appear in the Kisite trend - that could be intersting, but only in narrative, not part of main calcs, is vey hypothetical.</t>
  </si>
  <si>
    <t>The year 1570 would be when the biomass would be equal to that of Chagos!!</t>
  </si>
  <si>
    <t>Questions from MS to KO in red</t>
  </si>
  <si>
    <t>Density values are indv./ha</t>
  </si>
  <si>
    <t>Collapse Threshold density kisite</t>
  </si>
  <si>
    <t>Kiunga</t>
  </si>
  <si>
    <t>1987 biomass</t>
  </si>
  <si>
    <r>
      <t xml:space="preserve">using </t>
    </r>
    <r>
      <rPr>
        <i/>
        <sz val="12"/>
        <color theme="1"/>
        <rFont val="Calibri"/>
        <family val="2"/>
        <scheme val="minor"/>
      </rPr>
      <t xml:space="preserve">Epinephelus fuscoguttatus </t>
    </r>
    <r>
      <rPr>
        <sz val="12"/>
        <color theme="1"/>
        <rFont val="Calibri"/>
        <family val="2"/>
        <scheme val="minor"/>
      </rPr>
      <t>as the "typical grouper" - relatively abundant and widespread</t>
    </r>
  </si>
  <si>
    <t>removing anomaly/smoothing function - there are some extraordinarily high values here which are somewhat suspect - eg chaetedons</t>
  </si>
  <si>
    <t>COMOROS-Mayotte- Saziley</t>
  </si>
  <si>
    <t>RLE collapse status (above or below threshold)</t>
  </si>
  <si>
    <t>OR we use actual site data to develop a trend for each - eg Malindi might have adequate data</t>
  </si>
  <si>
    <t>Collapse Threshold biomass Kiunga</t>
  </si>
  <si>
    <t>Collapse Threshold density Kiunga</t>
  </si>
  <si>
    <t>Relative severity Kunga</t>
  </si>
  <si>
    <r>
      <t>serranid biomass</t>
    </r>
    <r>
      <rPr>
        <b/>
        <sz val="20"/>
        <color theme="1"/>
        <rFont val="Calibri"/>
        <family val="2"/>
        <scheme val="minor"/>
      </rPr>
      <t xml:space="preserve"> Kisite</t>
    </r>
  </si>
  <si>
    <r>
      <t xml:space="preserve">serranid biomass </t>
    </r>
    <r>
      <rPr>
        <b/>
        <sz val="20"/>
        <color theme="1"/>
        <rFont val="Calibri"/>
        <family val="2"/>
        <scheme val="minor"/>
      </rPr>
      <t>Kiunga</t>
    </r>
  </si>
  <si>
    <t>Relative severity Kiunga</t>
  </si>
  <si>
    <r>
      <t xml:space="preserve">serranid density </t>
    </r>
    <r>
      <rPr>
        <b/>
        <sz val="20"/>
        <color theme="1"/>
        <rFont val="Calibri"/>
        <family val="2"/>
        <scheme val="minor"/>
      </rPr>
      <t>Saziley</t>
    </r>
  </si>
  <si>
    <t>Collapse Threshold density Saziley</t>
  </si>
  <si>
    <t>This is an increase in density</t>
  </si>
  <si>
    <t>ask MG about the need for this</t>
  </si>
  <si>
    <t>Almost collapsed</t>
  </si>
  <si>
    <t>ask MG to explain rtionale for this formula</t>
  </si>
  <si>
    <t>If value is negative then the value = zero</t>
  </si>
  <si>
    <t>Therefore need 75 years for assessing CR EN and VU based on population numbers. On this basis, ie the long period of time I suggest EN, ie &lt;/=50% decline, is indiactive of collapse. Ie I am using the considerable thinking that has gone into RL of species to determine our RLE threshold</t>
  </si>
  <si>
    <t>New values with 1944 for historic GL period:</t>
  </si>
  <si>
    <t>collapse Threshold biomass kisite</t>
  </si>
  <si>
    <t>th</t>
  </si>
  <si>
    <t>assumption that trend back from 1987 is the same, and that 1969 reflects a healthy baseline for this location</t>
  </si>
  <si>
    <t>Family/ abundance unit</t>
  </si>
  <si>
    <t>Ecoregion</t>
  </si>
  <si>
    <t>Site</t>
  </si>
  <si>
    <t>Grouper biomass</t>
  </si>
  <si>
    <t>N-Tanzania-Kenya</t>
  </si>
  <si>
    <t xml:space="preserve">Kisite </t>
  </si>
  <si>
    <t>No</t>
  </si>
  <si>
    <t>Yes</t>
  </si>
  <si>
    <t>Comoros</t>
  </si>
  <si>
    <t>2019 abundance (biomass or density)</t>
  </si>
  <si>
    <t>OLD Collapse threshold</t>
  </si>
  <si>
    <t>OLD Collapse status</t>
  </si>
  <si>
    <t>Baseline 1969</t>
  </si>
  <si>
    <t>Pristine est</t>
  </si>
  <si>
    <t>Collapse threshold value</t>
  </si>
  <si>
    <t>Collapsed?</t>
  </si>
  <si>
    <t>collapse comments</t>
  </si>
  <si>
    <t>30% of pristine is based on the vulnerability of groupers</t>
  </si>
  <si>
    <t>Collapse threshold % of pristine</t>
  </si>
  <si>
    <t>Reference values</t>
  </si>
  <si>
    <t>"pristine" Chagos 2014</t>
  </si>
  <si>
    <t>"destroyed" Grand Comore 2018</t>
  </si>
  <si>
    <t>Pristine=40s-50s</t>
  </si>
  <si>
    <t>Reunion</t>
  </si>
  <si>
    <t>Grouper density</t>
  </si>
  <si>
    <r>
      <t>serranid density</t>
    </r>
    <r>
      <rPr>
        <b/>
        <sz val="20"/>
        <color theme="1"/>
        <rFont val="Calibri"/>
        <family val="2"/>
        <scheme val="minor"/>
      </rPr>
      <t xml:space="preserve"> Kisite</t>
    </r>
  </si>
  <si>
    <r>
      <t xml:space="preserve">serranid density </t>
    </r>
    <r>
      <rPr>
        <b/>
        <sz val="20"/>
        <color theme="1"/>
        <rFont val="Calibri"/>
        <family val="2"/>
        <scheme val="minor"/>
      </rPr>
      <t>Kiunga</t>
    </r>
  </si>
  <si>
    <t>decline at 1969 since pristine (20%)a</t>
  </si>
  <si>
    <t>a. Polunin, Jennings, Fiji 1990s</t>
  </si>
  <si>
    <t>References</t>
  </si>
  <si>
    <t>N/A</t>
  </si>
  <si>
    <t>blue highlights are not used - we use the same collapse threshold for all sites in one ecoregion based on Kisite.  They are shown here to illustrate the high variablity between sites</t>
  </si>
  <si>
    <t>Bland et al Caribbean upper collpse threshold</t>
  </si>
  <si>
    <t>52-133</t>
  </si>
  <si>
    <t>purple for ref/info - not used as we have biomass for these sites</t>
  </si>
  <si>
    <t>/1000 &amp;  x40</t>
  </si>
  <si>
    <t>Collapse Threshold biomassPlanch'_Alizes</t>
  </si>
  <si>
    <t>Relative severity Planch'_Alizes</t>
  </si>
  <si>
    <t>Collapse Threshold density Planch'_Alizes</t>
  </si>
  <si>
    <t>serranid biomass Planch'_Alizes</t>
  </si>
  <si>
    <t>serranid density Planch'_Alizes</t>
  </si>
  <si>
    <t>Planch'_Alizes</t>
  </si>
  <si>
    <t>"Pristine" Glorieuses 2015</t>
  </si>
  <si>
    <t>Max of TS No.</t>
  </si>
  <si>
    <t>Mafia</t>
  </si>
  <si>
    <t>Dindini</t>
  </si>
  <si>
    <t>Kifinge</t>
  </si>
  <si>
    <t>Kitutia</t>
  </si>
  <si>
    <t>Mange</t>
  </si>
  <si>
    <t>Nyamalile</t>
  </si>
  <si>
    <t>Utumbi</t>
  </si>
  <si>
    <t>Yuyuni</t>
  </si>
  <si>
    <t>Biomass (g/250m2)</t>
  </si>
  <si>
    <t>42 (piscivores)</t>
  </si>
  <si>
    <t>healthy Mafia Marine Park 2011</t>
  </si>
  <si>
    <t>temporary here for reference</t>
  </si>
  <si>
    <t>grouper density only included because so little data on biomass in the region. Gloreieuse likely better estimate since groupers were fished in Chagos until 2010. However estimates on tese locations do not show this, Chagos still much higher.</t>
  </si>
  <si>
    <t xml:space="preserve">Summary: </t>
  </si>
  <si>
    <t>Kiunga Kenya is collapsed for groupers, Comoros Saziley is collapsed for Scarinae. Therefore both these locations are considered collapsed in terms of their fish populations, based on taking the worst result.</t>
  </si>
  <si>
    <t>Biomass (g/m²)</t>
  </si>
  <si>
    <t>REVISED CALCULATION</t>
  </si>
  <si>
    <t>REVISED</t>
  </si>
  <si>
    <r>
      <t xml:space="preserve">these figures are very very low? Decimal point? </t>
    </r>
    <r>
      <rPr>
        <sz val="12"/>
        <color rgb="FF008000"/>
        <rFont val="Calibri"/>
        <family val="2"/>
        <scheme val="minor"/>
      </rPr>
      <t xml:space="preserve">This could be because only selected species, were monitored. From MG response only 30 species from 8 families were monitored.  </t>
    </r>
  </si>
  <si>
    <t>Average of Serranidae</t>
  </si>
  <si>
    <t>Bay Ternay Centre</t>
  </si>
  <si>
    <t>Bay Ternay Lighthouse</t>
  </si>
  <si>
    <t>Bay Ternay North East</t>
  </si>
  <si>
    <t>Bay Ternay North West</t>
  </si>
  <si>
    <t>Mean</t>
  </si>
  <si>
    <t>Stdev</t>
  </si>
  <si>
    <r>
      <t>serranid density</t>
    </r>
    <r>
      <rPr>
        <b/>
        <sz val="20"/>
        <color theme="1"/>
        <rFont val="Calibri"/>
        <family val="2"/>
        <scheme val="minor"/>
      </rPr>
      <t xml:space="preserve"> Bay Ternay</t>
    </r>
  </si>
  <si>
    <t>Collapse Threshold density Bay Ternay</t>
  </si>
  <si>
    <t>Seychelles -north</t>
  </si>
  <si>
    <t>Bay Ternay</t>
  </si>
  <si>
    <t>std error</t>
  </si>
  <si>
    <t>Sd</t>
  </si>
  <si>
    <t>Std err</t>
  </si>
  <si>
    <t>std err</t>
  </si>
  <si>
    <t>std dev</t>
  </si>
  <si>
    <t>low level</t>
  </si>
  <si>
    <t>very low level</t>
  </si>
  <si>
    <t>recovery</t>
  </si>
  <si>
    <t>maximum</t>
  </si>
  <si>
    <t>3 species of grouper only are counted, but consistently over time</t>
  </si>
  <si>
    <t>1969 value is lower than 2019, therefor this site is not collapsing, it is recovering so revrese trend used to predict 2044 as proxy for 1969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</si>
</sst>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10"/>
      <color theme="1"/>
      <name val="Arial"/>
      <family val="2"/>
    </font>
    <font>
      <u/>
      <sz val="12"/>
      <color theme="10"/>
      <name val="Calibri"/>
      <family val="2"/>
      <scheme val="minor"/>
    </font>
    <font>
      <u/>
      <sz val="12"/>
      <color theme="11"/>
      <name val="Calibri"/>
      <family val="2"/>
      <scheme val="minor"/>
    </font>
    <font>
      <b/>
      <sz val="11"/>
      <color theme="1"/>
      <name val="Calibri"/>
      <family val="2"/>
      <scheme val="minor"/>
    </font>
    <font>
      <sz val="10"/>
      <color theme="1"/>
      <name val="Arial"/>
      <family val="2"/>
    </font>
    <font>
      <b/>
      <sz val="10"/>
      <name val="Arial"/>
      <family val="2"/>
    </font>
    <font>
      <b/>
      <sz val="10"/>
      <color theme="0"/>
      <name val="Arial"/>
      <family val="2"/>
    </font>
    <font>
      <b/>
      <sz val="11"/>
      <name val="Calibri"/>
      <family val="2"/>
      <scheme val="minor"/>
    </font>
    <font>
      <sz val="12"/>
      <color rgb="FF0070C0"/>
      <name val="Calibri"/>
      <family val="2"/>
      <scheme val="minor"/>
    </font>
    <font>
      <sz val="12"/>
      <color theme="3"/>
      <name val="Calibri"/>
      <family val="2"/>
      <scheme val="minor"/>
    </font>
    <font>
      <sz val="12"/>
      <color rgb="FFFF0000"/>
      <name val="Calibri"/>
      <family val="2"/>
      <scheme val="minor"/>
    </font>
    <font>
      <b/>
      <sz val="12"/>
      <color rgb="FFFF0000"/>
      <name val="Calibri"/>
      <family val="2"/>
      <scheme val="minor"/>
    </font>
    <font>
      <b/>
      <sz val="12"/>
      <color theme="0"/>
      <name val="Calibri"/>
      <family val="2"/>
      <scheme val="minor"/>
    </font>
    <font>
      <sz val="12"/>
      <color rgb="FF008000"/>
      <name val="Calibri"/>
      <family val="2"/>
      <scheme val="minor"/>
    </font>
    <font>
      <b/>
      <sz val="12"/>
      <color rgb="FFFFFFFF"/>
      <name val="Calibri"/>
      <family val="2"/>
      <scheme val="minor"/>
    </font>
    <font>
      <sz val="12"/>
      <color rgb="FFFFFFFF"/>
      <name val="Calibri"/>
      <family val="2"/>
      <scheme val="minor"/>
    </font>
    <font>
      <sz val="12"/>
      <color rgb="FF000000"/>
      <name val="Calibri"/>
      <family val="2"/>
      <scheme val="minor"/>
    </font>
    <font>
      <sz val="12"/>
      <name val="Calibri"/>
      <family val="2"/>
      <scheme val="minor"/>
    </font>
    <font>
      <b/>
      <sz val="16"/>
      <color theme="1"/>
      <name val="Calibri"/>
      <family val="2"/>
      <scheme val="minor"/>
    </font>
    <font>
      <sz val="16"/>
      <color theme="1"/>
      <name val="Calibri"/>
      <family val="2"/>
      <scheme val="minor"/>
    </font>
    <font>
      <i/>
      <sz val="12"/>
      <color theme="1"/>
      <name val="Calibri"/>
      <family val="2"/>
      <scheme val="minor"/>
    </font>
    <font>
      <b/>
      <sz val="20"/>
      <color theme="1"/>
      <name val="Calibri"/>
      <family val="2"/>
      <scheme val="minor"/>
    </font>
    <font>
      <sz val="9"/>
      <color indexed="81"/>
      <name val="Calibri"/>
      <family val="2"/>
    </font>
    <font>
      <b/>
      <sz val="9"/>
      <color indexed="81"/>
      <name val="Calibri"/>
      <family val="2"/>
    </font>
    <font>
      <b/>
      <sz val="14"/>
      <color theme="1"/>
      <name val="Calibri"/>
      <family val="2"/>
      <scheme val="minor"/>
    </font>
    <font>
      <b/>
      <sz val="9"/>
      <color rgb="FF000000"/>
      <name val="Calibri"/>
      <family val="2"/>
    </font>
    <font>
      <sz val="9"/>
      <color rgb="FF000000"/>
      <name val="Calibri"/>
      <family val="2"/>
    </font>
    <font>
      <sz val="12"/>
      <color rgb="FF3366FF"/>
      <name val="Calibri"/>
      <family val="2"/>
      <scheme val="minor"/>
    </font>
    <font>
      <sz val="12"/>
      <color rgb="FF7030A0"/>
      <name val="Calibri"/>
      <family val="2"/>
      <scheme val="minor"/>
    </font>
    <font>
      <sz val="11"/>
      <color theme="1"/>
      <name val="Cambria"/>
      <family val="1"/>
    </font>
    <font>
      <b/>
      <sz val="11"/>
      <color theme="1"/>
      <name val="Cambria"/>
      <family val="1"/>
    </font>
    <font>
      <i/>
      <sz val="11"/>
      <color theme="1"/>
      <name val="Cambria"/>
      <family val="1"/>
    </font>
    <font>
      <sz val="12"/>
      <color rgb="FF00B050"/>
      <name val="Calibri"/>
      <family val="2"/>
      <scheme val="minor"/>
    </font>
    <font>
      <sz val="10"/>
      <color rgb="FF000000"/>
      <name val="Calibri"/>
      <family val="2"/>
      <scheme val="minor"/>
    </font>
    <font>
      <sz val="11"/>
      <color rgb="FF008000"/>
      <name val="Cambria"/>
      <family val="1"/>
    </font>
    <font>
      <b/>
      <sz val="11"/>
      <color rgb="FF008000"/>
      <name val="Cambria"/>
      <family val="1"/>
    </font>
    <font>
      <b/>
      <sz val="11"/>
      <name val="Cambria"/>
      <family val="1"/>
    </font>
    <font>
      <sz val="11"/>
      <color rgb="FFFF0000"/>
      <name val="Cambria"/>
      <family val="1"/>
    </font>
    <font>
      <b/>
      <sz val="11"/>
      <color rgb="FFFF0000"/>
      <name val="Cambria"/>
      <family val="1"/>
    </font>
  </fonts>
  <fills count="2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4"/>
        <bgColor indexed="64"/>
      </patternFill>
    </fill>
    <fill>
      <patternFill patternType="solid">
        <fgColor theme="4"/>
        <bgColor theme="4" tint="-0.249977111117893"/>
      </patternFill>
    </fill>
    <fill>
      <patternFill patternType="solid">
        <fgColor theme="9" tint="-0.249977111117893"/>
        <bgColor theme="4" tint="-0.249977111117893"/>
      </patternFill>
    </fill>
    <fill>
      <patternFill patternType="solid">
        <fgColor theme="5" tint="0.39997558519241921"/>
        <bgColor indexed="64"/>
      </patternFill>
    </fill>
    <fill>
      <patternFill patternType="solid">
        <fgColor rgb="FFFFFF00"/>
        <bgColor indexed="64"/>
      </patternFill>
    </fill>
    <fill>
      <patternFill patternType="solid">
        <fgColor theme="8" tint="0.39997558519241921"/>
        <bgColor indexed="64"/>
      </patternFill>
    </fill>
    <fill>
      <patternFill patternType="solid">
        <fgColor rgb="FF99FF33"/>
        <bgColor indexed="64"/>
      </patternFill>
    </fill>
    <fill>
      <patternFill patternType="solid">
        <fgColor rgb="FFFF66FF"/>
        <bgColor indexed="64"/>
      </patternFill>
    </fill>
    <fill>
      <patternFill patternType="solid">
        <fgColor rgb="FFFF6600"/>
        <bgColor indexed="64"/>
      </patternFill>
    </fill>
    <fill>
      <patternFill patternType="solid">
        <fgColor rgb="FF660066"/>
        <bgColor indexed="64"/>
      </patternFill>
    </fill>
    <fill>
      <patternFill patternType="solid">
        <fgColor rgb="FF008000"/>
        <bgColor indexed="64"/>
      </patternFill>
    </fill>
    <fill>
      <patternFill patternType="solid">
        <fgColor rgb="FFFF0000"/>
        <bgColor indexed="64"/>
      </patternFill>
    </fill>
    <fill>
      <patternFill patternType="solid">
        <fgColor theme="6" tint="-0.249977111117893"/>
        <bgColor theme="6" tint="-0.249977111117893"/>
      </patternFill>
    </fill>
    <fill>
      <patternFill patternType="solid">
        <fgColor rgb="FF76933C"/>
        <bgColor rgb="FF76933C"/>
      </patternFill>
    </fill>
    <fill>
      <patternFill patternType="solid">
        <fgColor theme="6" tint="0.39997558519241921"/>
        <bgColor theme="6" tint="0.39997558519241921"/>
      </patternFill>
    </fill>
    <fill>
      <patternFill patternType="solid">
        <fgColor rgb="FFFFC000"/>
        <bgColor indexed="64"/>
      </patternFill>
    </fill>
    <fill>
      <patternFill patternType="solid">
        <fgColor theme="3" tint="0.79998168889431442"/>
        <bgColor indexed="64"/>
      </patternFill>
    </fill>
    <fill>
      <patternFill patternType="solid">
        <fgColor rgb="FFCCFFCC"/>
        <bgColor indexed="64"/>
      </patternFill>
    </fill>
    <fill>
      <patternFill patternType="solid">
        <fgColor theme="4" tint="0.59999389629810485"/>
        <bgColor indexed="64"/>
      </patternFill>
    </fill>
    <fill>
      <patternFill patternType="solid">
        <fgColor theme="7" tint="0.59999389629810485"/>
        <bgColor indexed="64"/>
      </patternFill>
    </fill>
  </fills>
  <borders count="32">
    <border>
      <left/>
      <right/>
      <top/>
      <bottom/>
      <diagonal/>
    </border>
    <border>
      <left/>
      <right/>
      <top/>
      <bottom style="thin">
        <color theme="4" tint="0.39997558519241921"/>
      </bottom>
      <diagonal/>
    </border>
    <border>
      <left/>
      <right/>
      <top/>
      <bottom style="thin">
        <color theme="4" tint="0.79998168889431442"/>
      </bottom>
      <diagonal/>
    </border>
    <border>
      <left style="thin">
        <color auto="1"/>
      </left>
      <right/>
      <top/>
      <bottom/>
      <diagonal/>
    </border>
    <border>
      <left/>
      <right style="thin">
        <color auto="1"/>
      </right>
      <top/>
      <bottom/>
      <diagonal/>
    </border>
    <border>
      <left/>
      <right/>
      <top style="thin">
        <color theme="4" tint="0.79998168889431442"/>
      </top>
      <bottom style="thin">
        <color theme="4" tint="0.79998168889431442"/>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theme="6" tint="-0.249977111117893"/>
      </bottom>
      <diagonal/>
    </border>
    <border>
      <left/>
      <right/>
      <top style="thin">
        <color theme="6" tint="-0.249977111117893"/>
      </top>
      <bottom style="thin">
        <color theme="6" tint="-0.249977111117893"/>
      </bottom>
      <diagonal/>
    </border>
    <border>
      <left/>
      <right/>
      <top style="thin">
        <color theme="6" tint="-0.249977111117893"/>
      </top>
      <bottom style="thin">
        <color theme="6" tint="0.59999389629810485"/>
      </bottom>
      <diagonal/>
    </border>
    <border>
      <left/>
      <right/>
      <top style="thin">
        <color theme="6" tint="-0.249977111117893"/>
      </top>
      <bottom style="thin">
        <color theme="6" tint="0.79998168889431442"/>
      </bottom>
      <diagonal/>
    </border>
    <border>
      <left/>
      <right/>
      <top style="thin">
        <color theme="6" tint="0.79998168889431442"/>
      </top>
      <bottom style="thin">
        <color theme="6" tint="0.79998168889431442"/>
      </bottom>
      <diagonal/>
    </border>
    <border>
      <left/>
      <right/>
      <top/>
      <bottom style="thin">
        <color rgb="FF76933C"/>
      </bottom>
      <diagonal/>
    </border>
    <border>
      <left/>
      <right/>
      <top style="thin">
        <color rgb="FF76933C"/>
      </top>
      <bottom style="thin">
        <color rgb="FF76933C"/>
      </bottom>
      <diagonal/>
    </border>
    <border>
      <left/>
      <right/>
      <top style="thin">
        <color rgb="FF76933C"/>
      </top>
      <bottom style="thin">
        <color rgb="FFD8E4BC"/>
      </bottom>
      <diagonal/>
    </border>
    <border>
      <left/>
      <right/>
      <top style="thin">
        <color rgb="FF76933C"/>
      </top>
      <bottom style="thin">
        <color rgb="FFEBF1DE"/>
      </bottom>
      <diagonal/>
    </border>
    <border>
      <left/>
      <right/>
      <top style="thin">
        <color rgb="FFEBF1DE"/>
      </top>
      <bottom style="thin">
        <color rgb="FFEBF1DE"/>
      </bottom>
      <diagonal/>
    </border>
    <border>
      <left/>
      <right/>
      <top/>
      <bottom style="thin">
        <color rgb="FFEBF1DE"/>
      </bottom>
      <diagonal/>
    </border>
    <border>
      <left/>
      <right/>
      <top/>
      <bottom style="thin">
        <color auto="1"/>
      </bottom>
      <diagonal/>
    </border>
    <border>
      <left/>
      <right style="thin">
        <color auto="1"/>
      </right>
      <top/>
      <bottom style="thin">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s>
  <cellStyleXfs count="1134">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21">
    <xf numFmtId="0" fontId="0" fillId="0" borderId="0" xfId="0"/>
    <xf numFmtId="0" fontId="4" fillId="2" borderId="0" xfId="0" applyFont="1" applyFill="1"/>
    <xf numFmtId="0" fontId="4" fillId="2" borderId="1" xfId="0" applyFont="1" applyFill="1" applyBorder="1"/>
    <xf numFmtId="0" fontId="0" fillId="0" borderId="0" xfId="0" applyNumberFormat="1"/>
    <xf numFmtId="0" fontId="0" fillId="0" borderId="0" xfId="0" applyAlignment="1">
      <alignment horizontal="left"/>
    </xf>
    <xf numFmtId="0" fontId="0" fillId="0" borderId="0" xfId="0" applyFont="1"/>
    <xf numFmtId="0" fontId="4" fillId="0" borderId="2" xfId="13" applyFont="1" applyFill="1" applyBorder="1" applyAlignment="1">
      <alignment horizontal="left"/>
    </xf>
    <xf numFmtId="0" fontId="4" fillId="0" borderId="0" xfId="13" applyFont="1" applyFill="1" applyBorder="1" applyAlignment="1">
      <alignment horizontal="left"/>
    </xf>
    <xf numFmtId="0" fontId="4" fillId="0" borderId="3" xfId="13" applyFont="1" applyFill="1" applyBorder="1" applyAlignment="1">
      <alignment horizontal="left"/>
    </xf>
    <xf numFmtId="0" fontId="4" fillId="0" borderId="4" xfId="13" applyFont="1" applyFill="1" applyBorder="1" applyAlignment="1">
      <alignment horizontal="left"/>
    </xf>
    <xf numFmtId="0" fontId="7" fillId="0" borderId="3" xfId="0" applyFont="1" applyBorder="1"/>
    <xf numFmtId="0" fontId="7" fillId="0" borderId="4" xfId="0" applyFont="1" applyBorder="1"/>
    <xf numFmtId="0" fontId="7" fillId="0" borderId="3" xfId="0" applyFont="1" applyFill="1" applyBorder="1"/>
    <xf numFmtId="0" fontId="7" fillId="0" borderId="4" xfId="0" applyFont="1" applyFill="1" applyBorder="1"/>
    <xf numFmtId="0" fontId="8" fillId="0" borderId="5" xfId="13" applyFont="1" applyBorder="1" applyAlignment="1">
      <alignment horizontal="left"/>
    </xf>
    <xf numFmtId="0" fontId="8" fillId="0" borderId="0" xfId="13" applyFont="1" applyBorder="1" applyAlignment="1">
      <alignment horizontal="left"/>
    </xf>
    <xf numFmtId="0" fontId="0" fillId="0" borderId="3" xfId="0" applyBorder="1"/>
    <xf numFmtId="0" fontId="0" fillId="0" borderId="4" xfId="0" applyBorder="1"/>
    <xf numFmtId="0" fontId="8" fillId="0" borderId="3" xfId="13" applyFont="1" applyBorder="1" applyAlignment="1">
      <alignment horizontal="left"/>
    </xf>
    <xf numFmtId="0" fontId="8" fillId="0" borderId="4" xfId="13" applyFont="1" applyBorder="1" applyAlignment="1">
      <alignment horizontal="left"/>
    </xf>
    <xf numFmtId="0" fontId="8" fillId="0" borderId="5" xfId="13" applyFont="1" applyFill="1" applyBorder="1" applyAlignment="1">
      <alignment horizontal="left"/>
    </xf>
    <xf numFmtId="0" fontId="8" fillId="0" borderId="0" xfId="13" applyFont="1" applyFill="1" applyBorder="1" applyAlignment="1">
      <alignment horizontal="left"/>
    </xf>
    <xf numFmtId="0" fontId="8" fillId="0" borderId="3" xfId="13" applyFont="1" applyFill="1" applyBorder="1" applyAlignment="1">
      <alignment horizontal="left"/>
    </xf>
    <xf numFmtId="0" fontId="8" fillId="0" borderId="4" xfId="13" applyFont="1" applyFill="1" applyBorder="1" applyAlignment="1">
      <alignment horizontal="left"/>
    </xf>
    <xf numFmtId="0" fontId="0" fillId="3" borderId="0" xfId="0" applyFill="1"/>
    <xf numFmtId="0" fontId="8" fillId="3" borderId="5" xfId="13" applyFont="1" applyFill="1" applyBorder="1" applyAlignment="1">
      <alignment horizontal="left"/>
    </xf>
    <xf numFmtId="0" fontId="8" fillId="3" borderId="0" xfId="13" applyFont="1" applyFill="1" applyBorder="1" applyAlignment="1">
      <alignment horizontal="left"/>
    </xf>
    <xf numFmtId="0" fontId="0" fillId="3" borderId="3" xfId="0" applyFill="1" applyBorder="1"/>
    <xf numFmtId="0" fontId="0" fillId="3" borderId="4" xfId="0" applyFill="1" applyBorder="1"/>
    <xf numFmtId="0" fontId="8" fillId="3" borderId="3" xfId="13" applyFont="1" applyFill="1" applyBorder="1" applyAlignment="1">
      <alignment horizontal="left"/>
    </xf>
    <xf numFmtId="0" fontId="8" fillId="3" borderId="4" xfId="13" applyFont="1" applyFill="1" applyBorder="1" applyAlignment="1">
      <alignment horizontal="left"/>
    </xf>
    <xf numFmtId="0" fontId="7" fillId="4" borderId="0" xfId="0" applyFont="1" applyFill="1"/>
    <xf numFmtId="0" fontId="9" fillId="5" borderId="0" xfId="13" applyFont="1" applyFill="1" applyBorder="1" applyAlignment="1">
      <alignment horizontal="left"/>
    </xf>
    <xf numFmtId="0" fontId="9" fillId="6" borderId="6" xfId="13" applyFont="1" applyFill="1" applyBorder="1" applyAlignment="1">
      <alignment horizontal="left"/>
    </xf>
    <xf numFmtId="0" fontId="10" fillId="6" borderId="7" xfId="13" applyFont="1" applyFill="1" applyBorder="1" applyAlignment="1">
      <alignment horizontal="left"/>
    </xf>
    <xf numFmtId="0" fontId="7" fillId="7" borderId="6" xfId="0" applyFont="1" applyFill="1" applyBorder="1"/>
    <xf numFmtId="0" fontId="7" fillId="7" borderId="7" xfId="0" applyFont="1" applyFill="1" applyBorder="1"/>
    <xf numFmtId="0" fontId="7" fillId="8" borderId="6" xfId="0" applyFont="1" applyFill="1" applyBorder="1"/>
    <xf numFmtId="0" fontId="7" fillId="8" borderId="7" xfId="0" applyFont="1" applyFill="1" applyBorder="1"/>
    <xf numFmtId="0" fontId="7" fillId="9" borderId="6" xfId="0" applyFont="1" applyFill="1" applyBorder="1"/>
    <xf numFmtId="0" fontId="7" fillId="9" borderId="7" xfId="0" applyFont="1" applyFill="1" applyBorder="1"/>
    <xf numFmtId="0" fontId="7" fillId="10" borderId="6" xfId="0" applyFont="1" applyFill="1" applyBorder="1"/>
    <xf numFmtId="0" fontId="7" fillId="10" borderId="7" xfId="0" applyFont="1" applyFill="1" applyBorder="1"/>
    <xf numFmtId="0" fontId="7" fillId="11" borderId="6" xfId="0" applyFont="1" applyFill="1" applyBorder="1"/>
    <xf numFmtId="0" fontId="7" fillId="11" borderId="7" xfId="0" applyFont="1" applyFill="1" applyBorder="1"/>
    <xf numFmtId="0" fontId="7" fillId="0" borderId="0" xfId="0" applyFont="1"/>
    <xf numFmtId="0" fontId="10" fillId="6" borderId="8" xfId="13" applyFont="1" applyFill="1" applyBorder="1" applyAlignment="1">
      <alignment horizontal="left"/>
    </xf>
    <xf numFmtId="0" fontId="7" fillId="0" borderId="0" xfId="0" applyFont="1" applyBorder="1"/>
    <xf numFmtId="0" fontId="7" fillId="7" borderId="8" xfId="0" applyFont="1" applyFill="1" applyBorder="1"/>
    <xf numFmtId="0" fontId="0" fillId="0" borderId="0" xfId="0" applyBorder="1"/>
    <xf numFmtId="0" fontId="0" fillId="3" borderId="0" xfId="0" applyFill="1" applyBorder="1"/>
    <xf numFmtId="0" fontId="7" fillId="8" borderId="8" xfId="0" applyFont="1" applyFill="1" applyBorder="1"/>
    <xf numFmtId="0" fontId="7" fillId="0" borderId="0" xfId="0" applyFont="1" applyFill="1" applyBorder="1"/>
    <xf numFmtId="0" fontId="7" fillId="9" borderId="8" xfId="0" applyFont="1" applyFill="1" applyBorder="1"/>
    <xf numFmtId="0" fontId="7" fillId="10" borderId="8" xfId="0" applyFont="1" applyFill="1" applyBorder="1"/>
    <xf numFmtId="0" fontId="0" fillId="8" borderId="0" xfId="0" applyFill="1"/>
    <xf numFmtId="0" fontId="8" fillId="8" borderId="5" xfId="13" applyFont="1" applyFill="1" applyBorder="1" applyAlignment="1">
      <alignment horizontal="left"/>
    </xf>
    <xf numFmtId="0" fontId="8" fillId="8" borderId="0" xfId="13" applyFont="1" applyFill="1" applyBorder="1" applyAlignment="1">
      <alignment horizontal="left"/>
    </xf>
    <xf numFmtId="0" fontId="0" fillId="8" borderId="3" xfId="0" applyFill="1" applyBorder="1"/>
    <xf numFmtId="0" fontId="0" fillId="0" borderId="0" xfId="0" applyFill="1"/>
    <xf numFmtId="0" fontId="0" fillId="0" borderId="9" xfId="0" applyBorder="1"/>
    <xf numFmtId="0" fontId="11" fillId="0" borderId="9" xfId="0" applyFont="1" applyFill="1" applyBorder="1" applyAlignment="1">
      <alignment horizontal="left"/>
    </xf>
    <xf numFmtId="0" fontId="0" fillId="12" borderId="0" xfId="0" applyFill="1"/>
    <xf numFmtId="0" fontId="3" fillId="13" borderId="0" xfId="0" applyFont="1" applyFill="1"/>
    <xf numFmtId="164" fontId="0" fillId="0" borderId="0" xfId="0" applyNumberFormat="1"/>
    <xf numFmtId="164" fontId="0" fillId="0" borderId="9" xfId="0" applyNumberFormat="1" applyBorder="1"/>
    <xf numFmtId="0" fontId="2" fillId="0" borderId="9" xfId="0" applyFont="1" applyBorder="1" applyAlignment="1">
      <alignment horizontal="left"/>
    </xf>
    <xf numFmtId="164" fontId="0" fillId="0" borderId="3" xfId="0" applyNumberFormat="1" applyFill="1" applyBorder="1"/>
    <xf numFmtId="164" fontId="0" fillId="0" borderId="0" xfId="0" applyNumberFormat="1" applyFill="1"/>
    <xf numFmtId="0" fontId="2" fillId="0" borderId="9" xfId="0" applyFont="1" applyBorder="1"/>
    <xf numFmtId="0" fontId="2" fillId="0" borderId="9" xfId="0" applyFont="1" applyFill="1" applyBorder="1"/>
    <xf numFmtId="0" fontId="12" fillId="0" borderId="0" xfId="0" applyFont="1"/>
    <xf numFmtId="0" fontId="2" fillId="0" borderId="0" xfId="0" applyFont="1"/>
    <xf numFmtId="0" fontId="7" fillId="2" borderId="9" xfId="0" applyFont="1" applyFill="1" applyBorder="1"/>
    <xf numFmtId="0" fontId="0" fillId="0" borderId="9" xfId="0" applyBorder="1" applyAlignment="1">
      <alignment horizontal="left"/>
    </xf>
    <xf numFmtId="0" fontId="0" fillId="13" borderId="9" xfId="0" applyFill="1" applyBorder="1"/>
    <xf numFmtId="0" fontId="0" fillId="0" borderId="9" xfId="0" applyNumberFormat="1" applyBorder="1"/>
    <xf numFmtId="0" fontId="0" fillId="13" borderId="9" xfId="0" applyNumberFormat="1" applyFill="1" applyBorder="1"/>
    <xf numFmtId="0" fontId="0" fillId="0" borderId="9" xfId="0" applyNumberFormat="1" applyFill="1" applyBorder="1"/>
    <xf numFmtId="0" fontId="0" fillId="14" borderId="9" xfId="0" applyFill="1" applyBorder="1"/>
    <xf numFmtId="0" fontId="0" fillId="14" borderId="9" xfId="0" applyNumberFormat="1" applyFill="1" applyBorder="1"/>
    <xf numFmtId="0" fontId="4" fillId="2" borderId="9" xfId="0" applyFont="1" applyFill="1" applyBorder="1"/>
    <xf numFmtId="0" fontId="13" fillId="0" borderId="0" xfId="0" applyFont="1"/>
    <xf numFmtId="164" fontId="2" fillId="0" borderId="9" xfId="0" applyNumberFormat="1" applyFont="1" applyBorder="1"/>
    <xf numFmtId="0" fontId="14" fillId="0" borderId="0" xfId="0" applyFont="1"/>
    <xf numFmtId="0" fontId="15" fillId="0" borderId="0" xfId="0" applyFont="1"/>
    <xf numFmtId="0" fontId="2" fillId="0" borderId="10" xfId="0" applyFont="1" applyBorder="1"/>
    <xf numFmtId="0" fontId="2" fillId="0" borderId="11" xfId="0" applyFont="1" applyBorder="1"/>
    <xf numFmtId="0" fontId="0" fillId="0" borderId="11" xfId="0" applyBorder="1"/>
    <xf numFmtId="1" fontId="0" fillId="0" borderId="11" xfId="0" applyNumberFormat="1" applyBorder="1"/>
    <xf numFmtId="2" fontId="0" fillId="0" borderId="11" xfId="0" applyNumberFormat="1" applyBorder="1"/>
    <xf numFmtId="0" fontId="0" fillId="15" borderId="11" xfId="0" applyFill="1" applyBorder="1"/>
    <xf numFmtId="0" fontId="0" fillId="0" borderId="12" xfId="0" applyBorder="1"/>
    <xf numFmtId="0" fontId="2" fillId="0" borderId="12" xfId="0" applyFont="1" applyBorder="1"/>
    <xf numFmtId="0" fontId="17" fillId="0" borderId="0" xfId="0" applyFont="1"/>
    <xf numFmtId="0" fontId="16" fillId="16" borderId="13" xfId="0" applyFont="1" applyFill="1" applyBorder="1"/>
    <xf numFmtId="0" fontId="3" fillId="16" borderId="13" xfId="0" applyFont="1" applyFill="1" applyBorder="1"/>
    <xf numFmtId="0" fontId="16" fillId="16" borderId="14" xfId="0" applyFont="1" applyFill="1" applyBorder="1"/>
    <xf numFmtId="0" fontId="3" fillId="16" borderId="15" xfId="0" applyFont="1" applyFill="1" applyBorder="1"/>
    <xf numFmtId="0" fontId="3" fillId="16" borderId="14" xfId="0" applyFont="1" applyFill="1" applyBorder="1"/>
    <xf numFmtId="0" fontId="3" fillId="16" borderId="16" xfId="0" applyFont="1" applyFill="1" applyBorder="1"/>
    <xf numFmtId="0" fontId="0" fillId="0" borderId="17" xfId="0" applyFont="1" applyBorder="1" applyAlignment="1">
      <alignment horizontal="left"/>
    </xf>
    <xf numFmtId="0" fontId="0" fillId="0" borderId="17" xfId="0" applyNumberFormat="1" applyFont="1" applyBorder="1"/>
    <xf numFmtId="0" fontId="18" fillId="17" borderId="18" xfId="0" applyFont="1" applyFill="1" applyBorder="1"/>
    <xf numFmtId="0" fontId="19" fillId="17" borderId="18" xfId="0" applyFont="1" applyFill="1" applyBorder="1"/>
    <xf numFmtId="0" fontId="18" fillId="17" borderId="19" xfId="0" applyFont="1" applyFill="1" applyBorder="1"/>
    <xf numFmtId="0" fontId="19" fillId="17" borderId="20" xfId="0" applyFont="1" applyFill="1" applyBorder="1"/>
    <xf numFmtId="0" fontId="19" fillId="17" borderId="21" xfId="0" applyFont="1" applyFill="1" applyBorder="1"/>
    <xf numFmtId="0" fontId="20" fillId="0" borderId="22" xfId="0" applyFont="1" applyBorder="1" applyAlignment="1">
      <alignment horizontal="left"/>
    </xf>
    <xf numFmtId="0" fontId="20" fillId="0" borderId="22" xfId="0" applyFont="1" applyBorder="1"/>
    <xf numFmtId="0" fontId="14" fillId="0" borderId="17" xfId="0" applyNumberFormat="1" applyFont="1" applyBorder="1"/>
    <xf numFmtId="2" fontId="14" fillId="0" borderId="17" xfId="0" applyNumberFormat="1" applyFont="1" applyBorder="1"/>
    <xf numFmtId="0" fontId="14" fillId="0" borderId="22" xfId="0" applyFont="1" applyBorder="1"/>
    <xf numFmtId="0" fontId="14" fillId="0" borderId="23" xfId="0" applyFont="1" applyBorder="1"/>
    <xf numFmtId="0" fontId="3" fillId="18" borderId="17" xfId="0" applyFont="1" applyFill="1" applyBorder="1" applyAlignment="1">
      <alignment horizontal="left"/>
    </xf>
    <xf numFmtId="0" fontId="3" fillId="18" borderId="17" xfId="0" applyNumberFormat="1" applyFont="1" applyFill="1" applyBorder="1"/>
    <xf numFmtId="14" fontId="0" fillId="0" borderId="17" xfId="0" applyNumberFormat="1" applyFont="1" applyBorder="1" applyAlignment="1">
      <alignment horizontal="left" indent="1"/>
    </xf>
    <xf numFmtId="2" fontId="0" fillId="0" borderId="17" xfId="0" applyNumberFormat="1" applyFont="1" applyBorder="1" applyAlignment="1">
      <alignment horizontal="left" indent="1"/>
    </xf>
    <xf numFmtId="164" fontId="0" fillId="0" borderId="17" xfId="0" applyNumberFormat="1" applyFont="1" applyBorder="1"/>
    <xf numFmtId="0" fontId="0" fillId="0" borderId="0" xfId="0" applyFont="1" applyBorder="1" applyAlignment="1">
      <alignment horizontal="left"/>
    </xf>
    <xf numFmtId="0" fontId="0" fillId="0" borderId="0" xfId="0" applyNumberFormat="1" applyFont="1" applyBorder="1"/>
    <xf numFmtId="0" fontId="14" fillId="0" borderId="0" xfId="0" applyNumberFormat="1" applyFont="1" applyBorder="1"/>
    <xf numFmtId="0" fontId="0" fillId="0" borderId="0" xfId="0" applyNumberFormat="1" applyFont="1" applyFill="1" applyBorder="1"/>
    <xf numFmtId="2" fontId="0" fillId="0" borderId="0" xfId="0" applyNumberFormat="1" applyFont="1" applyFill="1" applyBorder="1" applyAlignment="1">
      <alignment horizontal="left" indent="1"/>
    </xf>
    <xf numFmtId="1" fontId="0" fillId="0" borderId="17" xfId="0" applyNumberFormat="1" applyFont="1" applyBorder="1" applyAlignment="1">
      <alignment horizontal="left" indent="1"/>
    </xf>
    <xf numFmtId="1" fontId="0" fillId="0" borderId="0" xfId="0" applyNumberFormat="1" applyFont="1" applyFill="1" applyBorder="1" applyAlignment="1">
      <alignment horizontal="left" indent="1"/>
    </xf>
    <xf numFmtId="0" fontId="21" fillId="0" borderId="0" xfId="0" applyFont="1"/>
    <xf numFmtId="0" fontId="0" fillId="0" borderId="11" xfId="0" applyFill="1" applyBorder="1"/>
    <xf numFmtId="2" fontId="17" fillId="0" borderId="0" xfId="0" applyNumberFormat="1" applyFont="1"/>
    <xf numFmtId="0" fontId="0" fillId="0" borderId="11" xfId="0" applyFont="1" applyBorder="1"/>
    <xf numFmtId="0" fontId="22" fillId="0" borderId="11" xfId="0" applyFont="1" applyBorder="1"/>
    <xf numFmtId="0" fontId="0" fillId="0" borderId="11" xfId="0" applyFont="1" applyFill="1" applyBorder="1"/>
    <xf numFmtId="2" fontId="0" fillId="0" borderId="0" xfId="0" applyNumberFormat="1" applyFont="1"/>
    <xf numFmtId="0" fontId="0" fillId="0" borderId="0" xfId="0" applyAlignment="1">
      <alignment wrapText="1"/>
    </xf>
    <xf numFmtId="0" fontId="0" fillId="0" borderId="17" xfId="0" applyFont="1" applyBorder="1" applyAlignment="1">
      <alignment horizontal="left" indent="1"/>
    </xf>
    <xf numFmtId="0" fontId="2" fillId="20" borderId="11" xfId="0" applyFont="1" applyFill="1" applyBorder="1"/>
    <xf numFmtId="0" fontId="23" fillId="20" borderId="11" xfId="0" applyFont="1" applyFill="1" applyBorder="1"/>
    <xf numFmtId="0" fontId="0" fillId="20" borderId="11" xfId="0" applyFill="1" applyBorder="1"/>
    <xf numFmtId="0" fontId="0" fillId="15" borderId="0" xfId="0" applyFont="1" applyFill="1"/>
    <xf numFmtId="0" fontId="23" fillId="0" borderId="11" xfId="0" applyFont="1" applyBorder="1"/>
    <xf numFmtId="0" fontId="23" fillId="0" borderId="12" xfId="0" applyFont="1" applyBorder="1"/>
    <xf numFmtId="0" fontId="22" fillId="0" borderId="12" xfId="0" applyFont="1" applyBorder="1"/>
    <xf numFmtId="0" fontId="0" fillId="19" borderId="0" xfId="0" applyFill="1"/>
    <xf numFmtId="0" fontId="28" fillId="20" borderId="11" xfId="0" applyFont="1" applyFill="1" applyBorder="1"/>
    <xf numFmtId="0" fontId="2" fillId="19" borderId="0" xfId="0" applyFont="1" applyFill="1"/>
    <xf numFmtId="0" fontId="0" fillId="20" borderId="12" xfId="0" applyFont="1" applyFill="1" applyBorder="1"/>
    <xf numFmtId="2" fontId="0" fillId="0" borderId="24" xfId="0" applyNumberFormat="1" applyFont="1" applyBorder="1"/>
    <xf numFmtId="2" fontId="17" fillId="0" borderId="24" xfId="0" applyNumberFormat="1" applyFont="1" applyBorder="1"/>
    <xf numFmtId="0" fontId="14" fillId="0" borderId="24" xfId="0" applyFont="1" applyBorder="1"/>
    <xf numFmtId="0" fontId="0" fillId="0" borderId="24" xfId="0" applyBorder="1"/>
    <xf numFmtId="0" fontId="0" fillId="0" borderId="7" xfId="0" applyBorder="1"/>
    <xf numFmtId="0" fontId="0" fillId="0" borderId="25" xfId="0" applyBorder="1"/>
    <xf numFmtId="0" fontId="31" fillId="0" borderId="12" xfId="0" applyFont="1" applyBorder="1"/>
    <xf numFmtId="0" fontId="21" fillId="15" borderId="0" xfId="0" applyFont="1" applyFill="1"/>
    <xf numFmtId="0" fontId="21" fillId="8" borderId="11" xfId="0" applyFont="1" applyFill="1" applyBorder="1"/>
    <xf numFmtId="0" fontId="21" fillId="12" borderId="11" xfId="0" applyFont="1" applyFill="1" applyBorder="1"/>
    <xf numFmtId="0" fontId="21" fillId="15" borderId="11" xfId="0" applyFont="1" applyFill="1" applyBorder="1"/>
    <xf numFmtId="0" fontId="21" fillId="21" borderId="0" xfId="0" applyFont="1" applyFill="1"/>
    <xf numFmtId="0" fontId="32" fillId="0" borderId="0" xfId="0" applyFont="1"/>
    <xf numFmtId="0" fontId="32" fillId="0" borderId="11" xfId="0" applyFont="1" applyBorder="1"/>
    <xf numFmtId="0" fontId="32" fillId="0" borderId="11" xfId="0" applyFont="1" applyFill="1" applyBorder="1"/>
    <xf numFmtId="0" fontId="32" fillId="0" borderId="12" xfId="0" applyFont="1" applyBorder="1"/>
    <xf numFmtId="1" fontId="32" fillId="0" borderId="12" xfId="0" applyNumberFormat="1" applyFont="1" applyBorder="1"/>
    <xf numFmtId="0" fontId="34" fillId="8" borderId="27" xfId="0" applyFont="1" applyFill="1" applyBorder="1" applyAlignment="1">
      <alignment vertical="center" wrapText="1"/>
    </xf>
    <xf numFmtId="0" fontId="33" fillId="8" borderId="26" xfId="0" applyFont="1" applyFill="1" applyBorder="1" applyAlignment="1">
      <alignment vertical="center" wrapText="1"/>
    </xf>
    <xf numFmtId="0" fontId="33" fillId="0" borderId="0" xfId="0" applyFont="1" applyFill="1" applyBorder="1" applyAlignment="1">
      <alignment horizontal="left" vertical="center" wrapText="1"/>
    </xf>
    <xf numFmtId="0" fontId="35" fillId="0" borderId="3" xfId="0" applyFont="1" applyFill="1" applyBorder="1" applyAlignment="1">
      <alignment horizontal="left" vertical="center" wrapText="1"/>
    </xf>
    <xf numFmtId="0" fontId="34" fillId="0" borderId="29" xfId="0" applyFont="1" applyBorder="1" applyAlignment="1">
      <alignment vertical="center" wrapText="1"/>
    </xf>
    <xf numFmtId="0" fontId="34" fillId="0" borderId="30" xfId="0" applyFont="1" applyBorder="1" applyAlignment="1">
      <alignment vertical="center" wrapText="1"/>
    </xf>
    <xf numFmtId="0" fontId="34" fillId="0" borderId="31" xfId="0" applyFont="1" applyFill="1" applyBorder="1" applyAlignment="1">
      <alignment vertical="center" wrapText="1"/>
    </xf>
    <xf numFmtId="0" fontId="34" fillId="0" borderId="0" xfId="0" applyFont="1" applyFill="1" applyBorder="1" applyAlignment="1">
      <alignment vertical="center" wrapText="1"/>
    </xf>
    <xf numFmtId="0" fontId="0" fillId="0" borderId="4" xfId="0" applyFill="1" applyBorder="1" applyAlignment="1">
      <alignment horizontal="left"/>
    </xf>
    <xf numFmtId="2" fontId="33" fillId="0" borderId="0" xfId="0" applyNumberFormat="1" applyFont="1" applyFill="1" applyBorder="1" applyAlignment="1">
      <alignment horizontal="left" vertical="center" wrapText="1"/>
    </xf>
    <xf numFmtId="2" fontId="34" fillId="0" borderId="0" xfId="0" applyNumberFormat="1" applyFont="1" applyFill="1" applyBorder="1" applyAlignment="1">
      <alignment horizontal="left" vertical="center" wrapText="1"/>
    </xf>
    <xf numFmtId="0" fontId="35" fillId="0" borderId="28" xfId="0" applyFont="1" applyFill="1" applyBorder="1" applyAlignment="1">
      <alignment horizontal="left" vertical="center" wrapText="1"/>
    </xf>
    <xf numFmtId="164" fontId="2" fillId="0" borderId="0" xfId="0" applyNumberFormat="1" applyFont="1"/>
    <xf numFmtId="0" fontId="36" fillId="0" borderId="0" xfId="0" applyFont="1"/>
    <xf numFmtId="0" fontId="33" fillId="23" borderId="0" xfId="0" applyFont="1" applyFill="1" applyBorder="1" applyAlignment="1">
      <alignment horizontal="left" vertical="center" wrapText="1"/>
    </xf>
    <xf numFmtId="2" fontId="33" fillId="23" borderId="0" xfId="0" applyNumberFormat="1" applyFont="1" applyFill="1" applyBorder="1" applyAlignment="1">
      <alignment horizontal="left" vertical="center" wrapText="1"/>
    </xf>
    <xf numFmtId="0" fontId="0" fillId="23" borderId="4" xfId="0" applyFill="1" applyBorder="1" applyAlignment="1">
      <alignment horizontal="left"/>
    </xf>
    <xf numFmtId="0" fontId="0" fillId="0" borderId="24" xfId="0" applyFill="1" applyBorder="1"/>
    <xf numFmtId="0" fontId="0" fillId="0" borderId="0" xfId="0" applyFill="1" applyAlignment="1">
      <alignment wrapText="1"/>
    </xf>
    <xf numFmtId="0" fontId="0" fillId="0" borderId="0" xfId="0" applyFill="1" applyBorder="1" applyAlignment="1">
      <alignment wrapText="1"/>
    </xf>
    <xf numFmtId="0" fontId="0" fillId="0" borderId="0" xfId="0" applyFont="1" applyFill="1" applyBorder="1" applyAlignment="1">
      <alignment wrapText="1"/>
    </xf>
    <xf numFmtId="0" fontId="2" fillId="0" borderId="4" xfId="0" applyFont="1" applyFill="1" applyBorder="1" applyAlignment="1">
      <alignment horizontal="left"/>
    </xf>
    <xf numFmtId="2" fontId="33" fillId="22" borderId="0" xfId="0" applyNumberFormat="1" applyFont="1" applyFill="1" applyBorder="1" applyAlignment="1">
      <alignment horizontal="left" vertical="center" wrapText="1"/>
    </xf>
    <xf numFmtId="0" fontId="7" fillId="2" borderId="1" xfId="0" applyFont="1" applyFill="1" applyBorder="1"/>
    <xf numFmtId="0" fontId="37" fillId="0" borderId="0" xfId="0" applyFont="1" applyAlignment="1">
      <alignment horizontal="center" vertical="center"/>
    </xf>
    <xf numFmtId="0" fontId="0" fillId="0" borderId="0" xfId="0" applyFill="1" applyBorder="1"/>
    <xf numFmtId="0" fontId="0" fillId="0" borderId="0" xfId="0" applyAlignment="1">
      <alignment horizontal="left" indent="1"/>
    </xf>
    <xf numFmtId="0" fontId="4" fillId="2" borderId="0" xfId="0" applyFont="1" applyFill="1" applyBorder="1"/>
    <xf numFmtId="2" fontId="2" fillId="0" borderId="0" xfId="0" applyNumberFormat="1" applyFont="1"/>
    <xf numFmtId="0" fontId="2" fillId="0" borderId="0" xfId="0" applyFont="1" applyAlignment="1">
      <alignment horizontal="left" indent="1"/>
    </xf>
    <xf numFmtId="2" fontId="0" fillId="0" borderId="0" xfId="0" applyNumberFormat="1"/>
    <xf numFmtId="0" fontId="0" fillId="0" borderId="3" xfId="0" applyFill="1" applyBorder="1" applyAlignment="1">
      <alignment wrapText="1"/>
    </xf>
    <xf numFmtId="0" fontId="35" fillId="0" borderId="24" xfId="0" applyFont="1" applyFill="1" applyBorder="1" applyAlignment="1">
      <alignment horizontal="left" vertical="center" wrapText="1"/>
    </xf>
    <xf numFmtId="0" fontId="38" fillId="0" borderId="24" xfId="0" applyFont="1" applyFill="1" applyBorder="1" applyAlignment="1">
      <alignment horizontal="left" vertical="center" wrapText="1"/>
    </xf>
    <xf numFmtId="2" fontId="38" fillId="0" borderId="24" xfId="0" applyNumberFormat="1" applyFont="1" applyFill="1" applyBorder="1" applyAlignment="1">
      <alignment horizontal="left" vertical="center" wrapText="1"/>
    </xf>
    <xf numFmtId="0" fontId="17" fillId="0" borderId="25" xfId="0" applyFont="1" applyFill="1" applyBorder="1" applyAlignment="1">
      <alignment horizontal="left"/>
    </xf>
    <xf numFmtId="2" fontId="39" fillId="0" borderId="24" xfId="0" applyNumberFormat="1" applyFont="1" applyFill="1" applyBorder="1" applyAlignment="1">
      <alignment horizontal="left" vertical="center" wrapText="1"/>
    </xf>
    <xf numFmtId="164" fontId="0" fillId="0" borderId="0" xfId="0" applyNumberFormat="1" applyFont="1" applyFill="1"/>
    <xf numFmtId="0" fontId="0" fillId="0" borderId="0" xfId="0" applyFont="1" applyFill="1" applyBorder="1"/>
    <xf numFmtId="0" fontId="0" fillId="0" borderId="24" xfId="0" applyFont="1" applyFill="1" applyBorder="1"/>
    <xf numFmtId="0" fontId="0" fillId="0" borderId="0" xfId="0" applyFont="1" applyFill="1"/>
    <xf numFmtId="0" fontId="14" fillId="0" borderId="28" xfId="0" applyFont="1" applyFill="1" applyBorder="1"/>
    <xf numFmtId="2" fontId="34" fillId="23" borderId="0" xfId="0" applyNumberFormat="1" applyFont="1" applyFill="1" applyBorder="1" applyAlignment="1">
      <alignment horizontal="left" vertical="center" wrapText="1"/>
    </xf>
    <xf numFmtId="0" fontId="40" fillId="0" borderId="30" xfId="0" applyFont="1" applyBorder="1" applyAlignment="1">
      <alignment vertical="center" wrapText="1"/>
    </xf>
    <xf numFmtId="2" fontId="3" fillId="18" borderId="17" xfId="0" applyNumberFormat="1" applyFont="1" applyFill="1" applyBorder="1"/>
    <xf numFmtId="2" fontId="0" fillId="0" borderId="17" xfId="0" applyNumberFormat="1" applyFont="1" applyBorder="1"/>
    <xf numFmtId="0" fontId="3" fillId="16" borderId="0" xfId="0" applyFont="1" applyFill="1" applyBorder="1"/>
    <xf numFmtId="2" fontId="41" fillId="0" borderId="0" xfId="0" applyNumberFormat="1" applyFont="1" applyFill="1" applyBorder="1" applyAlignment="1">
      <alignment horizontal="left" vertical="center" wrapText="1"/>
    </xf>
    <xf numFmtId="2" fontId="42" fillId="0" borderId="0" xfId="0" applyNumberFormat="1" applyFont="1" applyFill="1" applyBorder="1" applyAlignment="1">
      <alignment horizontal="left" vertical="center" wrapText="1"/>
    </xf>
    <xf numFmtId="0" fontId="14" fillId="0" borderId="0" xfId="0" applyFont="1" applyFill="1" applyBorder="1" applyAlignment="1">
      <alignment wrapText="1"/>
    </xf>
    <xf numFmtId="0" fontId="0" fillId="0" borderId="4" xfId="0" applyFont="1" applyFill="1" applyBorder="1" applyAlignment="1">
      <alignment horizontal="left"/>
    </xf>
    <xf numFmtId="0" fontId="33" fillId="0" borderId="24" xfId="0" applyFont="1" applyFill="1" applyBorder="1" applyAlignment="1">
      <alignment horizontal="left" vertical="center" wrapText="1"/>
    </xf>
    <xf numFmtId="2" fontId="34" fillId="0" borderId="24" xfId="0" applyNumberFormat="1" applyFont="1" applyFill="1" applyBorder="1" applyAlignment="1">
      <alignment horizontal="left" vertical="center" wrapText="1"/>
    </xf>
    <xf numFmtId="2" fontId="33" fillId="0" borderId="24" xfId="0" applyNumberFormat="1" applyFont="1" applyFill="1" applyBorder="1" applyAlignment="1">
      <alignment horizontal="left" vertical="center" wrapText="1"/>
    </xf>
    <xf numFmtId="0" fontId="0" fillId="0" borderId="25" xfId="0" applyFont="1" applyFill="1" applyBorder="1" applyAlignment="1">
      <alignment horizontal="left"/>
    </xf>
    <xf numFmtId="0" fontId="2" fillId="0" borderId="0" xfId="0" applyFont="1" applyAlignment="1">
      <alignment horizontal="left" wrapText="1"/>
    </xf>
    <xf numFmtId="0" fontId="34" fillId="0" borderId="0" xfId="0" applyFont="1" applyFill="1" applyBorder="1" applyAlignment="1">
      <alignment horizontal="center" vertical="center" wrapText="1"/>
    </xf>
    <xf numFmtId="0" fontId="2" fillId="0" borderId="10" xfId="0" applyFont="1" applyBorder="1" applyAlignment="1">
      <alignment horizontal="center"/>
    </xf>
  </cellXfs>
  <cellStyles count="113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Normal" xfId="0" builtinId="0"/>
    <cellStyle name="Normal 2" xfId="13" xr:uid="{00000000-0005-0000-0000-00006D04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 - Density </a:t>
            </a:r>
          </a:p>
        </c:rich>
      </c:tx>
      <c:layout>
        <c:manualLayout>
          <c:xMode val="edge"/>
          <c:yMode val="edge"/>
          <c:x val="0.30082355840078101"/>
          <c:y val="2.7198733866813998E-2"/>
        </c:manualLayout>
      </c:layout>
      <c:overlay val="0"/>
    </c:title>
    <c:autoTitleDeleted val="0"/>
    <c:plotArea>
      <c:layout>
        <c:manualLayout>
          <c:layoutTarget val="inner"/>
          <c:xMode val="edge"/>
          <c:yMode val="edge"/>
          <c:x val="0.13485892388451401"/>
          <c:y val="4.6296296296296301E-2"/>
          <c:w val="0.77156474190726099"/>
          <c:h val="0.71598789734616497"/>
        </c:manualLayout>
      </c:layout>
      <c:scatterChart>
        <c:scatterStyle val="lineMarker"/>
        <c:varyColors val="0"/>
        <c:ser>
          <c:idx val="0"/>
          <c:order val="0"/>
          <c:spPr>
            <a:ln w="47625">
              <a:noFill/>
            </a:ln>
          </c:spPr>
          <c:trendline>
            <c:trendlineType val="linear"/>
            <c:dispRSqr val="1"/>
            <c:dispEq val="1"/>
            <c:trendlineLbl>
              <c:layout>
                <c:manualLayout>
                  <c:x val="0.11851459248149"/>
                  <c:y val="-0.336153506512883"/>
                </c:manualLayout>
              </c:layout>
              <c:numFmt formatCode="General" sourceLinked="0"/>
            </c:trendlineLbl>
          </c:trendline>
          <c:xVal>
            <c:numRef>
              <c:f>Kisite!$J$32:$J$43</c:f>
              <c:numCache>
                <c:formatCode>General</c:formatCode>
                <c:ptCount val="12"/>
                <c:pt idx="0">
                  <c:v>1987</c:v>
                </c:pt>
                <c:pt idx="1">
                  <c:v>2004</c:v>
                </c:pt>
                <c:pt idx="2">
                  <c:v>2005</c:v>
                </c:pt>
                <c:pt idx="3">
                  <c:v>2006</c:v>
                </c:pt>
                <c:pt idx="4">
                  <c:v>2007</c:v>
                </c:pt>
                <c:pt idx="5">
                  <c:v>2008</c:v>
                </c:pt>
                <c:pt idx="6">
                  <c:v>2009</c:v>
                </c:pt>
                <c:pt idx="7">
                  <c:v>2010</c:v>
                </c:pt>
                <c:pt idx="8">
                  <c:v>2012</c:v>
                </c:pt>
                <c:pt idx="9">
                  <c:v>2014</c:v>
                </c:pt>
                <c:pt idx="10">
                  <c:v>2015</c:v>
                </c:pt>
                <c:pt idx="11">
                  <c:v>2016</c:v>
                </c:pt>
              </c:numCache>
            </c:numRef>
          </c:xVal>
          <c:yVal>
            <c:numRef>
              <c:f>Kisite!$L$32:$L$43</c:f>
              <c:numCache>
                <c:formatCode>General</c:formatCode>
                <c:ptCount val="12"/>
                <c:pt idx="0">
                  <c:v>271</c:v>
                </c:pt>
                <c:pt idx="2">
                  <c:v>194</c:v>
                </c:pt>
                <c:pt idx="4">
                  <c:v>162</c:v>
                </c:pt>
                <c:pt idx="5">
                  <c:v>83.166666666666671</c:v>
                </c:pt>
                <c:pt idx="6">
                  <c:v>114.75</c:v>
                </c:pt>
                <c:pt idx="7">
                  <c:v>113.33333333333333</c:v>
                </c:pt>
                <c:pt idx="8">
                  <c:v>20</c:v>
                </c:pt>
                <c:pt idx="9">
                  <c:v>91</c:v>
                </c:pt>
                <c:pt idx="10">
                  <c:v>80</c:v>
                </c:pt>
                <c:pt idx="11" formatCode="0.0">
                  <c:v>129.61481396815719</c:v>
                </c:pt>
              </c:numCache>
            </c:numRef>
          </c:yVal>
          <c:smooth val="0"/>
          <c:extLst>
            <c:ext xmlns:c15="http://schemas.microsoft.com/office/drawing/2012/chart" uri="{02D57815-91ED-43cb-92C2-25804820EDAC}">
              <c15:filteredSeriesTitle>
                <c15:tx>
                  <c:strRef>
                    <c:extLst>
                      <c:ext uri="{02D57815-91ED-43cb-92C2-25804820EDAC}">
                        <c15:formulaRef>
                          <c15:sqref>Kisite!#REF!</c15:sqref>
                        </c15:formulaRef>
                      </c:ext>
                    </c:extLst>
                    <c:strCache>
                      <c:ptCount val="1"/>
                      <c:pt idx="0">
                        <c:v>#REF!</c:v>
                      </c:pt>
                    </c:strCache>
                  </c:strRef>
                </c15:tx>
              </c15:filteredSeriesTitle>
            </c:ext>
            <c:ext xmlns:c16="http://schemas.microsoft.com/office/drawing/2014/chart" uri="{C3380CC4-5D6E-409C-BE32-E72D297353CC}">
              <c16:uniqueId val="{00000001-613D-014F-8E8A-A920F2EF177C}"/>
            </c:ext>
          </c:extLst>
        </c:ser>
        <c:dLbls>
          <c:showLegendKey val="0"/>
          <c:showVal val="0"/>
          <c:showCatName val="0"/>
          <c:showSerName val="0"/>
          <c:showPercent val="0"/>
          <c:showBubbleSize val="0"/>
        </c:dLbls>
        <c:axId val="-2049522088"/>
        <c:axId val="-2139604856"/>
      </c:scatterChart>
      <c:valAx>
        <c:axId val="-20495220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139604856"/>
        <c:crosses val="autoZero"/>
        <c:crossBetween val="midCat"/>
      </c:valAx>
      <c:valAx>
        <c:axId val="-2139604856"/>
        <c:scaling>
          <c:orientation val="minMax"/>
        </c:scaling>
        <c:delete val="0"/>
        <c:axPos val="l"/>
        <c:title>
          <c:tx>
            <c:rich>
              <a:bodyPr rot="-5400000" vert="horz"/>
              <a:lstStyle/>
              <a:p>
                <a:pPr>
                  <a:defRPr/>
                </a:pPr>
                <a:r>
                  <a:rPr lang="en-US"/>
                  <a:t>Density (#/ha)</a:t>
                </a:r>
              </a:p>
            </c:rich>
          </c:tx>
          <c:overlay val="0"/>
        </c:title>
        <c:numFmt formatCode="General" sourceLinked="1"/>
        <c:majorTickMark val="out"/>
        <c:minorTickMark val="none"/>
        <c:tickLblPos val="nextTo"/>
        <c:spPr>
          <a:ln w="28575" cmpd="sng">
            <a:solidFill>
              <a:schemeClr val="tx1"/>
            </a:solidFill>
          </a:ln>
        </c:spPr>
        <c:crossAx val="-2049522088"/>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 - Biomass </a:t>
            </a:r>
          </a:p>
        </c:rich>
      </c:tx>
      <c:overlay val="0"/>
    </c:title>
    <c:autoTitleDeleted val="0"/>
    <c:plotArea>
      <c:layout/>
      <c:scatterChart>
        <c:scatterStyle val="lineMarker"/>
        <c:varyColors val="0"/>
        <c:ser>
          <c:idx val="0"/>
          <c:order val="0"/>
          <c:spPr>
            <a:ln w="47625">
              <a:noFill/>
            </a:ln>
          </c:spPr>
          <c:trendline>
            <c:trendlineType val="linear"/>
            <c:dispRSqr val="1"/>
            <c:dispEq val="1"/>
            <c:trendlineLbl>
              <c:layout>
                <c:manualLayout>
                  <c:x val="9.7414914089843305E-2"/>
                  <c:y val="-0.40118585704626702"/>
                </c:manualLayout>
              </c:layout>
              <c:numFmt formatCode="General" sourceLinked="0"/>
            </c:trendlineLbl>
          </c:trendline>
          <c:xVal>
            <c:numRef>
              <c:f>Kisite!$D$32:$D$39</c:f>
              <c:numCache>
                <c:formatCode>General</c:formatCode>
                <c:ptCount val="8"/>
                <c:pt idx="0">
                  <c:v>1987</c:v>
                </c:pt>
                <c:pt idx="1">
                  <c:v>2006</c:v>
                </c:pt>
                <c:pt idx="2">
                  <c:v>2008</c:v>
                </c:pt>
                <c:pt idx="3">
                  <c:v>2009</c:v>
                </c:pt>
                <c:pt idx="4">
                  <c:v>2010</c:v>
                </c:pt>
                <c:pt idx="5">
                  <c:v>2012</c:v>
                </c:pt>
                <c:pt idx="6">
                  <c:v>2014</c:v>
                </c:pt>
                <c:pt idx="7">
                  <c:v>2016</c:v>
                </c:pt>
              </c:numCache>
            </c:numRef>
          </c:xVal>
          <c:yVal>
            <c:numRef>
              <c:f>Kisite!$F$32:$F$39</c:f>
              <c:numCache>
                <c:formatCode>General</c:formatCode>
                <c:ptCount val="8"/>
                <c:pt idx="0">
                  <c:v>44.2</c:v>
                </c:pt>
                <c:pt idx="1">
                  <c:v>15.4</c:v>
                </c:pt>
                <c:pt idx="2">
                  <c:v>45.8</c:v>
                </c:pt>
                <c:pt idx="3">
                  <c:v>58.249999999999993</c:v>
                </c:pt>
                <c:pt idx="6">
                  <c:v>20.3</c:v>
                </c:pt>
              </c:numCache>
            </c:numRef>
          </c:yVal>
          <c:smooth val="0"/>
          <c:extLst>
            <c:ext xmlns:c15="http://schemas.microsoft.com/office/drawing/2012/chart" uri="{02D57815-91ED-43cb-92C2-25804820EDAC}">
              <c15:filteredSeriesTitle>
                <c15:tx>
                  <c:strRef>
                    <c:extLst>
                      <c:ext uri="{02D57815-91ED-43cb-92C2-25804820EDAC}">
                        <c15:formulaRef>
                          <c15:sqref>Kisite!#REF!</c15:sqref>
                        </c15:formulaRef>
                      </c:ext>
                    </c:extLst>
                    <c:strCache>
                      <c:ptCount val="1"/>
                      <c:pt idx="0">
                        <c:v>#REF!</c:v>
                      </c:pt>
                    </c:strCache>
                  </c:strRef>
                </c15:tx>
              </c15:filteredSeriesTitle>
            </c:ext>
            <c:ext xmlns:c16="http://schemas.microsoft.com/office/drawing/2014/chart" uri="{C3380CC4-5D6E-409C-BE32-E72D297353CC}">
              <c16:uniqueId val="{00000001-0E3E-E54E-93CF-378895677A76}"/>
            </c:ext>
          </c:extLst>
        </c:ser>
        <c:dLbls>
          <c:showLegendKey val="0"/>
          <c:showVal val="0"/>
          <c:showCatName val="0"/>
          <c:showSerName val="0"/>
          <c:showPercent val="0"/>
          <c:showBubbleSize val="0"/>
        </c:dLbls>
        <c:axId val="-2145734664"/>
        <c:axId val="-2047144712"/>
      </c:scatterChart>
      <c:valAx>
        <c:axId val="-2145734664"/>
        <c:scaling>
          <c:orientation val="minMax"/>
        </c:scaling>
        <c:delete val="0"/>
        <c:axPos val="b"/>
        <c:numFmt formatCode="General" sourceLinked="1"/>
        <c:majorTickMark val="out"/>
        <c:minorTickMark val="none"/>
        <c:tickLblPos val="nextTo"/>
        <c:spPr>
          <a:ln w="28575" cmpd="sng">
            <a:solidFill>
              <a:schemeClr val="tx1"/>
            </a:solidFill>
          </a:ln>
        </c:spPr>
        <c:crossAx val="-2047144712"/>
        <c:crosses val="autoZero"/>
        <c:crossBetween val="midCat"/>
      </c:valAx>
      <c:valAx>
        <c:axId val="-2047144712"/>
        <c:scaling>
          <c:orientation val="minMax"/>
        </c:scaling>
        <c:delete val="0"/>
        <c:axPos val="l"/>
        <c:title>
          <c:tx>
            <c:rich>
              <a:bodyPr rot="-5400000" vert="horz"/>
              <a:lstStyle/>
              <a:p>
                <a:pPr>
                  <a:defRPr/>
                </a:pPr>
                <a:r>
                  <a:rPr lang="en-US"/>
                  <a:t>Biomass</a:t>
                </a:r>
                <a:r>
                  <a:rPr lang="en-US" baseline="0"/>
                  <a:t> (kg/ha)</a:t>
                </a:r>
                <a:endParaRPr lang="en-US"/>
              </a:p>
            </c:rich>
          </c:tx>
          <c:overlay val="0"/>
        </c:title>
        <c:numFmt formatCode="General" sourceLinked="1"/>
        <c:majorTickMark val="out"/>
        <c:minorTickMark val="none"/>
        <c:tickLblPos val="nextTo"/>
        <c:spPr>
          <a:ln w="28575" cmpd="sng">
            <a:solidFill>
              <a:schemeClr val="tx1"/>
            </a:solidFill>
          </a:ln>
        </c:spPr>
        <c:crossAx val="-2145734664"/>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 - Density </a:t>
            </a:r>
          </a:p>
        </c:rich>
      </c:tx>
      <c:layout>
        <c:manualLayout>
          <c:xMode val="edge"/>
          <c:yMode val="edge"/>
          <c:x val="0.30082355840078101"/>
          <c:y val="2.7198733866813998E-2"/>
        </c:manualLayout>
      </c:layout>
      <c:overlay val="0"/>
    </c:title>
    <c:autoTitleDeleted val="0"/>
    <c:plotArea>
      <c:layout>
        <c:manualLayout>
          <c:layoutTarget val="inner"/>
          <c:xMode val="edge"/>
          <c:yMode val="edge"/>
          <c:x val="0.14597558429667501"/>
          <c:y val="8.2561364020072803E-2"/>
          <c:w val="0.77156474190726099"/>
          <c:h val="0.71598789734616497"/>
        </c:manualLayout>
      </c:layout>
      <c:scatterChart>
        <c:scatterStyle val="lineMarker"/>
        <c:varyColors val="0"/>
        <c:ser>
          <c:idx val="0"/>
          <c:order val="0"/>
          <c:spPr>
            <a:ln w="47625">
              <a:noFill/>
            </a:ln>
          </c:spPr>
          <c:trendline>
            <c:trendlineType val="linear"/>
            <c:dispRSqr val="1"/>
            <c:dispEq val="1"/>
            <c:trendlineLbl>
              <c:layout>
                <c:manualLayout>
                  <c:x val="0.14038591744458401"/>
                  <c:y val="0.24835656469283099"/>
                </c:manualLayout>
              </c:layout>
              <c:numFmt formatCode="General" sourceLinked="0"/>
            </c:trendlineLbl>
          </c:trendline>
          <c:xVal>
            <c:numRef>
              <c:f>Kiunga!$J$4:$J$15</c:f>
              <c:numCache>
                <c:formatCode>General</c:formatCode>
                <c:ptCount val="12"/>
                <c:pt idx="0">
                  <c:v>1987</c:v>
                </c:pt>
                <c:pt idx="1">
                  <c:v>1999</c:v>
                </c:pt>
                <c:pt idx="2">
                  <c:v>2000</c:v>
                </c:pt>
                <c:pt idx="3">
                  <c:v>2001</c:v>
                </c:pt>
                <c:pt idx="4">
                  <c:v>2002</c:v>
                </c:pt>
                <c:pt idx="5">
                  <c:v>2003</c:v>
                </c:pt>
                <c:pt idx="6">
                  <c:v>2004</c:v>
                </c:pt>
                <c:pt idx="7">
                  <c:v>2005</c:v>
                </c:pt>
                <c:pt idx="8">
                  <c:v>2006</c:v>
                </c:pt>
                <c:pt idx="9">
                  <c:v>2007</c:v>
                </c:pt>
                <c:pt idx="10">
                  <c:v>2008</c:v>
                </c:pt>
                <c:pt idx="11">
                  <c:v>2015</c:v>
                </c:pt>
              </c:numCache>
            </c:numRef>
          </c:xVal>
          <c:yVal>
            <c:numRef>
              <c:f>Kiunga!$L$4:$L$15</c:f>
              <c:numCache>
                <c:formatCode>General</c:formatCode>
                <c:ptCount val="12"/>
                <c:pt idx="0">
                  <c:v>335.66666666666703</c:v>
                </c:pt>
                <c:pt idx="2">
                  <c:v>133.625</c:v>
                </c:pt>
                <c:pt idx="5">
                  <c:v>193.25</c:v>
                </c:pt>
                <c:pt idx="7">
                  <c:v>97</c:v>
                </c:pt>
                <c:pt idx="8">
                  <c:v>89.055555555555557</c:v>
                </c:pt>
                <c:pt idx="10">
                  <c:v>161.56</c:v>
                </c:pt>
                <c:pt idx="11" formatCode="0.0">
                  <c:v>28</c:v>
                </c:pt>
              </c:numCache>
            </c:numRef>
          </c:yVal>
          <c:smooth val="0"/>
          <c:extLst>
            <c:ext xmlns:c15="http://schemas.microsoft.com/office/drawing/2012/chart" uri="{02D57815-91ED-43cb-92C2-25804820EDAC}">
              <c15:filteredSeriesTitle>
                <c15:tx>
                  <c:strRef>
                    <c:extLst>
                      <c:ext uri="{02D57815-91ED-43cb-92C2-25804820EDAC}">
                        <c15:formulaRef>
                          <c15:sqref>Kiunga!#REF!</c15:sqref>
                        </c15:formulaRef>
                      </c:ext>
                    </c:extLst>
                    <c:strCache>
                      <c:ptCount val="1"/>
                      <c:pt idx="0">
                        <c:v>#REF!</c:v>
                      </c:pt>
                    </c:strCache>
                  </c:strRef>
                </c15:tx>
              </c15:filteredSeriesTitle>
            </c:ext>
            <c:ext xmlns:c16="http://schemas.microsoft.com/office/drawing/2014/chart" uri="{C3380CC4-5D6E-409C-BE32-E72D297353CC}">
              <c16:uniqueId val="{00000001-613D-014F-8E8A-A920F2EF177C}"/>
            </c:ext>
          </c:extLst>
        </c:ser>
        <c:dLbls>
          <c:showLegendKey val="0"/>
          <c:showVal val="0"/>
          <c:showCatName val="0"/>
          <c:showSerName val="0"/>
          <c:showPercent val="0"/>
          <c:showBubbleSize val="0"/>
        </c:dLbls>
        <c:axId val="-2139182504"/>
        <c:axId val="-2139562232"/>
      </c:scatterChart>
      <c:valAx>
        <c:axId val="-213918250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139562232"/>
        <c:crosses val="autoZero"/>
        <c:crossBetween val="midCat"/>
      </c:valAx>
      <c:valAx>
        <c:axId val="-2139562232"/>
        <c:scaling>
          <c:orientation val="minMax"/>
        </c:scaling>
        <c:delete val="0"/>
        <c:axPos val="l"/>
        <c:title>
          <c:tx>
            <c:rich>
              <a:bodyPr rot="-5400000" vert="horz"/>
              <a:lstStyle/>
              <a:p>
                <a:pPr>
                  <a:defRPr/>
                </a:pPr>
                <a:r>
                  <a:rPr lang="en-US"/>
                  <a:t>Density (#/ha)</a:t>
                </a:r>
              </a:p>
            </c:rich>
          </c:tx>
          <c:overlay val="0"/>
        </c:title>
        <c:numFmt formatCode="General" sourceLinked="1"/>
        <c:majorTickMark val="out"/>
        <c:minorTickMark val="none"/>
        <c:tickLblPos val="nextTo"/>
        <c:spPr>
          <a:ln w="28575" cmpd="sng">
            <a:solidFill>
              <a:schemeClr val="tx1"/>
            </a:solidFill>
          </a:ln>
        </c:spPr>
        <c:crossAx val="-2139182504"/>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 - Biomass </a:t>
            </a:r>
          </a:p>
        </c:rich>
      </c:tx>
      <c:overlay val="0"/>
    </c:title>
    <c:autoTitleDeleted val="0"/>
    <c:plotArea>
      <c:layout>
        <c:manualLayout>
          <c:layoutTarget val="inner"/>
          <c:xMode val="edge"/>
          <c:yMode val="edge"/>
          <c:x val="0.15149431289923801"/>
          <c:y val="0.20721340486233"/>
          <c:w val="0.80345670158584204"/>
          <c:h val="0.70810804026604501"/>
        </c:manualLayout>
      </c:layout>
      <c:scatterChart>
        <c:scatterStyle val="lineMarker"/>
        <c:varyColors val="0"/>
        <c:ser>
          <c:idx val="0"/>
          <c:order val="0"/>
          <c:spPr>
            <a:ln w="47625">
              <a:noFill/>
            </a:ln>
          </c:spPr>
          <c:trendline>
            <c:trendlineType val="linear"/>
            <c:dispRSqr val="1"/>
            <c:dispEq val="1"/>
            <c:trendlineLbl>
              <c:layout>
                <c:manualLayout>
                  <c:x val="9.7414914089843305E-2"/>
                  <c:y val="-0.40118585704626702"/>
                </c:manualLayout>
              </c:layout>
              <c:numFmt formatCode="General" sourceLinked="0"/>
            </c:trendlineLbl>
          </c:trendline>
          <c:xVal>
            <c:numRef>
              <c:f>Kiunga!$D$4:$D$15</c:f>
              <c:numCache>
                <c:formatCode>General</c:formatCode>
                <c:ptCount val="12"/>
                <c:pt idx="0">
                  <c:v>1987</c:v>
                </c:pt>
                <c:pt idx="1">
                  <c:v>1999</c:v>
                </c:pt>
                <c:pt idx="2">
                  <c:v>2000</c:v>
                </c:pt>
                <c:pt idx="3">
                  <c:v>2001</c:v>
                </c:pt>
                <c:pt idx="4">
                  <c:v>2002</c:v>
                </c:pt>
                <c:pt idx="5">
                  <c:v>2003</c:v>
                </c:pt>
                <c:pt idx="6">
                  <c:v>2004</c:v>
                </c:pt>
                <c:pt idx="7">
                  <c:v>2005</c:v>
                </c:pt>
                <c:pt idx="8">
                  <c:v>2006</c:v>
                </c:pt>
                <c:pt idx="9">
                  <c:v>2007</c:v>
                </c:pt>
                <c:pt idx="10">
                  <c:v>2008</c:v>
                </c:pt>
                <c:pt idx="11">
                  <c:v>2015</c:v>
                </c:pt>
              </c:numCache>
            </c:numRef>
          </c:xVal>
          <c:yVal>
            <c:numRef>
              <c:f>Kiunga!$F$4:$F$15</c:f>
              <c:numCache>
                <c:formatCode>General</c:formatCode>
                <c:ptCount val="12"/>
                <c:pt idx="0">
                  <c:v>178.3</c:v>
                </c:pt>
                <c:pt idx="2">
                  <c:v>40.931249999999999</c:v>
                </c:pt>
                <c:pt idx="3">
                  <c:v>57.023529411764699</c:v>
                </c:pt>
                <c:pt idx="5">
                  <c:v>27.45</c:v>
                </c:pt>
                <c:pt idx="6">
                  <c:v>35.15</c:v>
                </c:pt>
                <c:pt idx="7">
                  <c:v>37.907692307692301</c:v>
                </c:pt>
                <c:pt idx="8">
                  <c:v>31.883333333333326</c:v>
                </c:pt>
                <c:pt idx="10">
                  <c:v>42.932000000000009</c:v>
                </c:pt>
                <c:pt idx="11">
                  <c:v>51.446599999999997</c:v>
                </c:pt>
              </c:numCache>
            </c:numRef>
          </c:yVal>
          <c:smooth val="0"/>
          <c:extLst>
            <c:ext xmlns:c15="http://schemas.microsoft.com/office/drawing/2012/chart" uri="{02D57815-91ED-43cb-92C2-25804820EDAC}">
              <c15:filteredSeriesTitle>
                <c15:tx>
                  <c:strRef>
                    <c:extLst>
                      <c:ext uri="{02D57815-91ED-43cb-92C2-25804820EDAC}">
                        <c15:formulaRef>
                          <c15:sqref>Kiunga!#REF!</c15:sqref>
                        </c15:formulaRef>
                      </c:ext>
                    </c:extLst>
                    <c:strCache>
                      <c:ptCount val="1"/>
                      <c:pt idx="0">
                        <c:v>#REF!</c:v>
                      </c:pt>
                    </c:strCache>
                  </c:strRef>
                </c15:tx>
              </c15:filteredSeriesTitle>
            </c:ext>
            <c:ext xmlns:c16="http://schemas.microsoft.com/office/drawing/2014/chart" uri="{C3380CC4-5D6E-409C-BE32-E72D297353CC}">
              <c16:uniqueId val="{00000001-0E3E-E54E-93CF-378895677A76}"/>
            </c:ext>
          </c:extLst>
        </c:ser>
        <c:dLbls>
          <c:showLegendKey val="0"/>
          <c:showVal val="0"/>
          <c:showCatName val="0"/>
          <c:showSerName val="0"/>
          <c:showPercent val="0"/>
          <c:showBubbleSize val="0"/>
        </c:dLbls>
        <c:axId val="-2052301848"/>
        <c:axId val="1768573480"/>
      </c:scatterChart>
      <c:valAx>
        <c:axId val="-2052301848"/>
        <c:scaling>
          <c:orientation val="minMax"/>
        </c:scaling>
        <c:delete val="0"/>
        <c:axPos val="b"/>
        <c:numFmt formatCode="General" sourceLinked="1"/>
        <c:majorTickMark val="out"/>
        <c:minorTickMark val="none"/>
        <c:tickLblPos val="nextTo"/>
        <c:spPr>
          <a:ln w="28575" cmpd="sng">
            <a:solidFill>
              <a:schemeClr val="tx1"/>
            </a:solidFill>
          </a:ln>
        </c:spPr>
        <c:crossAx val="1768573480"/>
        <c:crosses val="autoZero"/>
        <c:crossBetween val="midCat"/>
      </c:valAx>
      <c:valAx>
        <c:axId val="1768573480"/>
        <c:scaling>
          <c:orientation val="minMax"/>
        </c:scaling>
        <c:delete val="0"/>
        <c:axPos val="l"/>
        <c:title>
          <c:tx>
            <c:rich>
              <a:bodyPr rot="-5400000" vert="horz"/>
              <a:lstStyle/>
              <a:p>
                <a:pPr>
                  <a:defRPr/>
                </a:pPr>
                <a:r>
                  <a:rPr lang="en-US"/>
                  <a:t>Biomass</a:t>
                </a:r>
                <a:r>
                  <a:rPr lang="en-US" baseline="0"/>
                  <a:t> (kg/ha)</a:t>
                </a:r>
                <a:endParaRPr lang="en-US"/>
              </a:p>
            </c:rich>
          </c:tx>
          <c:overlay val="0"/>
        </c:title>
        <c:numFmt formatCode="General" sourceLinked="1"/>
        <c:majorTickMark val="out"/>
        <c:minorTickMark val="none"/>
        <c:tickLblPos val="nextTo"/>
        <c:spPr>
          <a:ln w="28575" cmpd="sng">
            <a:solidFill>
              <a:schemeClr val="tx1"/>
            </a:solidFill>
          </a:ln>
        </c:spPr>
        <c:crossAx val="-2052301848"/>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scatterChart>
        <c:scatterStyle val="lineMarker"/>
        <c:varyColors val="0"/>
        <c:ser>
          <c:idx val="0"/>
          <c:order val="0"/>
          <c:tx>
            <c:strRef>
              <c:f>'Mayotte - Saziley'!$Q$81</c:f>
              <c:strCache>
                <c:ptCount val="1"/>
                <c:pt idx="0">
                  <c:v>Serranidae</c:v>
                </c:pt>
              </c:strCache>
            </c:strRef>
          </c:tx>
          <c:spPr>
            <a:ln w="47625">
              <a:noFill/>
            </a:ln>
          </c:spPr>
          <c:trendline>
            <c:trendlineType val="linear"/>
            <c:dispRSqr val="1"/>
            <c:dispEq val="1"/>
            <c:trendlineLbl>
              <c:layout>
                <c:manualLayout>
                  <c:x val="5.6827865266841603E-2"/>
                  <c:y val="-0.25582349081364802"/>
                </c:manualLayout>
              </c:layout>
              <c:numFmt formatCode="General" sourceLinked="0"/>
            </c:trendlineLbl>
          </c:trendline>
          <c:xVal>
            <c:numRef>
              <c:f>'Mayotte - Saziley'!$L$82:$L$88</c:f>
              <c:numCache>
                <c:formatCode>0</c:formatCode>
                <c:ptCount val="7"/>
                <c:pt idx="0">
                  <c:v>2000</c:v>
                </c:pt>
                <c:pt idx="1">
                  <c:v>2001</c:v>
                </c:pt>
                <c:pt idx="2">
                  <c:v>2005</c:v>
                </c:pt>
                <c:pt idx="3">
                  <c:v>2008</c:v>
                </c:pt>
                <c:pt idx="4">
                  <c:v>2011</c:v>
                </c:pt>
                <c:pt idx="5">
                  <c:v>2013</c:v>
                </c:pt>
                <c:pt idx="6">
                  <c:v>2018</c:v>
                </c:pt>
              </c:numCache>
            </c:numRef>
          </c:xVal>
          <c:yVal>
            <c:numRef>
              <c:f>'Mayotte - Saziley'!$Q$82:$Q$88</c:f>
              <c:numCache>
                <c:formatCode>0.0</c:formatCode>
                <c:ptCount val="7"/>
                <c:pt idx="0">
                  <c:v>46.666666666666671</c:v>
                </c:pt>
                <c:pt idx="1">
                  <c:v>320</c:v>
                </c:pt>
                <c:pt idx="2">
                  <c:v>140</c:v>
                </c:pt>
                <c:pt idx="3">
                  <c:v>4480</c:v>
                </c:pt>
                <c:pt idx="4">
                  <c:v>540</c:v>
                </c:pt>
                <c:pt idx="5">
                  <c:v>430</c:v>
                </c:pt>
                <c:pt idx="6">
                  <c:v>20</c:v>
                </c:pt>
              </c:numCache>
            </c:numRef>
          </c:yVal>
          <c:smooth val="0"/>
          <c:extLst>
            <c:ext xmlns:c16="http://schemas.microsoft.com/office/drawing/2014/chart" uri="{C3380CC4-5D6E-409C-BE32-E72D297353CC}">
              <c16:uniqueId val="{00000001-5101-E842-8B80-775D3582C2E0}"/>
            </c:ext>
          </c:extLst>
        </c:ser>
        <c:dLbls>
          <c:showLegendKey val="0"/>
          <c:showVal val="0"/>
          <c:showCatName val="0"/>
          <c:showSerName val="0"/>
          <c:showPercent val="0"/>
          <c:showBubbleSize val="0"/>
        </c:dLbls>
        <c:axId val="2119189288"/>
        <c:axId val="2120166104"/>
      </c:scatterChart>
      <c:valAx>
        <c:axId val="2119189288"/>
        <c:scaling>
          <c:orientation val="minMax"/>
        </c:scaling>
        <c:delete val="0"/>
        <c:axPos val="b"/>
        <c:title>
          <c:tx>
            <c:rich>
              <a:bodyPr/>
              <a:lstStyle/>
              <a:p>
                <a:pPr>
                  <a:defRPr/>
                </a:pPr>
                <a:r>
                  <a:rPr lang="en-US"/>
                  <a:t>Year</a:t>
                </a:r>
              </a:p>
            </c:rich>
          </c:tx>
          <c:overlay val="0"/>
        </c:title>
        <c:numFmt formatCode="0" sourceLinked="1"/>
        <c:majorTickMark val="out"/>
        <c:minorTickMark val="none"/>
        <c:tickLblPos val="nextTo"/>
        <c:spPr>
          <a:ln w="28575" cmpd="sng">
            <a:solidFill>
              <a:schemeClr val="tx1"/>
            </a:solidFill>
          </a:ln>
        </c:spPr>
        <c:crossAx val="2120166104"/>
        <c:crosses val="autoZero"/>
        <c:crossBetween val="midCat"/>
      </c:valAx>
      <c:valAx>
        <c:axId val="2120166104"/>
        <c:scaling>
          <c:orientation val="minMax"/>
        </c:scaling>
        <c:delete val="0"/>
        <c:axPos val="l"/>
        <c:title>
          <c:tx>
            <c:rich>
              <a:bodyPr rot="-5400000" vert="horz"/>
              <a:lstStyle/>
              <a:p>
                <a:pPr>
                  <a:defRPr/>
                </a:pPr>
                <a:r>
                  <a:rPr lang="en-US"/>
                  <a:t>Density ind/ha</a:t>
                </a:r>
              </a:p>
            </c:rich>
          </c:tx>
          <c:overlay val="0"/>
        </c:title>
        <c:numFmt formatCode="0.0" sourceLinked="1"/>
        <c:majorTickMark val="out"/>
        <c:minorTickMark val="none"/>
        <c:tickLblPos val="nextTo"/>
        <c:spPr>
          <a:ln w="28575" cmpd="sng">
            <a:solidFill>
              <a:schemeClr val="tx1"/>
            </a:solidFill>
          </a:ln>
        </c:spPr>
        <c:crossAx val="2119189288"/>
        <c:crosses val="autoZero"/>
        <c:crossBetween val="midCat"/>
      </c:valAx>
    </c:plotArea>
    <c:plotVisOnly val="1"/>
    <c:dispBlanksAs val="gap"/>
    <c:showDLblsOverMax val="0"/>
  </c:chart>
  <c:spPr>
    <a:ln w="28575" cmpd="sng">
      <a:noFill/>
    </a:ln>
  </c:sp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a:t>
            </a:r>
          </a:p>
        </c:rich>
      </c:tx>
      <c:overlay val="0"/>
    </c:title>
    <c:autoTitleDeleted val="0"/>
    <c:plotArea>
      <c:layout/>
      <c:scatterChart>
        <c:scatterStyle val="lineMarker"/>
        <c:varyColors val="0"/>
        <c:ser>
          <c:idx val="0"/>
          <c:order val="0"/>
          <c:spPr>
            <a:ln w="47625">
              <a:noFill/>
            </a:ln>
          </c:spPr>
          <c:trendline>
            <c:trendlineType val="linear"/>
            <c:dispRSqr val="1"/>
            <c:dispEq val="1"/>
            <c:trendlineLbl>
              <c:layout>
                <c:manualLayout>
                  <c:x val="-1.4024301976180599E-2"/>
                  <c:y val="-0.25880747912553198"/>
                </c:manualLayout>
              </c:layout>
              <c:numFmt formatCode="General" sourceLinked="0"/>
            </c:trendlineLbl>
          </c:trendline>
          <c:xVal>
            <c:numRef>
              <c:f>'Reunion- Planch''_Alizes'!$C$2:$C$18</c:f>
              <c:numCache>
                <c:formatCode>General</c:formatCode>
                <c:ptCount val="1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numCache>
            </c:numRef>
          </c:xVal>
          <c:yVal>
            <c:numRef>
              <c:f>'Reunion- Planch''_Alizes'!$E$2:$E$18</c:f>
              <c:numCache>
                <c:formatCode>General</c:formatCode>
                <c:ptCount val="17"/>
                <c:pt idx="0">
                  <c:v>0</c:v>
                </c:pt>
                <c:pt idx="1">
                  <c:v>0</c:v>
                </c:pt>
                <c:pt idx="2">
                  <c:v>0</c:v>
                </c:pt>
                <c:pt idx="4">
                  <c:v>2.15</c:v>
                </c:pt>
                <c:pt idx="7">
                  <c:v>2.35</c:v>
                </c:pt>
                <c:pt idx="10">
                  <c:v>3.05</c:v>
                </c:pt>
                <c:pt idx="11">
                  <c:v>0.5</c:v>
                </c:pt>
                <c:pt idx="12">
                  <c:v>0.45</c:v>
                </c:pt>
                <c:pt idx="13">
                  <c:v>0.85</c:v>
                </c:pt>
                <c:pt idx="14">
                  <c:v>0.5</c:v>
                </c:pt>
                <c:pt idx="15">
                  <c:v>2.95</c:v>
                </c:pt>
                <c:pt idx="16">
                  <c:v>0.4</c:v>
                </c:pt>
              </c:numCache>
            </c:numRef>
          </c:yVal>
          <c:smooth val="0"/>
          <c:extLst>
            <c:ext xmlns:c15="http://schemas.microsoft.com/office/drawing/2012/chart" uri="{02D57815-91ED-43cb-92C2-25804820EDAC}">
              <c15:filteredSeriesTitle>
                <c15:tx>
                  <c:strRef>
                    <c:extLst>
                      <c:ext uri="{02D57815-91ED-43cb-92C2-25804820EDAC}">
                        <c15:formulaRef>
                          <c15:sqref>'Reunion- Planch''_Alizes'!#REF!</c15:sqref>
                        </c15:formulaRef>
                      </c:ext>
                    </c:extLst>
                    <c:strCache>
                      <c:ptCount val="1"/>
                      <c:pt idx="0">
                        <c:v>#REF!</c:v>
                      </c:pt>
                    </c:strCache>
                  </c:strRef>
                </c15:tx>
              </c15:filteredSeriesTitle>
            </c:ext>
            <c:ext xmlns:c16="http://schemas.microsoft.com/office/drawing/2014/chart" uri="{C3380CC4-5D6E-409C-BE32-E72D297353CC}">
              <c16:uniqueId val="{00000001-4941-944D-A93A-26B0EF2F1FC2}"/>
            </c:ext>
          </c:extLst>
        </c:ser>
        <c:dLbls>
          <c:showLegendKey val="0"/>
          <c:showVal val="0"/>
          <c:showCatName val="0"/>
          <c:showSerName val="0"/>
          <c:showPercent val="0"/>
          <c:showBubbleSize val="0"/>
        </c:dLbls>
        <c:axId val="-2053229848"/>
        <c:axId val="-2053250552"/>
      </c:scatterChart>
      <c:valAx>
        <c:axId val="-205322984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053250552"/>
        <c:crosses val="autoZero"/>
        <c:crossBetween val="midCat"/>
      </c:valAx>
      <c:valAx>
        <c:axId val="-2053250552"/>
        <c:scaling>
          <c:orientation val="minMax"/>
        </c:scaling>
        <c:delete val="0"/>
        <c:axPos val="l"/>
        <c:title>
          <c:tx>
            <c:rich>
              <a:bodyPr rot="-5400000" vert="horz"/>
              <a:lstStyle/>
              <a:p>
                <a:pPr>
                  <a:defRPr/>
                </a:pPr>
                <a:r>
                  <a:rPr lang="en-US"/>
                  <a:t>Biomass</a:t>
                </a:r>
                <a:r>
                  <a:rPr lang="en-US" baseline="0"/>
                  <a:t> (kg/ha)</a:t>
                </a:r>
                <a:endParaRPr lang="en-US"/>
              </a:p>
            </c:rich>
          </c:tx>
          <c:overlay val="0"/>
        </c:title>
        <c:numFmt formatCode="General" sourceLinked="1"/>
        <c:majorTickMark val="out"/>
        <c:minorTickMark val="none"/>
        <c:tickLblPos val="nextTo"/>
        <c:spPr>
          <a:ln w="28575" cmpd="sng">
            <a:solidFill>
              <a:schemeClr val="tx1"/>
            </a:solidFill>
          </a:ln>
        </c:spPr>
        <c:crossAx val="-2053229848"/>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a:t>
            </a:r>
          </a:p>
        </c:rich>
      </c:tx>
      <c:overlay val="0"/>
    </c:title>
    <c:autoTitleDeleted val="0"/>
    <c:plotArea>
      <c:layout/>
      <c:scatterChart>
        <c:scatterStyle val="lineMarker"/>
        <c:varyColors val="0"/>
        <c:ser>
          <c:idx val="0"/>
          <c:order val="0"/>
          <c:spPr>
            <a:ln w="47625">
              <a:noFill/>
            </a:ln>
          </c:spPr>
          <c:trendline>
            <c:trendlineType val="linear"/>
            <c:dispRSqr val="1"/>
            <c:dispEq val="1"/>
            <c:trendlineLbl>
              <c:layout>
                <c:manualLayout>
                  <c:x val="-2.7472638343605402E-2"/>
                  <c:y val="-9.6721459666484294E-2"/>
                </c:manualLayout>
              </c:layout>
              <c:numFmt formatCode="General" sourceLinked="0"/>
            </c:trendlineLbl>
          </c:trendline>
          <c:xVal>
            <c:numRef>
              <c:f>'Reunion- Planch''_Alizes'!$I$2:$I$18</c:f>
              <c:numCache>
                <c:formatCode>General</c:formatCode>
                <c:ptCount val="1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numCache>
            </c:numRef>
          </c:xVal>
          <c:yVal>
            <c:numRef>
              <c:f>'Reunion- Planch''_Alizes'!$K$2:$K$18</c:f>
              <c:numCache>
                <c:formatCode>General</c:formatCode>
                <c:ptCount val="17"/>
                <c:pt idx="0">
                  <c:v>4.4000000000000004</c:v>
                </c:pt>
                <c:pt idx="1">
                  <c:v>8.9</c:v>
                </c:pt>
                <c:pt idx="2">
                  <c:v>46.650000000000006</c:v>
                </c:pt>
                <c:pt idx="3">
                  <c:v>55.550000000000004</c:v>
                </c:pt>
                <c:pt idx="4">
                  <c:v>59.05</c:v>
                </c:pt>
                <c:pt idx="8">
                  <c:v>126.65</c:v>
                </c:pt>
                <c:pt idx="9">
                  <c:v>20</c:v>
                </c:pt>
                <c:pt idx="10">
                  <c:v>80</c:v>
                </c:pt>
                <c:pt idx="11">
                  <c:v>15.55</c:v>
                </c:pt>
                <c:pt idx="12">
                  <c:v>22.2</c:v>
                </c:pt>
                <c:pt idx="13">
                  <c:v>20</c:v>
                </c:pt>
                <c:pt idx="14">
                  <c:v>20</c:v>
                </c:pt>
                <c:pt idx="15">
                  <c:v>22.2</c:v>
                </c:pt>
                <c:pt idx="16">
                  <c:v>22.2</c:v>
                </c:pt>
              </c:numCache>
            </c:numRef>
          </c:yVal>
          <c:smooth val="0"/>
          <c:extLst>
            <c:ext xmlns:c15="http://schemas.microsoft.com/office/drawing/2012/chart" uri="{02D57815-91ED-43cb-92C2-25804820EDAC}">
              <c15:filteredSeriesTitle>
                <c15:tx>
                  <c:strRef>
                    <c:extLst>
                      <c:ext uri="{02D57815-91ED-43cb-92C2-25804820EDAC}">
                        <c15:formulaRef>
                          <c15:sqref>'Reunion- Planch''_Alizes'!#REF!</c15:sqref>
                        </c15:formulaRef>
                      </c:ext>
                    </c:extLst>
                    <c:strCache>
                      <c:ptCount val="1"/>
                      <c:pt idx="0">
                        <c:v>#REF!</c:v>
                      </c:pt>
                    </c:strCache>
                  </c:strRef>
                </c15:tx>
              </c15:filteredSeriesTitle>
            </c:ext>
            <c:ext xmlns:c16="http://schemas.microsoft.com/office/drawing/2014/chart" uri="{C3380CC4-5D6E-409C-BE32-E72D297353CC}">
              <c16:uniqueId val="{00000001-7190-4743-8389-F0F31CF47834}"/>
            </c:ext>
          </c:extLst>
        </c:ser>
        <c:dLbls>
          <c:showLegendKey val="0"/>
          <c:showVal val="0"/>
          <c:showCatName val="0"/>
          <c:showSerName val="0"/>
          <c:showPercent val="0"/>
          <c:showBubbleSize val="0"/>
        </c:dLbls>
        <c:axId val="-2143246200"/>
        <c:axId val="2120357640"/>
      </c:scatterChart>
      <c:valAx>
        <c:axId val="-2143246200"/>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120357640"/>
        <c:crosses val="autoZero"/>
        <c:crossBetween val="midCat"/>
      </c:valAx>
      <c:valAx>
        <c:axId val="2120357640"/>
        <c:scaling>
          <c:orientation val="minMax"/>
        </c:scaling>
        <c:delete val="0"/>
        <c:axPos val="l"/>
        <c:title>
          <c:tx>
            <c:rich>
              <a:bodyPr rot="-5400000" vert="horz"/>
              <a:lstStyle/>
              <a:p>
                <a:pPr>
                  <a:defRPr/>
                </a:pPr>
                <a:r>
                  <a:rPr lang="en-US"/>
                  <a:t>Density (#</a:t>
                </a:r>
                <a:r>
                  <a:rPr lang="en-US" baseline="0"/>
                  <a:t>/ha)</a:t>
                </a:r>
                <a:endParaRPr lang="en-US"/>
              </a:p>
            </c:rich>
          </c:tx>
          <c:overlay val="0"/>
        </c:title>
        <c:numFmt formatCode="General" sourceLinked="1"/>
        <c:majorTickMark val="out"/>
        <c:minorTickMark val="none"/>
        <c:tickLblPos val="nextTo"/>
        <c:spPr>
          <a:ln w="28575" cmpd="sng">
            <a:solidFill>
              <a:schemeClr val="tx1"/>
            </a:solidFill>
          </a:ln>
        </c:spPr>
        <c:crossAx val="-2143246200"/>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Serranidae-rev</a:t>
            </a:r>
          </a:p>
        </c:rich>
      </c:tx>
      <c:overlay val="0"/>
    </c:title>
    <c:autoTitleDeleted val="0"/>
    <c:plotArea>
      <c:layout/>
      <c:scatterChart>
        <c:scatterStyle val="lineMarker"/>
        <c:varyColors val="0"/>
        <c:ser>
          <c:idx val="0"/>
          <c:order val="0"/>
          <c:spPr>
            <a:ln w="47625">
              <a:noFill/>
            </a:ln>
          </c:spPr>
          <c:trendline>
            <c:trendlineType val="linear"/>
            <c:dispRSqr val="1"/>
            <c:dispEq val="1"/>
            <c:trendlineLbl>
              <c:layout>
                <c:manualLayout>
                  <c:x val="-1.4024301976180599E-2"/>
                  <c:y val="-0.25880747912553198"/>
                </c:manualLayout>
              </c:layout>
              <c:numFmt formatCode="General" sourceLinked="0"/>
            </c:trendlineLbl>
          </c:trendline>
          <c:xVal>
            <c:numRef>
              <c:f>'Reunion- Planch''_Alizes'!$C$21:$C$33</c:f>
              <c:numCache>
                <c:formatCode>General</c:formatCode>
                <c:ptCount val="13"/>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numCache>
            </c:numRef>
          </c:xVal>
          <c:yVal>
            <c:numRef>
              <c:f>'Reunion- Planch''_Alizes'!$D$21:$D$33</c:f>
              <c:numCache>
                <c:formatCode>General</c:formatCode>
                <c:ptCount val="13"/>
                <c:pt idx="0">
                  <c:v>2.15</c:v>
                </c:pt>
                <c:pt idx="1">
                  <c:v>8.1</c:v>
                </c:pt>
                <c:pt idx="2">
                  <c:v>3.8</c:v>
                </c:pt>
                <c:pt idx="3">
                  <c:v>2.35</c:v>
                </c:pt>
                <c:pt idx="4">
                  <c:v>6</c:v>
                </c:pt>
                <c:pt idx="5">
                  <c:v>0.25</c:v>
                </c:pt>
                <c:pt idx="6">
                  <c:v>3.05</c:v>
                </c:pt>
                <c:pt idx="7">
                  <c:v>0.5</c:v>
                </c:pt>
                <c:pt idx="8">
                  <c:v>0.45</c:v>
                </c:pt>
                <c:pt idx="9">
                  <c:v>0.85</c:v>
                </c:pt>
                <c:pt idx="10">
                  <c:v>0.5</c:v>
                </c:pt>
                <c:pt idx="11">
                  <c:v>2.95</c:v>
                </c:pt>
                <c:pt idx="12">
                  <c:v>0.4</c:v>
                </c:pt>
              </c:numCache>
            </c:numRef>
          </c:yVal>
          <c:smooth val="0"/>
          <c:extLst>
            <c:ext xmlns:c15="http://schemas.microsoft.com/office/drawing/2012/chart" uri="{02D57815-91ED-43cb-92C2-25804820EDAC}">
              <c15:filteredSeriesTitle>
                <c15:tx>
                  <c:strRef>
                    <c:extLst>
                      <c:ext uri="{02D57815-91ED-43cb-92C2-25804820EDAC}">
                        <c15:formulaRef>
                          <c15:sqref>'Reunion- Planch''_Alizes'!#REF!</c15:sqref>
                        </c15:formulaRef>
                      </c:ext>
                    </c:extLst>
                    <c:strCache>
                      <c:ptCount val="1"/>
                      <c:pt idx="0">
                        <c:v>#REF!</c:v>
                      </c:pt>
                    </c:strCache>
                  </c:strRef>
                </c15:tx>
              </c15:filteredSeriesTitle>
            </c:ext>
            <c:ext xmlns:c16="http://schemas.microsoft.com/office/drawing/2014/chart" uri="{C3380CC4-5D6E-409C-BE32-E72D297353CC}">
              <c16:uniqueId val="{00000001-4941-944D-A93A-26B0EF2F1FC2}"/>
            </c:ext>
          </c:extLst>
        </c:ser>
        <c:dLbls>
          <c:showLegendKey val="0"/>
          <c:showVal val="0"/>
          <c:showCatName val="0"/>
          <c:showSerName val="0"/>
          <c:showPercent val="0"/>
          <c:showBubbleSize val="0"/>
        </c:dLbls>
        <c:axId val="2121685480"/>
        <c:axId val="2121690856"/>
      </c:scatterChart>
      <c:valAx>
        <c:axId val="2121685480"/>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121690856"/>
        <c:crosses val="autoZero"/>
        <c:crossBetween val="midCat"/>
      </c:valAx>
      <c:valAx>
        <c:axId val="2121690856"/>
        <c:scaling>
          <c:orientation val="minMax"/>
        </c:scaling>
        <c:delete val="0"/>
        <c:axPos val="l"/>
        <c:title>
          <c:tx>
            <c:rich>
              <a:bodyPr rot="-5400000" vert="horz"/>
              <a:lstStyle/>
              <a:p>
                <a:pPr>
                  <a:defRPr/>
                </a:pPr>
                <a:r>
                  <a:rPr lang="en-US"/>
                  <a:t>Biomass</a:t>
                </a:r>
                <a:r>
                  <a:rPr lang="en-US" baseline="0"/>
                  <a:t> (kg/ha)</a:t>
                </a:r>
                <a:endParaRPr lang="en-US"/>
              </a:p>
            </c:rich>
          </c:tx>
          <c:overlay val="0"/>
        </c:title>
        <c:numFmt formatCode="General" sourceLinked="1"/>
        <c:majorTickMark val="out"/>
        <c:minorTickMark val="none"/>
        <c:tickLblPos val="nextTo"/>
        <c:spPr>
          <a:ln w="28575" cmpd="sng">
            <a:solidFill>
              <a:schemeClr val="tx1"/>
            </a:solidFill>
          </a:ln>
        </c:spPr>
        <c:crossAx val="2121685480"/>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Serranidae-rev2</a:t>
            </a:r>
          </a:p>
        </c:rich>
      </c:tx>
      <c:overlay val="0"/>
    </c:title>
    <c:autoTitleDeleted val="0"/>
    <c:plotArea>
      <c:layout/>
      <c:scatterChart>
        <c:scatterStyle val="lineMarker"/>
        <c:varyColors val="0"/>
        <c:ser>
          <c:idx val="0"/>
          <c:order val="0"/>
          <c:spPr>
            <a:ln w="47625">
              <a:noFill/>
            </a:ln>
          </c:spPr>
          <c:trendline>
            <c:trendlineType val="linear"/>
            <c:dispRSqr val="1"/>
            <c:dispEq val="1"/>
            <c:trendlineLbl>
              <c:layout>
                <c:manualLayout>
                  <c:x val="-1.4024301976180599E-2"/>
                  <c:y val="-0.25880747912553198"/>
                </c:manualLayout>
              </c:layout>
              <c:numFmt formatCode="General" sourceLinked="0"/>
            </c:trendlineLbl>
          </c:trendline>
          <c:xVal>
            <c:numRef>
              <c:f>'Reunion- Planch''_Alizes'!$C$21:$C$33</c:f>
              <c:numCache>
                <c:formatCode>General</c:formatCode>
                <c:ptCount val="13"/>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numCache>
            </c:numRef>
          </c:xVal>
          <c:yVal>
            <c:numRef>
              <c:f>'Reunion- Planch''_Alizes'!$E$21:$E$33</c:f>
              <c:numCache>
                <c:formatCode>General</c:formatCode>
                <c:ptCount val="13"/>
                <c:pt idx="0">
                  <c:v>2.15</c:v>
                </c:pt>
                <c:pt idx="2">
                  <c:v>3.8</c:v>
                </c:pt>
                <c:pt idx="3">
                  <c:v>2.35</c:v>
                </c:pt>
                <c:pt idx="6">
                  <c:v>3.05</c:v>
                </c:pt>
                <c:pt idx="8">
                  <c:v>0.45</c:v>
                </c:pt>
                <c:pt idx="9">
                  <c:v>0.85</c:v>
                </c:pt>
                <c:pt idx="10">
                  <c:v>0.5</c:v>
                </c:pt>
                <c:pt idx="12">
                  <c:v>0.4</c:v>
                </c:pt>
              </c:numCache>
            </c:numRef>
          </c:yVal>
          <c:smooth val="0"/>
          <c:extLst>
            <c:ext xmlns:c15="http://schemas.microsoft.com/office/drawing/2012/chart" uri="{02D57815-91ED-43cb-92C2-25804820EDAC}">
              <c15:filteredSeriesTitle>
                <c15:tx>
                  <c:strRef>
                    <c:extLst>
                      <c:ext uri="{02D57815-91ED-43cb-92C2-25804820EDAC}">
                        <c15:formulaRef>
                          <c15:sqref>'Reunion- Planch''_Alizes'!#REF!</c15:sqref>
                        </c15:formulaRef>
                      </c:ext>
                    </c:extLst>
                    <c:strCache>
                      <c:ptCount val="1"/>
                      <c:pt idx="0">
                        <c:v>#REF!</c:v>
                      </c:pt>
                    </c:strCache>
                  </c:strRef>
                </c15:tx>
              </c15:filteredSeriesTitle>
            </c:ext>
            <c:ext xmlns:c16="http://schemas.microsoft.com/office/drawing/2014/chart" uri="{C3380CC4-5D6E-409C-BE32-E72D297353CC}">
              <c16:uniqueId val="{00000001-4941-944D-A93A-26B0EF2F1FC2}"/>
            </c:ext>
          </c:extLst>
        </c:ser>
        <c:dLbls>
          <c:showLegendKey val="0"/>
          <c:showVal val="0"/>
          <c:showCatName val="0"/>
          <c:showSerName val="0"/>
          <c:showPercent val="0"/>
          <c:showBubbleSize val="0"/>
        </c:dLbls>
        <c:axId val="-2142945688"/>
        <c:axId val="-2142940312"/>
      </c:scatterChart>
      <c:valAx>
        <c:axId val="-21429456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spPr>
          <a:ln w="28575" cmpd="sng">
            <a:solidFill>
              <a:schemeClr val="tx1"/>
            </a:solidFill>
          </a:ln>
        </c:spPr>
        <c:crossAx val="-2142940312"/>
        <c:crosses val="autoZero"/>
        <c:crossBetween val="midCat"/>
      </c:valAx>
      <c:valAx>
        <c:axId val="-2142940312"/>
        <c:scaling>
          <c:orientation val="minMax"/>
        </c:scaling>
        <c:delete val="0"/>
        <c:axPos val="l"/>
        <c:title>
          <c:tx>
            <c:rich>
              <a:bodyPr rot="-5400000" vert="horz"/>
              <a:lstStyle/>
              <a:p>
                <a:pPr>
                  <a:defRPr/>
                </a:pPr>
                <a:r>
                  <a:rPr lang="en-US"/>
                  <a:t>Biomass</a:t>
                </a:r>
                <a:r>
                  <a:rPr lang="en-US" baseline="0"/>
                  <a:t> (kg/ha)</a:t>
                </a:r>
                <a:endParaRPr lang="en-US"/>
              </a:p>
            </c:rich>
          </c:tx>
          <c:overlay val="0"/>
        </c:title>
        <c:numFmt formatCode="General" sourceLinked="1"/>
        <c:majorTickMark val="out"/>
        <c:minorTickMark val="none"/>
        <c:tickLblPos val="nextTo"/>
        <c:spPr>
          <a:ln w="28575" cmpd="sng">
            <a:solidFill>
              <a:schemeClr val="tx1"/>
            </a:solidFill>
          </a:ln>
        </c:spPr>
        <c:crossAx val="-2142945688"/>
        <c:crosses val="autoZero"/>
        <c:crossBetween val="midCat"/>
      </c:valAx>
    </c:plotArea>
    <c:plotVisOnly val="1"/>
    <c:dispBlanksAs val="gap"/>
    <c:showDLblsOverMax val="0"/>
  </c:chart>
  <c:spPr>
    <a:ln>
      <a:noFill/>
    </a:ln>
  </c:sp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Groupers</a:t>
            </a:r>
          </a:p>
        </c:rich>
      </c:tx>
      <c:overlay val="0"/>
    </c:title>
    <c:autoTitleDeleted val="0"/>
    <c:plotArea>
      <c:layout/>
      <c:scatterChart>
        <c:scatterStyle val="lineMarker"/>
        <c:varyColors val="0"/>
        <c:ser>
          <c:idx val="0"/>
          <c:order val="0"/>
          <c:tx>
            <c:strRef>
              <c:f>'Bai Ternay -Seychelles'!$I$2</c:f>
              <c:strCache>
                <c:ptCount val="1"/>
                <c:pt idx="0">
                  <c:v>Serranidae</c:v>
                </c:pt>
              </c:strCache>
            </c:strRef>
          </c:tx>
          <c:spPr>
            <a:ln w="47625">
              <a:noFill/>
            </a:ln>
          </c:spPr>
          <c:trendline>
            <c:trendlineType val="linear"/>
            <c:dispRSqr val="1"/>
            <c:dispEq val="1"/>
            <c:trendlineLbl>
              <c:layout>
                <c:manualLayout>
                  <c:x val="-9.9021798221770096E-2"/>
                  <c:y val="-6.5679417567260798E-2"/>
                </c:manualLayout>
              </c:layout>
              <c:numFmt formatCode="General" sourceLinked="0"/>
            </c:trendlineLbl>
          </c:trendline>
          <c:xVal>
            <c:numRef>
              <c:f>'Bai Ternay -Seychelles'!$E$3:$E$16</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xVal>
          <c:yVal>
            <c:numRef>
              <c:f>'Bai Ternay -Seychelles'!$I$3:$I$16</c:f>
              <c:numCache>
                <c:formatCode>General</c:formatCode>
                <c:ptCount val="14"/>
                <c:pt idx="0">
                  <c:v>86.038961038961034</c:v>
                </c:pt>
                <c:pt idx="1">
                  <c:v>123.37662337662337</c:v>
                </c:pt>
                <c:pt idx="2">
                  <c:v>110.93073593073592</c:v>
                </c:pt>
                <c:pt idx="3">
                  <c:v>141.36904761904765</c:v>
                </c:pt>
                <c:pt idx="4">
                  <c:v>149.96907854050713</c:v>
                </c:pt>
                <c:pt idx="5">
                  <c:v>168.16516816516815</c:v>
                </c:pt>
                <c:pt idx="6">
                  <c:v>145.42748917748921</c:v>
                </c:pt>
                <c:pt idx="8">
                  <c:v>174.51298701298703</c:v>
                </c:pt>
                <c:pt idx="10">
                  <c:v>198.86363636363635</c:v>
                </c:pt>
                <c:pt idx="12">
                  <c:v>260.47815820543093</c:v>
                </c:pt>
                <c:pt idx="13">
                  <c:v>231.33116883116884</c:v>
                </c:pt>
              </c:numCache>
            </c:numRef>
          </c:yVal>
          <c:smooth val="0"/>
          <c:extLst>
            <c:ext xmlns:c16="http://schemas.microsoft.com/office/drawing/2014/chart" uri="{C3380CC4-5D6E-409C-BE32-E72D297353CC}">
              <c16:uniqueId val="{00000001-BA42-044A-BC4A-B5536B6A8933}"/>
            </c:ext>
          </c:extLst>
        </c:ser>
        <c:dLbls>
          <c:showLegendKey val="0"/>
          <c:showVal val="0"/>
          <c:showCatName val="0"/>
          <c:showSerName val="0"/>
          <c:showPercent val="0"/>
          <c:showBubbleSize val="0"/>
        </c:dLbls>
        <c:axId val="-2145667160"/>
        <c:axId val="2114049592"/>
      </c:scatterChart>
      <c:valAx>
        <c:axId val="-2145667160"/>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spPr>
          <a:ln w="28575" cmpd="sng">
            <a:solidFill>
              <a:schemeClr val="tx1"/>
            </a:solidFill>
          </a:ln>
        </c:spPr>
        <c:crossAx val="2114049592"/>
        <c:crosses val="autoZero"/>
        <c:crossBetween val="midCat"/>
      </c:valAx>
      <c:valAx>
        <c:axId val="2114049592"/>
        <c:scaling>
          <c:orientation val="minMax"/>
        </c:scaling>
        <c:delete val="0"/>
        <c:axPos val="l"/>
        <c:title>
          <c:tx>
            <c:rich>
              <a:bodyPr rot="-5400000" vert="horz"/>
              <a:lstStyle/>
              <a:p>
                <a:pPr>
                  <a:defRPr/>
                </a:pPr>
                <a:r>
                  <a:rPr lang="en-US"/>
                  <a:t>Density (#/ha)</a:t>
                </a:r>
              </a:p>
            </c:rich>
          </c:tx>
          <c:overlay val="0"/>
        </c:title>
        <c:numFmt formatCode="General" sourceLinked="1"/>
        <c:majorTickMark val="out"/>
        <c:minorTickMark val="none"/>
        <c:tickLblPos val="nextTo"/>
        <c:spPr>
          <a:ln w="38100" cmpd="sng">
            <a:solidFill>
              <a:schemeClr val="tx1"/>
            </a:solidFill>
          </a:ln>
        </c:spPr>
        <c:crossAx val="-2145667160"/>
        <c:crosses val="autoZero"/>
        <c:crossBetween val="midCat"/>
      </c:valAx>
    </c:plotArea>
    <c:plotVisOnly val="1"/>
    <c:dispBlanksAs val="gap"/>
    <c:showDLblsOverMax val="0"/>
  </c:chart>
  <c:spPr>
    <a:ln>
      <a:noFill/>
    </a:ln>
  </c:spPr>
  <c:txPr>
    <a:bodyPr/>
    <a:lstStyle/>
    <a:p>
      <a:pPr>
        <a:defRPr sz="1400"/>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2nd</a:t>
            </a:r>
            <a:r>
              <a:rPr lang="en-US" baseline="0"/>
              <a:t> order polynomial</a:t>
            </a:r>
            <a:endParaRPr lang="en-US"/>
          </a:p>
        </c:rich>
      </c:tx>
      <c:overlay val="0"/>
    </c:title>
    <c:autoTitleDeleted val="0"/>
    <c:plotArea>
      <c:layout/>
      <c:scatterChart>
        <c:scatterStyle val="lineMarker"/>
        <c:varyColors val="0"/>
        <c:ser>
          <c:idx val="0"/>
          <c:order val="0"/>
          <c:tx>
            <c:strRef>
              <c:f>'Bai Ternay -Seychelles'!$F$2</c:f>
              <c:strCache>
                <c:ptCount val="1"/>
                <c:pt idx="0">
                  <c:v>Mean</c:v>
                </c:pt>
              </c:strCache>
            </c:strRef>
          </c:tx>
          <c:spPr>
            <a:ln w="47625">
              <a:noFill/>
            </a:ln>
          </c:spPr>
          <c:trendline>
            <c:trendlineType val="poly"/>
            <c:order val="2"/>
            <c:dispRSqr val="1"/>
            <c:dispEq val="1"/>
            <c:trendlineLbl>
              <c:numFmt formatCode="General" sourceLinked="0"/>
            </c:trendlineLbl>
          </c:trendline>
          <c:xVal>
            <c:numRef>
              <c:f>'Bai Ternay -Seychelles'!$E$3:$E$16</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xVal>
          <c:yVal>
            <c:numRef>
              <c:f>'Bai Ternay -Seychelles'!$F$3:$F$16</c:f>
              <c:numCache>
                <c:formatCode>0.00</c:formatCode>
                <c:ptCount val="14"/>
                <c:pt idx="0">
                  <c:v>86.038961038961034</c:v>
                </c:pt>
                <c:pt idx="1">
                  <c:v>123.37662337662337</c:v>
                </c:pt>
                <c:pt idx="2">
                  <c:v>110.93073593073592</c:v>
                </c:pt>
                <c:pt idx="3">
                  <c:v>141.36904761904765</c:v>
                </c:pt>
                <c:pt idx="4">
                  <c:v>149.96907854050713</c:v>
                </c:pt>
                <c:pt idx="5">
                  <c:v>168.16516816516815</c:v>
                </c:pt>
                <c:pt idx="6">
                  <c:v>145.42748917748921</c:v>
                </c:pt>
                <c:pt idx="7">
                  <c:v>110.25432900432901</c:v>
                </c:pt>
                <c:pt idx="8">
                  <c:v>174.51298701298703</c:v>
                </c:pt>
                <c:pt idx="9">
                  <c:v>172.48376623376623</c:v>
                </c:pt>
                <c:pt idx="10">
                  <c:v>198.86363636363635</c:v>
                </c:pt>
                <c:pt idx="11">
                  <c:v>292.88419913419915</c:v>
                </c:pt>
                <c:pt idx="12">
                  <c:v>260.47815820543093</c:v>
                </c:pt>
                <c:pt idx="13">
                  <c:v>231.33116883116884</c:v>
                </c:pt>
              </c:numCache>
            </c:numRef>
          </c:yVal>
          <c:smooth val="0"/>
          <c:extLst>
            <c:ext xmlns:c16="http://schemas.microsoft.com/office/drawing/2014/chart" uri="{C3380CC4-5D6E-409C-BE32-E72D297353CC}">
              <c16:uniqueId val="{00000001-B457-E046-82AB-B1D607040BD4}"/>
            </c:ext>
          </c:extLst>
        </c:ser>
        <c:dLbls>
          <c:showLegendKey val="0"/>
          <c:showVal val="0"/>
          <c:showCatName val="0"/>
          <c:showSerName val="0"/>
          <c:showPercent val="0"/>
          <c:showBubbleSize val="0"/>
        </c:dLbls>
        <c:axId val="1765505896"/>
        <c:axId val="-2144523704"/>
      </c:scatterChart>
      <c:valAx>
        <c:axId val="1765505896"/>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spPr>
          <a:ln w="28575" cmpd="sng">
            <a:solidFill>
              <a:schemeClr val="tx1"/>
            </a:solidFill>
          </a:ln>
        </c:spPr>
        <c:crossAx val="-2144523704"/>
        <c:crosses val="autoZero"/>
        <c:crossBetween val="midCat"/>
      </c:valAx>
      <c:valAx>
        <c:axId val="-2144523704"/>
        <c:scaling>
          <c:orientation val="minMax"/>
        </c:scaling>
        <c:delete val="0"/>
        <c:axPos val="l"/>
        <c:title>
          <c:tx>
            <c:rich>
              <a:bodyPr rot="-5400000" vert="horz"/>
              <a:lstStyle/>
              <a:p>
                <a:pPr>
                  <a:defRPr/>
                </a:pPr>
                <a:r>
                  <a:rPr lang="en-US"/>
                  <a:t>Density (#/ha)</a:t>
                </a:r>
              </a:p>
            </c:rich>
          </c:tx>
          <c:overlay val="0"/>
        </c:title>
        <c:numFmt formatCode="0.00" sourceLinked="1"/>
        <c:majorTickMark val="out"/>
        <c:minorTickMark val="none"/>
        <c:tickLblPos val="nextTo"/>
        <c:spPr>
          <a:ln w="38100" cmpd="sng">
            <a:solidFill>
              <a:schemeClr val="tx1"/>
            </a:solidFill>
          </a:ln>
        </c:spPr>
        <c:crossAx val="1765505896"/>
        <c:crosses val="autoZero"/>
        <c:crossBetween val="midCat"/>
      </c:valAx>
    </c:plotArea>
    <c:plotVisOnly val="1"/>
    <c:dispBlanksAs val="gap"/>
    <c:showDLblsOverMax val="0"/>
  </c:chart>
  <c:spPr>
    <a:ln>
      <a:noFill/>
    </a:ln>
  </c:spPr>
  <c:txPr>
    <a:bodyPr/>
    <a:lstStyle/>
    <a:p>
      <a:pPr>
        <a:defRPr sz="1400"/>
      </a:pPr>
      <a:endParaRPr lang="en-US"/>
    </a:p>
  </c:tx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16</xdr:col>
      <xdr:colOff>658175</xdr:colOff>
      <xdr:row>31</xdr:row>
      <xdr:rowOff>92700</xdr:rowOff>
    </xdr:from>
    <xdr:to>
      <xdr:col>22</xdr:col>
      <xdr:colOff>8806</xdr:colOff>
      <xdr:row>45</xdr:row>
      <xdr:rowOff>168900</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445891</xdr:colOff>
      <xdr:row>41</xdr:row>
      <xdr:rowOff>64520</xdr:rowOff>
    </xdr:from>
    <xdr:to>
      <xdr:col>9</xdr:col>
      <xdr:colOff>278102</xdr:colOff>
      <xdr:row>55</xdr:row>
      <xdr:rowOff>140720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83432</xdr:colOff>
      <xdr:row>41</xdr:row>
      <xdr:rowOff>83430</xdr:rowOff>
    </xdr:from>
    <xdr:to>
      <xdr:col>3</xdr:col>
      <xdr:colOff>444965</xdr:colOff>
      <xdr:row>55</xdr:row>
      <xdr:rowOff>93266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83432" y="25001386"/>
          <a:ext cx="3049854" cy="2735237"/>
        </a:xfrm>
        <a:prstGeom prst="rect">
          <a:avLst/>
        </a:prstGeom>
      </xdr:spPr>
    </xdr:pic>
    <xdr:clientData/>
  </xdr:twoCellAnchor>
  <xdr:twoCellAnchor editAs="oneCell">
    <xdr:from>
      <xdr:col>12</xdr:col>
      <xdr:colOff>281591</xdr:colOff>
      <xdr:row>28</xdr:row>
      <xdr:rowOff>83429</xdr:rowOff>
    </xdr:from>
    <xdr:to>
      <xdr:col>16</xdr:col>
      <xdr:colOff>718522</xdr:colOff>
      <xdr:row>46</xdr:row>
      <xdr:rowOff>109200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a:stretch>
          <a:fillRect/>
        </a:stretch>
      </xdr:blipFill>
      <xdr:spPr>
        <a:xfrm>
          <a:off x="11155387" y="22470655"/>
          <a:ext cx="3737077" cy="35298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658175</xdr:colOff>
      <xdr:row>3</xdr:row>
      <xdr:rowOff>92700</xdr:rowOff>
    </xdr:from>
    <xdr:to>
      <xdr:col>22</xdr:col>
      <xdr:colOff>8806</xdr:colOff>
      <xdr:row>17</xdr:row>
      <xdr:rowOff>168900</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473702</xdr:colOff>
      <xdr:row>14</xdr:row>
      <xdr:rowOff>175759</xdr:rowOff>
    </xdr:from>
    <xdr:to>
      <xdr:col>11</xdr:col>
      <xdr:colOff>101971</xdr:colOff>
      <xdr:row>32</xdr:row>
      <xdr:rowOff>129780</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584016</xdr:colOff>
      <xdr:row>14</xdr:row>
      <xdr:rowOff>126925</xdr:rowOff>
    </xdr:from>
    <xdr:to>
      <xdr:col>4</xdr:col>
      <xdr:colOff>519125</xdr:colOff>
      <xdr:row>28</xdr:row>
      <xdr:rowOff>72119</xdr:rowOff>
    </xdr:to>
    <xdr:pic>
      <xdr:nvPicPr>
        <xdr:cNvPr id="16" name="Picture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3"/>
        <a:stretch>
          <a:fillRect/>
        </a:stretch>
      </xdr:blipFill>
      <xdr:spPr>
        <a:xfrm>
          <a:off x="1409052" y="25239553"/>
          <a:ext cx="2827372" cy="2670596"/>
        </a:xfrm>
        <a:prstGeom prst="rect">
          <a:avLst/>
        </a:prstGeom>
      </xdr:spPr>
    </xdr:pic>
    <xdr:clientData/>
  </xdr:twoCellAnchor>
  <xdr:twoCellAnchor editAs="oneCell">
    <xdr:from>
      <xdr:col>13</xdr:col>
      <xdr:colOff>139051</xdr:colOff>
      <xdr:row>3</xdr:row>
      <xdr:rowOff>74160</xdr:rowOff>
    </xdr:from>
    <xdr:to>
      <xdr:col>16</xdr:col>
      <xdr:colOff>559149</xdr:colOff>
      <xdr:row>17</xdr:row>
      <xdr:rowOff>83430</xdr:rowOff>
    </xdr:to>
    <xdr:pic>
      <xdr:nvPicPr>
        <xdr:cNvPr id="17" name="Picture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4"/>
        <a:stretch>
          <a:fillRect/>
        </a:stretch>
      </xdr:blipFill>
      <xdr:spPr>
        <a:xfrm>
          <a:off x="11837883" y="23045401"/>
          <a:ext cx="2895208" cy="27346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11183</xdr:colOff>
      <xdr:row>68</xdr:row>
      <xdr:rowOff>177855</xdr:rowOff>
    </xdr:from>
    <xdr:to>
      <xdr:col>24</xdr:col>
      <xdr:colOff>455682</xdr:colOff>
      <xdr:row>83</xdr:row>
      <xdr:rowOff>62992</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415841</xdr:colOff>
      <xdr:row>66</xdr:row>
      <xdr:rowOff>33717</xdr:rowOff>
    </xdr:from>
    <xdr:to>
      <xdr:col>30</xdr:col>
      <xdr:colOff>269734</xdr:colOff>
      <xdr:row>87</xdr:row>
      <xdr:rowOff>22908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23230885" y="12643805"/>
          <a:ext cx="3956106" cy="4001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711200</xdr:colOff>
      <xdr:row>0</xdr:row>
      <xdr:rowOff>0</xdr:rowOff>
    </xdr:from>
    <xdr:to>
      <xdr:col>18</xdr:col>
      <xdr:colOff>149191</xdr:colOff>
      <xdr:row>27</xdr:row>
      <xdr:rowOff>89203</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stretch>
          <a:fillRect/>
        </a:stretch>
      </xdr:blipFill>
      <xdr:spPr>
        <a:xfrm>
          <a:off x="10617200" y="10210800"/>
          <a:ext cx="4390991" cy="5270803"/>
        </a:xfrm>
        <a:prstGeom prst="rect">
          <a:avLst/>
        </a:prstGeom>
      </xdr:spPr>
    </xdr:pic>
    <xdr:clientData/>
  </xdr:twoCellAnchor>
  <xdr:twoCellAnchor>
    <xdr:from>
      <xdr:col>18</xdr:col>
      <xdr:colOff>0</xdr:colOff>
      <xdr:row>0</xdr:row>
      <xdr:rowOff>0</xdr:rowOff>
    </xdr:from>
    <xdr:to>
      <xdr:col>23</xdr:col>
      <xdr:colOff>431800</xdr:colOff>
      <xdr:row>22</xdr:row>
      <xdr:rowOff>12700</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0</xdr:colOff>
      <xdr:row>0</xdr:row>
      <xdr:rowOff>0</xdr:rowOff>
    </xdr:from>
    <xdr:to>
      <xdr:col>29</xdr:col>
      <xdr:colOff>549153</xdr:colOff>
      <xdr:row>24</xdr:row>
      <xdr:rowOff>38100</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3"/>
        <a:stretch>
          <a:fillRect/>
        </a:stretch>
      </xdr:blipFill>
      <xdr:spPr>
        <a:xfrm>
          <a:off x="20637500" y="10287000"/>
          <a:ext cx="3851153" cy="4622800"/>
        </a:xfrm>
        <a:prstGeom prst="rect">
          <a:avLst/>
        </a:prstGeom>
      </xdr:spPr>
    </xdr:pic>
    <xdr:clientData/>
  </xdr:twoCellAnchor>
  <xdr:twoCellAnchor>
    <xdr:from>
      <xdr:col>32</xdr:col>
      <xdr:colOff>0</xdr:colOff>
      <xdr:row>0</xdr:row>
      <xdr:rowOff>0</xdr:rowOff>
    </xdr:from>
    <xdr:to>
      <xdr:col>37</xdr:col>
      <xdr:colOff>431800</xdr:colOff>
      <xdr:row>21</xdr:row>
      <xdr:rowOff>12700</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152400</xdr:colOff>
      <xdr:row>27</xdr:row>
      <xdr:rowOff>177800</xdr:rowOff>
    </xdr:from>
    <xdr:to>
      <xdr:col>17</xdr:col>
      <xdr:colOff>584200</xdr:colOff>
      <xdr:row>50</xdr:row>
      <xdr:rowOff>0</xdr:rowOff>
    </xdr:to>
    <xdr:graphicFrame macro="">
      <xdr:nvGraphicFramePr>
        <xdr:cNvPr id="18" name="Chart 17">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27</xdr:row>
      <xdr:rowOff>0</xdr:rowOff>
    </xdr:from>
    <xdr:to>
      <xdr:col>23</xdr:col>
      <xdr:colOff>431800</xdr:colOff>
      <xdr:row>49</xdr:row>
      <xdr:rowOff>12700</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546100</xdr:colOff>
      <xdr:row>22</xdr:row>
      <xdr:rowOff>139700</xdr:rowOff>
    </xdr:from>
    <xdr:to>
      <xdr:col>10</xdr:col>
      <xdr:colOff>431800</xdr:colOff>
      <xdr:row>56</xdr:row>
      <xdr:rowOff>25400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3695700" y="4330700"/>
          <a:ext cx="6489700" cy="6362700"/>
        </a:xfrm>
        <a:prstGeom prst="rect">
          <a:avLst/>
        </a:prstGeom>
      </xdr:spPr>
    </xdr:pic>
    <xdr:clientData/>
  </xdr:twoCellAnchor>
  <xdr:twoCellAnchor>
    <xdr:from>
      <xdr:col>11</xdr:col>
      <xdr:colOff>63500</xdr:colOff>
      <xdr:row>16</xdr:row>
      <xdr:rowOff>165100</xdr:rowOff>
    </xdr:from>
    <xdr:to>
      <xdr:col>17</xdr:col>
      <xdr:colOff>812800</xdr:colOff>
      <xdr:row>46</xdr:row>
      <xdr:rowOff>177800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17</xdr:row>
      <xdr:rowOff>0</xdr:rowOff>
    </xdr:from>
    <xdr:to>
      <xdr:col>24</xdr:col>
      <xdr:colOff>749300</xdr:colOff>
      <xdr:row>47</xdr:row>
      <xdr:rowOff>12700</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R15"/>
  <sheetViews>
    <sheetView tabSelected="1" zoomScale="135" zoomScaleNormal="135" zoomScalePageLayoutView="135" workbookViewId="0">
      <pane ySplit="2" topLeftCell="A3" activePane="bottomLeft" state="frozen"/>
      <selection pane="bottomLeft" activeCell="A2" sqref="A2:I3"/>
    </sheetView>
  </sheetViews>
  <sheetFormatPr baseColWidth="10" defaultRowHeight="16" x14ac:dyDescent="0.2"/>
  <cols>
    <col min="11" max="11" width="43.33203125" customWidth="1"/>
    <col min="14" max="14" width="13" customWidth="1"/>
    <col min="15" max="15" width="14.33203125" customWidth="1"/>
    <col min="16" max="16" width="27.1640625" customWidth="1"/>
  </cols>
  <sheetData>
    <row r="1" spans="1:18" ht="31" customHeight="1" thickBot="1" x14ac:dyDescent="0.25">
      <c r="F1" t="s">
        <v>343</v>
      </c>
      <c r="H1" s="84"/>
      <c r="K1" s="176"/>
      <c r="L1" s="219" t="s">
        <v>340</v>
      </c>
      <c r="M1" s="219"/>
      <c r="N1" s="219"/>
      <c r="O1" s="219"/>
      <c r="P1" s="219"/>
      <c r="Q1" s="176" t="s">
        <v>376</v>
      </c>
    </row>
    <row r="2" spans="1:18" ht="70" customHeight="1" thickBot="1" x14ac:dyDescent="0.25">
      <c r="A2" s="167" t="s">
        <v>321</v>
      </c>
      <c r="B2" s="168" t="s">
        <v>322</v>
      </c>
      <c r="C2" s="168" t="s">
        <v>323</v>
      </c>
      <c r="D2" s="168" t="s">
        <v>330</v>
      </c>
      <c r="E2" s="168" t="s">
        <v>333</v>
      </c>
      <c r="F2" s="168" t="s">
        <v>348</v>
      </c>
      <c r="G2" s="168" t="s">
        <v>334</v>
      </c>
      <c r="H2" s="206" t="s">
        <v>339</v>
      </c>
      <c r="I2" s="168" t="s">
        <v>335</v>
      </c>
      <c r="J2" s="169" t="s">
        <v>336</v>
      </c>
      <c r="K2" s="170" t="s">
        <v>337</v>
      </c>
      <c r="L2" s="170" t="s">
        <v>363</v>
      </c>
      <c r="M2" s="170" t="s">
        <v>341</v>
      </c>
      <c r="N2" s="170" t="s">
        <v>342</v>
      </c>
      <c r="O2" s="170" t="s">
        <v>375</v>
      </c>
      <c r="P2" s="72" t="s">
        <v>353</v>
      </c>
      <c r="Q2" s="163" t="s">
        <v>331</v>
      </c>
      <c r="R2" s="163" t="s">
        <v>332</v>
      </c>
    </row>
    <row r="3" spans="1:18" s="59" customFormat="1" ht="35" thickBot="1" x14ac:dyDescent="0.25">
      <c r="A3" s="166" t="s">
        <v>324</v>
      </c>
      <c r="B3" s="165" t="s">
        <v>325</v>
      </c>
      <c r="C3" s="165" t="s">
        <v>326</v>
      </c>
      <c r="D3" s="173">
        <v>30.44</v>
      </c>
      <c r="E3" s="172">
        <v>52.53</v>
      </c>
      <c r="F3" s="172">
        <f>0.2*E3</f>
        <v>10.506</v>
      </c>
      <c r="G3" s="172">
        <f>SUM(E3:F3)</f>
        <v>63.036000000000001</v>
      </c>
      <c r="H3" s="172">
        <v>0.3</v>
      </c>
      <c r="I3" s="173">
        <f>H3*G3</f>
        <v>18.910799999999998</v>
      </c>
      <c r="J3" s="184" t="s">
        <v>327</v>
      </c>
      <c r="K3" s="181" t="s">
        <v>338</v>
      </c>
      <c r="L3" s="201">
        <f>(E3-D3)/(E3-I3)*100</f>
        <v>65.706501047020737</v>
      </c>
      <c r="M3" s="59">
        <v>228</v>
      </c>
      <c r="N3" s="59">
        <v>25.6</v>
      </c>
      <c r="O3" s="200">
        <v>60.671034166718918</v>
      </c>
      <c r="P3" s="59" t="s">
        <v>374</v>
      </c>
      <c r="Q3" s="164">
        <v>26.27</v>
      </c>
      <c r="R3" s="164" t="s">
        <v>327</v>
      </c>
    </row>
    <row r="4" spans="1:18" s="59" customFormat="1" ht="69" thickBot="1" x14ac:dyDescent="0.25">
      <c r="A4" s="166"/>
      <c r="B4" s="165" t="s">
        <v>325</v>
      </c>
      <c r="C4" s="165" t="s">
        <v>296</v>
      </c>
      <c r="D4" s="173">
        <v>0</v>
      </c>
      <c r="E4" s="185">
        <v>219.88</v>
      </c>
      <c r="F4" s="185">
        <f>E4*0.2</f>
        <v>43.975999999999999</v>
      </c>
      <c r="G4" s="185">
        <f t="shared" ref="G4:G10" si="0">E4+F4</f>
        <v>263.85599999999999</v>
      </c>
      <c r="H4" s="172">
        <v>0.3</v>
      </c>
      <c r="I4" s="173">
        <v>18.899999999999999</v>
      </c>
      <c r="J4" s="184" t="s">
        <v>328</v>
      </c>
      <c r="K4" s="194" t="s">
        <v>352</v>
      </c>
      <c r="L4" s="201">
        <f>(E4-D4)/(E4-I4)*100</f>
        <v>109.40392078813812</v>
      </c>
      <c r="M4" s="200">
        <f>53691.2166666667/1000</f>
        <v>53.691216666666705</v>
      </c>
      <c r="N4" s="188"/>
      <c r="O4" s="201"/>
      <c r="P4" s="188"/>
      <c r="Q4" s="164">
        <v>109.94</v>
      </c>
      <c r="R4" s="164" t="s">
        <v>328</v>
      </c>
    </row>
    <row r="5" spans="1:18" s="59" customFormat="1" ht="27" customHeight="1" thickBot="1" x14ac:dyDescent="0.25">
      <c r="A5" s="195"/>
      <c r="B5" s="214" t="s">
        <v>344</v>
      </c>
      <c r="C5" s="214" t="s">
        <v>362</v>
      </c>
      <c r="D5" s="215">
        <v>0</v>
      </c>
      <c r="E5" s="216">
        <v>11.58</v>
      </c>
      <c r="F5" s="216">
        <f>E5*0.2</f>
        <v>2.3160000000000003</v>
      </c>
      <c r="G5" s="216">
        <f t="shared" si="0"/>
        <v>13.896000000000001</v>
      </c>
      <c r="H5" s="216">
        <v>0.3</v>
      </c>
      <c r="I5" s="215">
        <f>G5*H5</f>
        <v>4.1688000000000001</v>
      </c>
      <c r="J5" s="217" t="s">
        <v>328</v>
      </c>
      <c r="K5" s="202" t="s">
        <v>404</v>
      </c>
      <c r="L5" s="202"/>
      <c r="M5" s="180"/>
      <c r="N5" s="180"/>
      <c r="O5" s="202"/>
      <c r="P5" s="180"/>
      <c r="Q5" s="164">
        <v>5.79</v>
      </c>
      <c r="R5" s="164" t="s">
        <v>328</v>
      </c>
    </row>
    <row r="6" spans="1:18" s="59" customFormat="1" ht="52" customHeight="1" thickBot="1" x14ac:dyDescent="0.25">
      <c r="A6" s="166" t="s">
        <v>345</v>
      </c>
      <c r="B6" s="177" t="s">
        <v>325</v>
      </c>
      <c r="C6" s="177" t="s">
        <v>326</v>
      </c>
      <c r="D6" s="205">
        <v>52.83</v>
      </c>
      <c r="E6" s="178">
        <v>395.38</v>
      </c>
      <c r="F6" s="178">
        <f>0.2*E6</f>
        <v>79.076000000000008</v>
      </c>
      <c r="G6" s="178">
        <f t="shared" si="0"/>
        <v>474.45600000000002</v>
      </c>
      <c r="H6" s="178">
        <v>0.3</v>
      </c>
      <c r="I6" s="205">
        <f>G6*H6</f>
        <v>142.33680000000001</v>
      </c>
      <c r="J6" s="179" t="s">
        <v>328</v>
      </c>
      <c r="K6" s="182" t="s">
        <v>377</v>
      </c>
      <c r="L6" s="203">
        <f>500</f>
        <v>500</v>
      </c>
      <c r="M6" s="59">
        <v>164</v>
      </c>
      <c r="N6" s="59" t="s">
        <v>354</v>
      </c>
      <c r="O6" s="200">
        <v>81.142857142857139</v>
      </c>
      <c r="P6" s="59" t="s">
        <v>351</v>
      </c>
      <c r="Q6" s="164">
        <v>197.69</v>
      </c>
      <c r="R6" s="164" t="s">
        <v>328</v>
      </c>
    </row>
    <row r="7" spans="1:18" s="59" customFormat="1" ht="42" customHeight="1" thickBot="1" x14ac:dyDescent="0.25">
      <c r="A7" s="166"/>
      <c r="B7" s="177" t="s">
        <v>325</v>
      </c>
      <c r="C7" s="177" t="s">
        <v>296</v>
      </c>
      <c r="D7" s="205">
        <v>0</v>
      </c>
      <c r="E7" s="178">
        <v>504.73</v>
      </c>
      <c r="F7" s="178">
        <f>0.2*E7</f>
        <v>100.94600000000001</v>
      </c>
      <c r="G7" s="178">
        <f t="shared" si="0"/>
        <v>605.67600000000004</v>
      </c>
      <c r="H7" s="178">
        <v>0.3</v>
      </c>
      <c r="I7" s="205">
        <v>142</v>
      </c>
      <c r="J7" s="179" t="s">
        <v>328</v>
      </c>
      <c r="K7" s="182" t="s">
        <v>355</v>
      </c>
      <c r="L7" s="203"/>
      <c r="O7" s="203"/>
      <c r="Q7" s="164">
        <v>252.37</v>
      </c>
      <c r="R7" s="164" t="s">
        <v>328</v>
      </c>
    </row>
    <row r="8" spans="1:18" s="59" customFormat="1" ht="52" thickBot="1" x14ac:dyDescent="0.25">
      <c r="B8" s="165" t="s">
        <v>329</v>
      </c>
      <c r="C8" s="165" t="s">
        <v>253</v>
      </c>
      <c r="D8" s="173">
        <v>289.81909999999971</v>
      </c>
      <c r="E8" s="172">
        <v>381.29</v>
      </c>
      <c r="F8" s="210">
        <f>0.2*E8</f>
        <v>76.25800000000001</v>
      </c>
      <c r="G8" s="210">
        <f t="shared" si="0"/>
        <v>457.548</v>
      </c>
      <c r="H8" s="172">
        <v>0.3</v>
      </c>
      <c r="I8" s="211">
        <f>H8*G8</f>
        <v>137.26439999999999</v>
      </c>
      <c r="J8" s="171" t="s">
        <v>327</v>
      </c>
      <c r="K8" s="183" t="s">
        <v>405</v>
      </c>
      <c r="L8" s="203"/>
      <c r="O8" s="203"/>
      <c r="Q8" s="164">
        <v>53.44</v>
      </c>
      <c r="R8" s="164" t="s">
        <v>327</v>
      </c>
    </row>
    <row r="9" spans="1:18" s="59" customFormat="1" ht="31" thickBot="1" x14ac:dyDescent="0.25">
      <c r="B9" s="165" t="s">
        <v>393</v>
      </c>
      <c r="C9" s="165" t="s">
        <v>394</v>
      </c>
      <c r="D9" s="173">
        <v>254.02</v>
      </c>
      <c r="E9" s="172">
        <v>533</v>
      </c>
      <c r="F9" s="172">
        <f>0.2*E9</f>
        <v>106.60000000000001</v>
      </c>
      <c r="G9" s="172">
        <f t="shared" si="0"/>
        <v>639.6</v>
      </c>
      <c r="H9" s="172">
        <v>0.3</v>
      </c>
      <c r="I9" s="173">
        <f>H9*G9</f>
        <v>191.88</v>
      </c>
      <c r="J9" s="213" t="s">
        <v>327</v>
      </c>
      <c r="K9" s="212"/>
      <c r="L9" s="203"/>
      <c r="O9" s="203"/>
      <c r="Q9" s="164"/>
      <c r="R9" s="164"/>
    </row>
    <row r="10" spans="1:18" s="59" customFormat="1" ht="27" customHeight="1" thickBot="1" x14ac:dyDescent="0.25">
      <c r="A10" s="174"/>
      <c r="B10" s="196" t="s">
        <v>344</v>
      </c>
      <c r="C10" s="196" t="s">
        <v>362</v>
      </c>
      <c r="D10" s="199">
        <v>30.101499999999987</v>
      </c>
      <c r="E10" s="197">
        <v>61.676500000000033</v>
      </c>
      <c r="F10" s="197">
        <f>0.2*E10</f>
        <v>12.335300000000007</v>
      </c>
      <c r="G10" s="197">
        <f t="shared" si="0"/>
        <v>74.011800000000036</v>
      </c>
      <c r="H10" s="197">
        <v>0.3</v>
      </c>
      <c r="I10" s="199">
        <f>G10*H10</f>
        <v>22.203540000000011</v>
      </c>
      <c r="J10" s="198" t="s">
        <v>327</v>
      </c>
      <c r="K10" s="204" t="s">
        <v>383</v>
      </c>
      <c r="L10" s="202"/>
      <c r="M10" s="180"/>
      <c r="N10" s="180"/>
      <c r="O10" s="202"/>
      <c r="P10" s="180"/>
      <c r="Q10" s="164">
        <v>30.85</v>
      </c>
      <c r="R10" s="164" t="s">
        <v>327</v>
      </c>
    </row>
    <row r="11" spans="1:18" x14ac:dyDescent="0.2">
      <c r="A11" t="s">
        <v>350</v>
      </c>
    </row>
    <row r="12" spans="1:18" x14ac:dyDescent="0.2">
      <c r="A12" t="s">
        <v>349</v>
      </c>
    </row>
    <row r="14" spans="1:18" x14ac:dyDescent="0.2">
      <c r="A14" s="72" t="s">
        <v>378</v>
      </c>
      <c r="B14" s="218" t="s">
        <v>379</v>
      </c>
      <c r="C14" s="218"/>
      <c r="D14" s="218"/>
      <c r="E14" s="218"/>
      <c r="F14" s="218"/>
      <c r="G14" s="218"/>
      <c r="H14" s="218"/>
      <c r="I14" s="218"/>
      <c r="J14" s="218"/>
      <c r="K14" s="218"/>
    </row>
    <row r="15" spans="1:18" x14ac:dyDescent="0.2">
      <c r="A15" s="72"/>
      <c r="B15" s="218"/>
      <c r="C15" s="218"/>
      <c r="D15" s="218"/>
      <c r="E15" s="218"/>
      <c r="F15" s="218"/>
      <c r="G15" s="218"/>
      <c r="H15" s="218"/>
      <c r="I15" s="218"/>
      <c r="J15" s="218"/>
      <c r="K15" s="218"/>
    </row>
  </sheetData>
  <mergeCells count="2">
    <mergeCell ref="B14:K15"/>
    <mergeCell ref="L1:P1"/>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2"/>
  <sheetViews>
    <sheetView zoomScale="113" zoomScaleNormal="113" zoomScalePageLayoutView="113" workbookViewId="0">
      <selection activeCell="B11" sqref="B11:D13"/>
    </sheetView>
  </sheetViews>
  <sheetFormatPr baseColWidth="10" defaultRowHeight="16" x14ac:dyDescent="0.2"/>
  <cols>
    <col min="1" max="1" width="31.6640625" customWidth="1"/>
    <col min="2" max="3" width="17.5" customWidth="1"/>
    <col min="7" max="8" width="14.83203125" customWidth="1"/>
  </cols>
  <sheetData>
    <row r="1" spans="1:12" x14ac:dyDescent="0.2">
      <c r="B1" t="s">
        <v>174</v>
      </c>
      <c r="I1" t="s">
        <v>288</v>
      </c>
    </row>
    <row r="2" spans="1:12" x14ac:dyDescent="0.2">
      <c r="I2" t="s">
        <v>289</v>
      </c>
    </row>
    <row r="3" spans="1:12" x14ac:dyDescent="0.2">
      <c r="B3" t="s">
        <v>179</v>
      </c>
      <c r="I3" t="s">
        <v>290</v>
      </c>
    </row>
    <row r="4" spans="1:12" x14ac:dyDescent="0.2">
      <c r="B4" t="s">
        <v>189</v>
      </c>
    </row>
    <row r="5" spans="1:12" x14ac:dyDescent="0.2">
      <c r="A5">
        <v>1</v>
      </c>
      <c r="B5" t="s">
        <v>298</v>
      </c>
    </row>
    <row r="6" spans="1:12" x14ac:dyDescent="0.2">
      <c r="B6" t="s">
        <v>180</v>
      </c>
    </row>
    <row r="7" spans="1:12" x14ac:dyDescent="0.2">
      <c r="B7" t="s">
        <v>316</v>
      </c>
    </row>
    <row r="9" spans="1:12" x14ac:dyDescent="0.2">
      <c r="B9" t="s">
        <v>187</v>
      </c>
    </row>
    <row r="10" spans="1:12" x14ac:dyDescent="0.2">
      <c r="A10" s="86" t="s">
        <v>196</v>
      </c>
      <c r="B10" s="86" t="s">
        <v>186</v>
      </c>
      <c r="C10" s="86"/>
      <c r="D10" s="86" t="s">
        <v>194</v>
      </c>
      <c r="E10" s="86" t="s">
        <v>186</v>
      </c>
      <c r="F10" s="86"/>
      <c r="G10" s="86"/>
      <c r="H10" s="86"/>
      <c r="I10" s="220" t="s">
        <v>185</v>
      </c>
      <c r="J10" s="220"/>
      <c r="K10" s="72"/>
      <c r="L10" s="72" t="s">
        <v>195</v>
      </c>
    </row>
    <row r="11" spans="1:12" x14ac:dyDescent="0.2">
      <c r="A11" s="93" t="s">
        <v>190</v>
      </c>
      <c r="B11" s="93" t="s">
        <v>287</v>
      </c>
      <c r="C11" s="93" t="s">
        <v>286</v>
      </c>
      <c r="D11" s="93" t="s">
        <v>176</v>
      </c>
      <c r="E11" s="93" t="s">
        <v>175</v>
      </c>
      <c r="F11" s="93" t="s">
        <v>280</v>
      </c>
      <c r="G11" s="93" t="s">
        <v>177</v>
      </c>
      <c r="H11" s="93" t="s">
        <v>281</v>
      </c>
      <c r="I11" s="93" t="s">
        <v>183</v>
      </c>
      <c r="J11" s="93" t="s">
        <v>184</v>
      </c>
      <c r="K11" s="72"/>
      <c r="L11" s="82" t="s">
        <v>188</v>
      </c>
    </row>
    <row r="12" spans="1:12" x14ac:dyDescent="0.2">
      <c r="A12" s="88" t="s">
        <v>191</v>
      </c>
      <c r="B12" s="127">
        <v>1969</v>
      </c>
      <c r="C12" s="127">
        <f>D12-25</f>
        <v>1994</v>
      </c>
      <c r="D12" s="127">
        <v>2019</v>
      </c>
      <c r="E12" s="88">
        <v>2044</v>
      </c>
      <c r="F12" s="127">
        <f>E12-B12</f>
        <v>75</v>
      </c>
      <c r="G12" s="88">
        <f>J12-I12</f>
        <v>29</v>
      </c>
      <c r="H12" s="88">
        <v>1969</v>
      </c>
      <c r="I12" s="88">
        <v>1987</v>
      </c>
      <c r="J12" s="88">
        <v>2016</v>
      </c>
      <c r="L12" s="84" t="s">
        <v>320</v>
      </c>
    </row>
    <row r="13" spans="1:12" ht="26" x14ac:dyDescent="0.3">
      <c r="A13" s="135" t="s">
        <v>306</v>
      </c>
      <c r="B13" s="88">
        <v>52.53</v>
      </c>
      <c r="C13" s="88">
        <v>41.48</v>
      </c>
      <c r="D13" s="87">
        <v>30.44</v>
      </c>
      <c r="E13" s="87">
        <v>19.39</v>
      </c>
      <c r="F13" s="88"/>
      <c r="G13" s="88"/>
      <c r="H13" s="88"/>
      <c r="I13" s="88"/>
      <c r="J13" s="88"/>
      <c r="L13" s="71" t="s">
        <v>275</v>
      </c>
    </row>
    <row r="14" spans="1:12" x14ac:dyDescent="0.2">
      <c r="A14" s="88" t="s">
        <v>182</v>
      </c>
      <c r="B14" s="88"/>
      <c r="C14" s="88"/>
      <c r="D14" s="129">
        <f>B13-D13</f>
        <v>22.09</v>
      </c>
      <c r="E14" s="129">
        <f>B13-E13</f>
        <v>33.14</v>
      </c>
      <c r="F14" s="88"/>
      <c r="G14" s="88"/>
      <c r="H14" s="88"/>
      <c r="I14" s="88"/>
      <c r="J14" s="88"/>
      <c r="L14" s="82" t="s">
        <v>181</v>
      </c>
    </row>
    <row r="15" spans="1:12" x14ac:dyDescent="0.2">
      <c r="A15" s="88" t="s">
        <v>178</v>
      </c>
      <c r="B15" s="88"/>
      <c r="C15" s="88"/>
      <c r="D15" s="89">
        <f>D14/B13*100</f>
        <v>42.052160670093279</v>
      </c>
      <c r="E15" s="90">
        <f>E14/B13*100</f>
        <v>63.087759375594899</v>
      </c>
      <c r="F15" s="90"/>
      <c r="G15" s="88"/>
      <c r="H15" s="88"/>
      <c r="I15" s="88"/>
      <c r="J15" s="88"/>
    </row>
    <row r="16" spans="1:12" x14ac:dyDescent="0.2">
      <c r="A16" s="158" t="s">
        <v>317</v>
      </c>
      <c r="B16" s="159">
        <v>1944</v>
      </c>
      <c r="C16" s="159"/>
      <c r="D16" s="160"/>
      <c r="E16" s="88"/>
      <c r="F16" s="88"/>
      <c r="G16" s="88"/>
      <c r="H16" s="88"/>
      <c r="I16" s="88"/>
      <c r="J16" s="88"/>
      <c r="L16" s="71" t="s">
        <v>278</v>
      </c>
    </row>
    <row r="17" spans="1:13" x14ac:dyDescent="0.2">
      <c r="A17" s="161" t="s">
        <v>318</v>
      </c>
      <c r="B17" s="161">
        <v>63.57</v>
      </c>
      <c r="C17" s="161"/>
      <c r="D17" s="162">
        <v>15.4</v>
      </c>
      <c r="E17" s="92"/>
      <c r="F17" s="92"/>
      <c r="G17" s="92"/>
      <c r="H17" s="92"/>
      <c r="I17" s="92"/>
      <c r="J17" s="92"/>
      <c r="L17" s="71" t="s">
        <v>277</v>
      </c>
    </row>
    <row r="18" spans="1:13" ht="21" x14ac:dyDescent="0.25">
      <c r="A18" s="136" t="s">
        <v>192</v>
      </c>
      <c r="B18" s="88"/>
      <c r="C18" s="88"/>
      <c r="D18" s="130">
        <f>0.5*B13</f>
        <v>26.265000000000001</v>
      </c>
      <c r="E18" s="88"/>
      <c r="F18" s="88"/>
      <c r="G18" s="88"/>
      <c r="H18" s="88"/>
      <c r="I18" s="88"/>
      <c r="J18" s="88"/>
      <c r="L18" s="71" t="s">
        <v>291</v>
      </c>
    </row>
    <row r="19" spans="1:13" x14ac:dyDescent="0.2">
      <c r="A19" s="92" t="s">
        <v>319</v>
      </c>
      <c r="B19" s="92"/>
      <c r="C19" s="92"/>
      <c r="D19" s="92"/>
      <c r="E19" s="92"/>
      <c r="F19" s="92"/>
      <c r="G19" s="92"/>
      <c r="H19" s="92"/>
      <c r="I19" s="92"/>
      <c r="J19" s="92"/>
      <c r="L19" s="94" t="s">
        <v>292</v>
      </c>
    </row>
    <row r="20" spans="1:13" ht="19" x14ac:dyDescent="0.25">
      <c r="A20" s="143" t="s">
        <v>301</v>
      </c>
      <c r="D20" s="144">
        <f>D13-D18</f>
        <v>4.1750000000000007</v>
      </c>
      <c r="F20" s="142" t="s">
        <v>313</v>
      </c>
      <c r="J20" s="150"/>
      <c r="L20" s="84" t="s">
        <v>312</v>
      </c>
    </row>
    <row r="21" spans="1:13" x14ac:dyDescent="0.2">
      <c r="A21" s="145" t="s">
        <v>266</v>
      </c>
      <c r="B21" s="146">
        <f>D1</f>
        <v>0</v>
      </c>
      <c r="C21" s="147"/>
      <c r="D21" s="148">
        <f>(B13-D13)/(B13-D17)*100</f>
        <v>59.493670886075947</v>
      </c>
      <c r="E21" s="149"/>
      <c r="F21" s="149"/>
      <c r="G21" s="149"/>
      <c r="H21" s="149"/>
      <c r="I21" s="149"/>
      <c r="J21" s="151"/>
      <c r="L21" s="84" t="s">
        <v>314</v>
      </c>
    </row>
    <row r="22" spans="1:13" x14ac:dyDescent="0.2">
      <c r="A22" s="71" t="s">
        <v>284</v>
      </c>
      <c r="D22" s="84"/>
      <c r="H22" t="str">
        <f>IF(D15&gt;=80,"CR",IF(D15&gt;=50,"EN", IF(D15&gt;=30,"VU","")))</f>
        <v>VU</v>
      </c>
    </row>
    <row r="23" spans="1:13" x14ac:dyDescent="0.2">
      <c r="A23" s="71" t="s">
        <v>285</v>
      </c>
      <c r="M23" s="84"/>
    </row>
    <row r="24" spans="1:13" x14ac:dyDescent="0.2">
      <c r="A24" s="71" t="s">
        <v>302</v>
      </c>
    </row>
    <row r="26" spans="1:13" x14ac:dyDescent="0.2">
      <c r="A26" s="82" t="s">
        <v>197</v>
      </c>
    </row>
    <row r="28" spans="1:13" x14ac:dyDescent="0.2">
      <c r="A28" s="94" t="s">
        <v>272</v>
      </c>
    </row>
    <row r="29" spans="1:13" x14ac:dyDescent="0.2">
      <c r="D29" t="s">
        <v>265</v>
      </c>
      <c r="E29" s="72" t="s">
        <v>262</v>
      </c>
      <c r="F29" t="s">
        <v>264</v>
      </c>
      <c r="G29" s="72" t="s">
        <v>263</v>
      </c>
      <c r="I29" s="71" t="s">
        <v>282</v>
      </c>
    </row>
    <row r="30" spans="1:13" x14ac:dyDescent="0.2">
      <c r="A30" t="s">
        <v>273</v>
      </c>
      <c r="B30" t="s">
        <v>199</v>
      </c>
      <c r="D30">
        <f>E30*F30+G30</f>
        <v>37.177199999999971</v>
      </c>
      <c r="E30" s="72">
        <v>-0.21440000000000001</v>
      </c>
      <c r="F30">
        <v>1987</v>
      </c>
      <c r="G30" s="72">
        <v>463.19</v>
      </c>
      <c r="H30" t="s">
        <v>395</v>
      </c>
      <c r="I30" s="72">
        <v>24.466000000000001</v>
      </c>
      <c r="J30" t="s">
        <v>396</v>
      </c>
      <c r="K30">
        <f>SQRT(8)*'thresholds calcs-grouper'!I30</f>
        <v>69.200298034040301</v>
      </c>
    </row>
    <row r="31" spans="1:13" x14ac:dyDescent="0.2">
      <c r="A31" t="s">
        <v>274</v>
      </c>
      <c r="B31" t="s">
        <v>261</v>
      </c>
      <c r="D31">
        <f>E31*F31+G31</f>
        <v>30.435799999999858</v>
      </c>
      <c r="E31" s="72">
        <v>-0.44180000000000003</v>
      </c>
      <c r="F31">
        <v>2019</v>
      </c>
      <c r="G31" s="72">
        <v>922.43</v>
      </c>
      <c r="H31" t="s">
        <v>395</v>
      </c>
      <c r="I31">
        <v>15.760999999999999</v>
      </c>
      <c r="J31" t="s">
        <v>396</v>
      </c>
      <c r="K31">
        <f>SQRT(5)*'thresholds calcs-grouper'!I31</f>
        <v>35.242667393374184</v>
      </c>
    </row>
    <row r="32" spans="1:13" x14ac:dyDescent="0.2">
      <c r="A32" t="s">
        <v>283</v>
      </c>
    </row>
    <row r="34" spans="1:12" x14ac:dyDescent="0.2">
      <c r="A34" s="86" t="s">
        <v>294</v>
      </c>
      <c r="B34" s="86" t="s">
        <v>186</v>
      </c>
      <c r="C34" s="86"/>
      <c r="D34" s="86" t="s">
        <v>194</v>
      </c>
      <c r="E34" s="86" t="s">
        <v>186</v>
      </c>
      <c r="F34" s="86"/>
      <c r="G34" s="86"/>
      <c r="H34" s="86"/>
      <c r="I34" s="220" t="s">
        <v>185</v>
      </c>
      <c r="J34" s="220"/>
      <c r="K34" s="72"/>
      <c r="L34" s="72"/>
    </row>
    <row r="35" spans="1:12" x14ac:dyDescent="0.2">
      <c r="A35" s="93" t="s">
        <v>190</v>
      </c>
      <c r="B35" s="93" t="s">
        <v>287</v>
      </c>
      <c r="C35" s="93" t="s">
        <v>286</v>
      </c>
      <c r="D35" s="93" t="s">
        <v>176</v>
      </c>
      <c r="E35" s="93" t="s">
        <v>175</v>
      </c>
      <c r="F35" s="93" t="s">
        <v>280</v>
      </c>
      <c r="G35" s="93" t="s">
        <v>177</v>
      </c>
      <c r="H35" s="93" t="s">
        <v>281</v>
      </c>
      <c r="I35" s="93" t="s">
        <v>183</v>
      </c>
      <c r="J35" s="93" t="s">
        <v>184</v>
      </c>
      <c r="K35" s="72"/>
      <c r="L35" s="72"/>
    </row>
    <row r="36" spans="1:12" x14ac:dyDescent="0.2">
      <c r="A36" s="88" t="s">
        <v>191</v>
      </c>
      <c r="B36" s="127">
        <v>1969</v>
      </c>
      <c r="C36" s="127">
        <f>D36-25</f>
        <v>1994</v>
      </c>
      <c r="D36" s="127">
        <v>2019</v>
      </c>
      <c r="E36" s="88">
        <v>2044</v>
      </c>
      <c r="F36" s="127">
        <f>E36-B36</f>
        <v>75</v>
      </c>
      <c r="G36" s="88">
        <f>J36-I36</f>
        <v>29</v>
      </c>
      <c r="H36" s="88">
        <v>1969</v>
      </c>
      <c r="I36" s="88">
        <v>1987</v>
      </c>
      <c r="J36" s="88">
        <v>2016</v>
      </c>
      <c r="L36" s="72"/>
    </row>
    <row r="37" spans="1:12" ht="26" x14ac:dyDescent="0.3">
      <c r="A37" s="135" t="s">
        <v>346</v>
      </c>
      <c r="B37" s="88">
        <v>395.38</v>
      </c>
      <c r="C37" s="88">
        <v>224.11</v>
      </c>
      <c r="D37" s="87">
        <v>52.831000000000003</v>
      </c>
      <c r="E37" s="87">
        <v>19.39</v>
      </c>
      <c r="F37" s="88"/>
      <c r="G37" s="88"/>
      <c r="H37" s="88"/>
      <c r="I37" s="88"/>
      <c r="J37" s="88"/>
      <c r="L37" s="72"/>
    </row>
    <row r="38" spans="1:12" x14ac:dyDescent="0.2">
      <c r="A38" s="88" t="s">
        <v>254</v>
      </c>
      <c r="B38" s="88"/>
      <c r="C38" s="88"/>
      <c r="D38" s="129">
        <f>B37-D37</f>
        <v>342.54899999999998</v>
      </c>
      <c r="E38" s="129">
        <f>B37-E37</f>
        <v>375.99</v>
      </c>
      <c r="F38" s="88"/>
      <c r="G38" s="88"/>
      <c r="H38" s="88"/>
      <c r="I38" s="88"/>
      <c r="J38" s="88"/>
      <c r="L38" s="72"/>
    </row>
    <row r="39" spans="1:12" x14ac:dyDescent="0.2">
      <c r="A39" s="88" t="s">
        <v>178</v>
      </c>
      <c r="B39" s="88"/>
      <c r="C39" s="88"/>
      <c r="D39" s="89">
        <f>D38/B37*100</f>
        <v>86.637917952349625</v>
      </c>
      <c r="E39" s="90">
        <f>E38/B37*100</f>
        <v>95.095857150083461</v>
      </c>
      <c r="F39" s="90"/>
      <c r="G39" s="88"/>
      <c r="H39" s="88"/>
      <c r="I39" s="88"/>
      <c r="J39" s="88"/>
      <c r="L39" s="72"/>
    </row>
    <row r="40" spans="1:12" x14ac:dyDescent="0.2">
      <c r="A40" s="88" t="s">
        <v>276</v>
      </c>
      <c r="B40" s="88"/>
      <c r="C40" s="88"/>
      <c r="D40" s="91" t="str">
        <f>IF(D39&gt;=80,"CR",IF(D39&gt;=50,"EN", IF(D39&gt;=30,"VU","")))</f>
        <v>CR</v>
      </c>
      <c r="E40" s="91" t="str">
        <f>IF(E39&gt;=80,"CR",IF(E39&gt;=50,"EN", IF(E39&gt;=30,"VU","")))</f>
        <v>CR</v>
      </c>
      <c r="F40" s="88"/>
      <c r="G40" s="88"/>
      <c r="H40" s="88"/>
      <c r="I40" s="88"/>
      <c r="J40" s="88"/>
      <c r="L40" s="72"/>
    </row>
    <row r="41" spans="1:12" x14ac:dyDescent="0.2">
      <c r="A41" s="127"/>
      <c r="B41" s="127"/>
      <c r="C41" s="88"/>
      <c r="D41" s="88"/>
      <c r="E41" s="88"/>
      <c r="F41" s="88"/>
      <c r="G41" s="88"/>
      <c r="H41" s="88"/>
      <c r="I41" s="88"/>
      <c r="J41" s="88"/>
      <c r="L41" s="72"/>
    </row>
    <row r="42" spans="1:12" x14ac:dyDescent="0.2">
      <c r="A42" s="88" t="s">
        <v>254</v>
      </c>
      <c r="B42" s="88"/>
      <c r="C42" s="88"/>
      <c r="D42" s="127"/>
      <c r="E42" s="88"/>
      <c r="F42" s="88"/>
      <c r="G42" s="88"/>
      <c r="H42" s="88"/>
      <c r="I42" s="88"/>
      <c r="J42" s="88"/>
      <c r="L42" s="72"/>
    </row>
    <row r="43" spans="1:12" x14ac:dyDescent="0.2">
      <c r="A43" s="88" t="s">
        <v>178</v>
      </c>
      <c r="B43" s="88"/>
      <c r="C43" s="88"/>
      <c r="D43" s="89"/>
      <c r="E43" s="88"/>
      <c r="F43" s="88"/>
      <c r="G43" s="88"/>
      <c r="H43" s="88"/>
      <c r="I43" s="88"/>
      <c r="J43" s="88"/>
      <c r="L43" s="72"/>
    </row>
    <row r="44" spans="1:12" ht="21" x14ac:dyDescent="0.25">
      <c r="A44" s="136" t="s">
        <v>295</v>
      </c>
      <c r="B44" s="88"/>
      <c r="C44" s="88"/>
      <c r="D44" s="130">
        <f>0.5*B37</f>
        <v>197.69</v>
      </c>
      <c r="E44" s="88"/>
      <c r="F44" s="88"/>
      <c r="G44" s="88"/>
      <c r="H44" s="88"/>
      <c r="I44" s="88"/>
      <c r="J44" s="88"/>
      <c r="L44" s="72"/>
    </row>
    <row r="45" spans="1:12" x14ac:dyDescent="0.2">
      <c r="A45" s="92"/>
      <c r="B45" s="92"/>
      <c r="C45" s="92"/>
      <c r="D45" s="92">
        <f>0.5*164</f>
        <v>82</v>
      </c>
      <c r="E45" s="92"/>
      <c r="F45" s="92"/>
      <c r="G45" s="92"/>
      <c r="H45" s="92"/>
      <c r="I45" s="92"/>
      <c r="J45" s="92"/>
      <c r="L45" s="72"/>
    </row>
    <row r="46" spans="1:12" x14ac:dyDescent="0.2">
      <c r="A46" s="137"/>
      <c r="D46" s="138"/>
      <c r="F46" s="84"/>
      <c r="L46" s="72"/>
    </row>
    <row r="47" spans="1:12" x14ac:dyDescent="0.2">
      <c r="A47" s="131"/>
      <c r="B47" s="132"/>
      <c r="C47" s="128"/>
      <c r="D47" s="84"/>
      <c r="K47" s="84"/>
    </row>
    <row r="48" spans="1:12" x14ac:dyDescent="0.2">
      <c r="A48" s="94"/>
    </row>
    <row r="49" spans="1:11" x14ac:dyDescent="0.2">
      <c r="D49" t="s">
        <v>265</v>
      </c>
      <c r="E49" s="72" t="s">
        <v>262</v>
      </c>
      <c r="F49" t="s">
        <v>264</v>
      </c>
      <c r="G49" s="72" t="s">
        <v>263</v>
      </c>
    </row>
    <row r="50" spans="1:11" x14ac:dyDescent="0.2">
      <c r="A50" t="s">
        <v>273</v>
      </c>
      <c r="B50" t="s">
        <v>199</v>
      </c>
      <c r="D50">
        <f>E50*F50+G50</f>
        <v>103.40899999999965</v>
      </c>
      <c r="E50" s="72">
        <v>-10.189</v>
      </c>
      <c r="F50">
        <v>2019</v>
      </c>
      <c r="G50" s="72">
        <v>20675</v>
      </c>
      <c r="I50" s="71" t="s">
        <v>282</v>
      </c>
    </row>
    <row r="51" spans="1:11" x14ac:dyDescent="0.2">
      <c r="A51" t="s">
        <v>274</v>
      </c>
      <c r="B51" t="s">
        <v>261</v>
      </c>
      <c r="D51">
        <f>E51*F51+G51</f>
        <v>52.831000000000131</v>
      </c>
      <c r="E51" s="72">
        <v>-6.851</v>
      </c>
      <c r="F51">
        <v>2019</v>
      </c>
      <c r="G51" s="72">
        <v>13885</v>
      </c>
    </row>
    <row r="52" spans="1:11" x14ac:dyDescent="0.2">
      <c r="E52" s="72"/>
      <c r="G52" s="72"/>
    </row>
    <row r="55" spans="1:11" x14ac:dyDescent="0.2">
      <c r="E55" s="133"/>
    </row>
    <row r="56" spans="1:11" x14ac:dyDescent="0.2">
      <c r="A56" s="94" t="s">
        <v>255</v>
      </c>
      <c r="E56" s="133"/>
    </row>
    <row r="57" spans="1:11" x14ac:dyDescent="0.2">
      <c r="A57" s="94" t="s">
        <v>257</v>
      </c>
      <c r="B57" s="94" t="s">
        <v>267</v>
      </c>
      <c r="C57" s="94"/>
    </row>
    <row r="58" spans="1:11" x14ac:dyDescent="0.2">
      <c r="A58" t="s">
        <v>258</v>
      </c>
      <c r="B58" t="s">
        <v>268</v>
      </c>
    </row>
    <row r="59" spans="1:11" x14ac:dyDescent="0.2">
      <c r="A59" t="s">
        <v>259</v>
      </c>
      <c r="B59" t="s">
        <v>269</v>
      </c>
    </row>
    <row r="60" spans="1:11" x14ac:dyDescent="0.2">
      <c r="A60" t="s">
        <v>260</v>
      </c>
      <c r="B60" t="s">
        <v>270</v>
      </c>
    </row>
    <row r="61" spans="1:11" x14ac:dyDescent="0.2">
      <c r="A61" s="94" t="s">
        <v>271</v>
      </c>
    </row>
    <row r="62" spans="1:11" x14ac:dyDescent="0.2">
      <c r="A62" s="126" t="s">
        <v>256</v>
      </c>
    </row>
    <row r="63" spans="1:11" x14ac:dyDescent="0.2">
      <c r="A63" s="126"/>
    </row>
    <row r="64" spans="1:11" x14ac:dyDescent="0.2">
      <c r="A64" s="86" t="s">
        <v>196</v>
      </c>
      <c r="B64" s="86" t="s">
        <v>186</v>
      </c>
      <c r="C64" s="86"/>
      <c r="D64" s="86" t="s">
        <v>194</v>
      </c>
      <c r="E64" s="86" t="s">
        <v>186</v>
      </c>
      <c r="F64" s="86"/>
      <c r="G64" s="86"/>
      <c r="H64" s="86"/>
      <c r="I64" s="220" t="s">
        <v>185</v>
      </c>
      <c r="J64" s="220"/>
      <c r="K64" s="72"/>
    </row>
    <row r="65" spans="1:13" x14ac:dyDescent="0.2">
      <c r="A65" s="93" t="s">
        <v>190</v>
      </c>
      <c r="B65" s="93" t="s">
        <v>287</v>
      </c>
      <c r="C65" s="93" t="s">
        <v>286</v>
      </c>
      <c r="D65" s="93" t="s">
        <v>176</v>
      </c>
      <c r="E65" s="93" t="s">
        <v>175</v>
      </c>
      <c r="F65" s="93" t="s">
        <v>280</v>
      </c>
      <c r="G65" s="93" t="s">
        <v>177</v>
      </c>
      <c r="H65" s="93" t="s">
        <v>281</v>
      </c>
      <c r="I65" s="93" t="s">
        <v>183</v>
      </c>
      <c r="J65" s="93" t="s">
        <v>184</v>
      </c>
      <c r="K65" s="72"/>
    </row>
    <row r="66" spans="1:13" x14ac:dyDescent="0.2">
      <c r="A66" s="88" t="s">
        <v>191</v>
      </c>
      <c r="B66" s="127">
        <v>1969</v>
      </c>
      <c r="C66" s="127">
        <f>D66-25</f>
        <v>1994</v>
      </c>
      <c r="D66" s="127">
        <v>2019</v>
      </c>
      <c r="E66" s="88">
        <v>2044</v>
      </c>
      <c r="F66" s="127">
        <f>E66-B66</f>
        <v>75</v>
      </c>
      <c r="G66" s="88">
        <f>J66-I66</f>
        <v>29</v>
      </c>
      <c r="H66" s="88">
        <v>1969</v>
      </c>
      <c r="I66" s="88">
        <v>1987</v>
      </c>
      <c r="J66" s="88">
        <v>2016</v>
      </c>
    </row>
    <row r="67" spans="1:13" ht="26" x14ac:dyDescent="0.3">
      <c r="A67" s="87" t="s">
        <v>307</v>
      </c>
      <c r="B67" s="88">
        <v>219.88</v>
      </c>
      <c r="C67" s="88">
        <v>100.14</v>
      </c>
      <c r="D67" s="87">
        <v>-19.600000000000001</v>
      </c>
      <c r="E67" s="87">
        <v>-139.34</v>
      </c>
      <c r="F67" s="88"/>
      <c r="G67" s="88"/>
      <c r="H67" s="88"/>
      <c r="I67" s="88"/>
      <c r="J67" s="88"/>
      <c r="L67" s="71" t="s">
        <v>315</v>
      </c>
    </row>
    <row r="68" spans="1:13" x14ac:dyDescent="0.2">
      <c r="A68" s="88" t="s">
        <v>182</v>
      </c>
      <c r="B68" s="88"/>
      <c r="C68" s="88"/>
      <c r="D68" s="129">
        <f>B67-D67</f>
        <v>239.48</v>
      </c>
      <c r="E68" s="129">
        <f>B67-E67</f>
        <v>359.22</v>
      </c>
      <c r="F68" s="88"/>
      <c r="G68" s="88"/>
      <c r="H68" s="88"/>
      <c r="I68" s="88"/>
      <c r="J68" s="88"/>
    </row>
    <row r="69" spans="1:13" x14ac:dyDescent="0.2">
      <c r="A69" s="127"/>
      <c r="B69" s="127"/>
      <c r="C69" s="88"/>
      <c r="D69" s="88"/>
      <c r="E69" s="88"/>
      <c r="F69" s="88"/>
      <c r="G69" s="88"/>
      <c r="H69" s="88"/>
      <c r="I69" s="88"/>
      <c r="J69" s="88"/>
    </row>
    <row r="70" spans="1:13" x14ac:dyDescent="0.2">
      <c r="A70" s="88" t="s">
        <v>182</v>
      </c>
      <c r="B70" s="88"/>
      <c r="C70" s="88"/>
      <c r="D70" s="127"/>
      <c r="E70" s="88"/>
      <c r="F70" s="88"/>
      <c r="G70" s="88"/>
      <c r="H70" s="88"/>
      <c r="I70" s="88"/>
      <c r="J70" s="88"/>
    </row>
    <row r="71" spans="1:13" x14ac:dyDescent="0.2">
      <c r="A71" s="88" t="s">
        <v>178</v>
      </c>
      <c r="B71" s="88"/>
      <c r="C71" s="88"/>
      <c r="D71" s="89"/>
      <c r="E71" s="88"/>
      <c r="F71" s="88"/>
      <c r="G71" s="88"/>
      <c r="H71" s="88"/>
      <c r="I71" s="88"/>
      <c r="J71" s="88"/>
    </row>
    <row r="72" spans="1:13" ht="21" x14ac:dyDescent="0.25">
      <c r="A72" s="139" t="s">
        <v>303</v>
      </c>
      <c r="B72" s="88"/>
      <c r="C72" s="88"/>
      <c r="D72" s="130">
        <f>0.5*B67</f>
        <v>109.94</v>
      </c>
      <c r="E72" s="88"/>
      <c r="F72" s="88"/>
      <c r="G72" s="88"/>
      <c r="H72" s="88"/>
      <c r="I72" s="88"/>
      <c r="J72" s="88"/>
    </row>
    <row r="73" spans="1:13" x14ac:dyDescent="0.2">
      <c r="A73" s="92"/>
      <c r="B73" s="92"/>
      <c r="C73" s="92"/>
      <c r="D73" s="92"/>
      <c r="E73" s="92"/>
      <c r="F73" s="92"/>
      <c r="G73" s="92"/>
      <c r="H73" s="92"/>
      <c r="I73" s="92"/>
      <c r="J73" s="92"/>
    </row>
    <row r="74" spans="1:13" x14ac:dyDescent="0.2">
      <c r="A74" s="137" t="s">
        <v>301</v>
      </c>
      <c r="D74" s="84">
        <f>D67-D72</f>
        <v>-129.54</v>
      </c>
    </row>
    <row r="75" spans="1:13" x14ac:dyDescent="0.2">
      <c r="A75" s="131" t="s">
        <v>308</v>
      </c>
      <c r="B75" s="132">
        <f>(B67-D67)/(B67-D72)*100</f>
        <v>217.82790613061673</v>
      </c>
      <c r="C75" s="128"/>
      <c r="D75" s="84"/>
    </row>
    <row r="76" spans="1:13" x14ac:dyDescent="0.2">
      <c r="A76" s="71"/>
      <c r="D76" s="84"/>
    </row>
    <row r="77" spans="1:13" x14ac:dyDescent="0.2">
      <c r="A77" s="94" t="s">
        <v>272</v>
      </c>
      <c r="M77" s="84"/>
    </row>
    <row r="78" spans="1:13" x14ac:dyDescent="0.2">
      <c r="D78" t="s">
        <v>265</v>
      </c>
      <c r="E78" s="72" t="s">
        <v>262</v>
      </c>
      <c r="F78" t="s">
        <v>264</v>
      </c>
      <c r="G78" s="72" t="s">
        <v>263</v>
      </c>
    </row>
    <row r="79" spans="1:13" x14ac:dyDescent="0.2">
      <c r="A79" t="s">
        <v>273</v>
      </c>
      <c r="B79" t="s">
        <v>199</v>
      </c>
      <c r="D79">
        <f>E79*F79+G79</f>
        <v>-10.156399999999849</v>
      </c>
      <c r="E79" s="72">
        <v>-3.8555999999999999</v>
      </c>
      <c r="F79">
        <v>2019</v>
      </c>
      <c r="G79" s="72">
        <v>7774.3</v>
      </c>
      <c r="I79" s="71" t="s">
        <v>282</v>
      </c>
    </row>
    <row r="80" spans="1:13" x14ac:dyDescent="0.2">
      <c r="A80" t="s">
        <v>274</v>
      </c>
      <c r="B80" t="s">
        <v>261</v>
      </c>
      <c r="D80">
        <f>E80*F80+G80</f>
        <v>219.8775999999998</v>
      </c>
      <c r="E80" s="72">
        <v>-4.7896000000000001</v>
      </c>
      <c r="F80">
        <v>1969</v>
      </c>
      <c r="G80" s="72">
        <v>9650.6</v>
      </c>
    </row>
    <row r="82" spans="1:12" x14ac:dyDescent="0.2">
      <c r="A82" s="94"/>
    </row>
    <row r="83" spans="1:12" x14ac:dyDescent="0.2">
      <c r="E83" s="72"/>
      <c r="G83" s="72"/>
    </row>
    <row r="84" spans="1:12" x14ac:dyDescent="0.2">
      <c r="E84" s="72"/>
      <c r="G84" s="72"/>
      <c r="I84" s="71"/>
    </row>
    <row r="85" spans="1:12" x14ac:dyDescent="0.2">
      <c r="E85" s="72"/>
      <c r="G85" s="72"/>
    </row>
    <row r="88" spans="1:12" x14ac:dyDescent="0.2">
      <c r="A88" s="86" t="s">
        <v>294</v>
      </c>
      <c r="B88" s="86" t="s">
        <v>186</v>
      </c>
      <c r="C88" s="86"/>
      <c r="D88" s="86" t="s">
        <v>194</v>
      </c>
      <c r="E88" s="86" t="s">
        <v>186</v>
      </c>
      <c r="F88" s="86"/>
      <c r="G88" s="86"/>
      <c r="H88" s="86"/>
      <c r="I88" s="220" t="s">
        <v>185</v>
      </c>
      <c r="J88" s="220"/>
      <c r="K88" s="72"/>
      <c r="L88" s="72"/>
    </row>
    <row r="89" spans="1:12" x14ac:dyDescent="0.2">
      <c r="A89" s="93" t="s">
        <v>190</v>
      </c>
      <c r="B89" s="93" t="s">
        <v>287</v>
      </c>
      <c r="C89" s="93" t="s">
        <v>286</v>
      </c>
      <c r="D89" s="93" t="s">
        <v>176</v>
      </c>
      <c r="E89" s="93" t="s">
        <v>175</v>
      </c>
      <c r="F89" s="93" t="s">
        <v>280</v>
      </c>
      <c r="G89" s="93" t="s">
        <v>177</v>
      </c>
      <c r="H89" s="93" t="s">
        <v>281</v>
      </c>
      <c r="I89" s="93" t="s">
        <v>183</v>
      </c>
      <c r="J89" s="93" t="s">
        <v>184</v>
      </c>
      <c r="K89" s="72"/>
      <c r="L89" s="72"/>
    </row>
    <row r="90" spans="1:12" x14ac:dyDescent="0.2">
      <c r="A90" s="88" t="s">
        <v>191</v>
      </c>
      <c r="B90" s="127">
        <v>1969</v>
      </c>
      <c r="C90" s="127">
        <f>D90-25</f>
        <v>1994</v>
      </c>
      <c r="D90" s="127">
        <v>2019</v>
      </c>
      <c r="E90" s="88">
        <v>2044</v>
      </c>
      <c r="F90" s="127">
        <f>E90-B90</f>
        <v>75</v>
      </c>
      <c r="G90" s="88">
        <f>J90-I90</f>
        <v>29</v>
      </c>
      <c r="H90" s="88">
        <v>1969</v>
      </c>
      <c r="I90" s="88">
        <v>1987</v>
      </c>
      <c r="J90" s="88">
        <v>2016</v>
      </c>
      <c r="L90" s="72"/>
    </row>
    <row r="91" spans="1:12" ht="26" x14ac:dyDescent="0.3">
      <c r="A91" s="87" t="s">
        <v>347</v>
      </c>
      <c r="B91" s="88">
        <v>504.73</v>
      </c>
      <c r="C91" s="88">
        <v>246.08</v>
      </c>
      <c r="D91" s="87">
        <v>-12.574</v>
      </c>
      <c r="E91" s="87">
        <v>-271.22000000000003</v>
      </c>
      <c r="F91" s="88"/>
      <c r="G91" s="88"/>
      <c r="H91" s="88"/>
      <c r="I91" s="88"/>
      <c r="J91" s="88"/>
      <c r="L91" s="72"/>
    </row>
    <row r="92" spans="1:12" x14ac:dyDescent="0.2">
      <c r="A92" s="88" t="s">
        <v>254</v>
      </c>
      <c r="B92" s="88"/>
      <c r="C92" s="88"/>
      <c r="D92" s="129">
        <f>B91-D91</f>
        <v>517.30399999999997</v>
      </c>
      <c r="E92" s="129">
        <f>B91-E91</f>
        <v>775.95</v>
      </c>
      <c r="F92" s="88"/>
      <c r="G92" s="88"/>
      <c r="H92" s="88"/>
      <c r="I92" s="88"/>
      <c r="J92" s="88"/>
      <c r="L92" s="72"/>
    </row>
    <row r="93" spans="1:12" x14ac:dyDescent="0.2">
      <c r="A93" s="88" t="s">
        <v>178</v>
      </c>
      <c r="B93" s="88"/>
      <c r="C93" s="88"/>
      <c r="D93" s="89">
        <f>D92/B91*100</f>
        <v>102.49123293642144</v>
      </c>
      <c r="E93" s="90">
        <f>E92/B91*100</f>
        <v>153.73566065024866</v>
      </c>
      <c r="F93" s="90"/>
      <c r="G93" s="88"/>
      <c r="H93" s="88"/>
      <c r="I93" s="88"/>
      <c r="J93" s="88"/>
      <c r="L93" s="72"/>
    </row>
    <row r="94" spans="1:12" x14ac:dyDescent="0.2">
      <c r="A94" s="88" t="s">
        <v>276</v>
      </c>
      <c r="B94" s="88"/>
      <c r="C94" s="88"/>
      <c r="D94" s="91" t="str">
        <f>IF(D93&gt;=80,"CR",IF(D93&gt;=50,"EN", IF(D93&gt;=30,"VU","")))</f>
        <v>CR</v>
      </c>
      <c r="E94" s="91" t="str">
        <f>IF(E93&gt;=80,"CR",IF(E93&gt;=50,"EN", IF(E93&gt;=30,"VU","")))</f>
        <v>CR</v>
      </c>
      <c r="F94" s="88"/>
      <c r="G94" s="88"/>
      <c r="H94" s="88"/>
      <c r="I94" s="88"/>
      <c r="J94" s="88"/>
      <c r="L94" s="72"/>
    </row>
    <row r="95" spans="1:12" x14ac:dyDescent="0.2">
      <c r="A95" s="127"/>
      <c r="B95" s="127"/>
      <c r="C95" s="88"/>
      <c r="D95" s="88"/>
      <c r="E95" s="88"/>
      <c r="F95" s="88"/>
      <c r="G95" s="88"/>
      <c r="H95" s="88"/>
      <c r="I95" s="88"/>
      <c r="J95" s="88"/>
      <c r="L95" s="72"/>
    </row>
    <row r="96" spans="1:12" x14ac:dyDescent="0.2">
      <c r="A96" s="88"/>
      <c r="B96" s="88"/>
      <c r="C96" s="88"/>
      <c r="D96" s="127"/>
      <c r="E96" s="88"/>
      <c r="F96" s="88"/>
      <c r="G96" s="88"/>
      <c r="H96" s="88"/>
      <c r="I96" s="88"/>
      <c r="J96" s="88"/>
      <c r="L96" s="72"/>
    </row>
    <row r="97" spans="1:12" x14ac:dyDescent="0.2">
      <c r="A97" s="88"/>
      <c r="B97" s="88"/>
      <c r="C97" s="88"/>
      <c r="D97" s="89"/>
      <c r="E97" s="88"/>
      <c r="F97" s="88"/>
      <c r="G97" s="88"/>
      <c r="H97" s="88"/>
      <c r="I97" s="88"/>
      <c r="J97" s="88"/>
      <c r="L97" s="72"/>
    </row>
    <row r="98" spans="1:12" ht="21" x14ac:dyDescent="0.25">
      <c r="A98" s="136" t="s">
        <v>304</v>
      </c>
      <c r="B98" s="88"/>
      <c r="C98" s="88"/>
      <c r="D98" s="130">
        <f>0.5*B91</f>
        <v>252.36500000000001</v>
      </c>
      <c r="E98" s="88"/>
      <c r="F98" s="88"/>
      <c r="G98" s="88"/>
      <c r="H98" s="88"/>
      <c r="I98" s="88"/>
      <c r="J98" s="88"/>
      <c r="L98" s="72"/>
    </row>
    <row r="99" spans="1:12" x14ac:dyDescent="0.2">
      <c r="A99" s="92"/>
      <c r="B99" s="92"/>
      <c r="C99" s="92"/>
      <c r="D99" s="92">
        <f>0.5*164</f>
        <v>82</v>
      </c>
      <c r="E99" s="92"/>
      <c r="F99" s="92"/>
      <c r="G99" s="92"/>
      <c r="H99" s="92"/>
      <c r="I99" s="92"/>
      <c r="J99" s="92"/>
      <c r="L99" s="72"/>
    </row>
    <row r="100" spans="1:12" x14ac:dyDescent="0.2">
      <c r="D100" s="84">
        <f>D91-D98</f>
        <v>-264.93900000000002</v>
      </c>
      <c r="L100" s="72"/>
    </row>
    <row r="101" spans="1:12" x14ac:dyDescent="0.2">
      <c r="A101" s="131" t="s">
        <v>305</v>
      </c>
      <c r="B101" s="132">
        <f>(B91-D91)/(B91-D98)*100</f>
        <v>204.98246587284288</v>
      </c>
      <c r="C101" s="128"/>
      <c r="D101" s="84"/>
    </row>
    <row r="102" spans="1:12" x14ac:dyDescent="0.2">
      <c r="A102" s="71"/>
      <c r="D102" s="84"/>
    </row>
    <row r="103" spans="1:12" x14ac:dyDescent="0.2">
      <c r="A103" s="94"/>
    </row>
    <row r="104" spans="1:12" x14ac:dyDescent="0.2">
      <c r="D104" t="s">
        <v>265</v>
      </c>
      <c r="E104" s="72" t="s">
        <v>262</v>
      </c>
      <c r="F104" t="s">
        <v>264</v>
      </c>
      <c r="G104" s="72" t="s">
        <v>263</v>
      </c>
    </row>
    <row r="105" spans="1:12" x14ac:dyDescent="0.2">
      <c r="A105" t="s">
        <v>273</v>
      </c>
      <c r="B105" t="s">
        <v>199</v>
      </c>
      <c r="D105">
        <f>E105*F105+G105</f>
        <v>26.328199999999924</v>
      </c>
      <c r="E105" s="72">
        <v>-7.1722000000000001</v>
      </c>
      <c r="F105">
        <v>2019</v>
      </c>
      <c r="G105" s="72">
        <v>14507</v>
      </c>
      <c r="I105" s="71" t="s">
        <v>282</v>
      </c>
    </row>
    <row r="106" spans="1:12" x14ac:dyDescent="0.2">
      <c r="A106" t="s">
        <v>274</v>
      </c>
      <c r="B106" t="s">
        <v>261</v>
      </c>
      <c r="D106">
        <f>E106*F106+G106</f>
        <v>504.72599999999875</v>
      </c>
      <c r="E106" s="72">
        <v>-10.346</v>
      </c>
      <c r="F106">
        <v>1969</v>
      </c>
      <c r="G106" s="72">
        <v>20876</v>
      </c>
    </row>
    <row r="111" spans="1:12" x14ac:dyDescent="0.2">
      <c r="A111" s="86" t="s">
        <v>294</v>
      </c>
      <c r="B111" s="86" t="s">
        <v>186</v>
      </c>
      <c r="C111" s="86"/>
      <c r="D111" s="86" t="s">
        <v>194</v>
      </c>
      <c r="E111" s="86" t="s">
        <v>186</v>
      </c>
      <c r="F111" s="86"/>
      <c r="G111" s="86"/>
      <c r="H111" s="86"/>
      <c r="I111" s="220" t="s">
        <v>185</v>
      </c>
      <c r="J111" s="220"/>
      <c r="K111" s="72"/>
      <c r="L111" s="72"/>
    </row>
    <row r="112" spans="1:12" x14ac:dyDescent="0.2">
      <c r="A112" s="93" t="s">
        <v>190</v>
      </c>
      <c r="B112" s="93" t="s">
        <v>287</v>
      </c>
      <c r="C112" s="93" t="s">
        <v>286</v>
      </c>
      <c r="D112" s="93" t="s">
        <v>176</v>
      </c>
      <c r="E112" s="93" t="s">
        <v>175</v>
      </c>
      <c r="F112" s="93" t="s">
        <v>280</v>
      </c>
      <c r="G112" s="93" t="s">
        <v>177</v>
      </c>
      <c r="H112" s="93" t="s">
        <v>281</v>
      </c>
      <c r="I112" s="93" t="s">
        <v>183</v>
      </c>
      <c r="J112" s="93" t="s">
        <v>184</v>
      </c>
      <c r="K112" s="72"/>
      <c r="L112" s="72"/>
    </row>
    <row r="113" spans="1:12" x14ac:dyDescent="0.2">
      <c r="A113" s="88" t="s">
        <v>191</v>
      </c>
      <c r="B113" s="127">
        <v>1969</v>
      </c>
      <c r="C113" s="127">
        <f>D113-25</f>
        <v>1994</v>
      </c>
      <c r="D113" s="127">
        <v>2019</v>
      </c>
      <c r="E113" s="88">
        <v>2044</v>
      </c>
      <c r="F113" s="127">
        <f>E113-B113</f>
        <v>75</v>
      </c>
      <c r="G113" s="88">
        <f>J113-I113</f>
        <v>29</v>
      </c>
      <c r="H113" s="88">
        <v>1969</v>
      </c>
      <c r="I113" s="88">
        <v>1987</v>
      </c>
      <c r="J113" s="88">
        <v>2016</v>
      </c>
      <c r="L113" s="72"/>
    </row>
    <row r="114" spans="1:12" ht="26" x14ac:dyDescent="0.3">
      <c r="A114" s="87" t="s">
        <v>309</v>
      </c>
      <c r="B114" s="88">
        <v>106.8741</v>
      </c>
      <c r="C114" s="88">
        <v>198.34659999999985</v>
      </c>
      <c r="D114" s="87">
        <v>289.81909999999971</v>
      </c>
      <c r="E114" s="87">
        <v>381.29160000000047</v>
      </c>
      <c r="F114" s="88"/>
      <c r="G114" s="88"/>
      <c r="H114" s="88"/>
      <c r="I114" s="88"/>
      <c r="J114" s="88"/>
      <c r="L114" s="72"/>
    </row>
    <row r="115" spans="1:12" x14ac:dyDescent="0.2">
      <c r="A115" s="88" t="s">
        <v>254</v>
      </c>
      <c r="B115" s="88"/>
      <c r="C115" s="88"/>
      <c r="D115" s="129">
        <f>B114-D114</f>
        <v>-182.94499999999971</v>
      </c>
      <c r="E115" s="129">
        <f>B114-E114</f>
        <v>-274.41750000000047</v>
      </c>
      <c r="F115" s="88"/>
      <c r="G115" s="88"/>
      <c r="H115" s="88"/>
      <c r="I115" s="88"/>
      <c r="J115" s="88"/>
      <c r="K115" s="94" t="s">
        <v>311</v>
      </c>
      <c r="L115" s="72"/>
    </row>
    <row r="116" spans="1:12" x14ac:dyDescent="0.2">
      <c r="A116" s="88" t="s">
        <v>178</v>
      </c>
      <c r="B116" s="88"/>
      <c r="C116" s="88"/>
      <c r="D116" s="89">
        <f>D115/B114*100</f>
        <v>-171.1780496865</v>
      </c>
      <c r="E116" s="90">
        <f>E115/B114*100</f>
        <v>-256.76707452975086</v>
      </c>
      <c r="F116" s="90"/>
      <c r="G116" s="88"/>
      <c r="H116" s="88"/>
      <c r="I116" s="88"/>
      <c r="J116" s="88"/>
      <c r="L116" s="72"/>
    </row>
    <row r="117" spans="1:12" x14ac:dyDescent="0.2">
      <c r="A117" s="88" t="s">
        <v>276</v>
      </c>
      <c r="B117" s="88"/>
      <c r="C117" s="88"/>
      <c r="D117" s="91" t="str">
        <f>IF(D116&gt;=80,"CR",IF(D116&gt;=50,"EN", IF(D116&gt;=30,"VU","")))</f>
        <v/>
      </c>
      <c r="E117" s="91" t="str">
        <f>IF(E116&gt;=80,"CR",IF(E116&gt;=50,"EN", IF(E116&gt;=30,"VU","")))</f>
        <v/>
      </c>
      <c r="F117" s="88"/>
      <c r="G117" s="88"/>
      <c r="H117" s="88"/>
      <c r="I117" s="88"/>
      <c r="J117" s="88"/>
      <c r="L117" s="72"/>
    </row>
    <row r="118" spans="1:12" x14ac:dyDescent="0.2">
      <c r="A118" s="127"/>
      <c r="B118" s="127"/>
      <c r="C118" s="88"/>
      <c r="D118" s="88"/>
      <c r="E118" s="88"/>
      <c r="F118" s="88"/>
      <c r="G118" s="88"/>
      <c r="H118" s="88"/>
      <c r="I118" s="88"/>
      <c r="J118" s="88"/>
      <c r="L118" s="72"/>
    </row>
    <row r="119" spans="1:12" x14ac:dyDescent="0.2">
      <c r="A119" s="88" t="s">
        <v>254</v>
      </c>
      <c r="B119" s="88"/>
      <c r="C119" s="88"/>
      <c r="D119" s="127"/>
      <c r="E119" s="88"/>
      <c r="F119" s="88"/>
      <c r="G119" s="88"/>
      <c r="H119" s="88"/>
      <c r="I119" s="88"/>
      <c r="J119" s="88"/>
      <c r="L119" s="72"/>
    </row>
    <row r="120" spans="1:12" x14ac:dyDescent="0.2">
      <c r="A120" s="88" t="s">
        <v>178</v>
      </c>
      <c r="B120" s="88"/>
      <c r="C120" s="88"/>
      <c r="D120" s="89"/>
      <c r="E120" s="88"/>
      <c r="F120" s="88"/>
      <c r="G120" s="88"/>
      <c r="H120" s="88"/>
      <c r="I120" s="88"/>
      <c r="J120" s="88"/>
      <c r="L120" s="72"/>
    </row>
    <row r="121" spans="1:12" ht="21" x14ac:dyDescent="0.25">
      <c r="A121" s="139" t="s">
        <v>310</v>
      </c>
      <c r="B121" s="88"/>
      <c r="C121" s="88"/>
      <c r="D121" s="130">
        <f>0.5*E114</f>
        <v>190.64580000000024</v>
      </c>
      <c r="E121" s="88"/>
      <c r="F121" s="88"/>
      <c r="G121" s="88"/>
      <c r="H121" s="88"/>
      <c r="I121" s="88"/>
      <c r="J121" s="88"/>
      <c r="L121" s="72"/>
    </row>
    <row r="122" spans="1:12" x14ac:dyDescent="0.2">
      <c r="A122" s="92" t="s">
        <v>193</v>
      </c>
      <c r="B122" s="92"/>
      <c r="C122" s="92"/>
      <c r="D122" s="92">
        <f>0.5*164</f>
        <v>82</v>
      </c>
      <c r="E122" s="92"/>
      <c r="F122" s="92"/>
      <c r="G122" s="92"/>
      <c r="H122" s="92"/>
      <c r="I122" s="92"/>
      <c r="J122" s="92"/>
      <c r="L122" s="72"/>
    </row>
    <row r="123" spans="1:12" x14ac:dyDescent="0.2">
      <c r="D123" s="84">
        <f>D114-D121</f>
        <v>99.173299999999472</v>
      </c>
      <c r="L123" s="72"/>
    </row>
    <row r="124" spans="1:12" x14ac:dyDescent="0.2">
      <c r="A124" s="131" t="s">
        <v>305</v>
      </c>
      <c r="B124" s="132">
        <f>(B114-D114)/(B114-D121)*100</f>
        <v>218.38520645993719</v>
      </c>
      <c r="C124" s="128"/>
      <c r="D124" s="84"/>
    </row>
    <row r="125" spans="1:12" x14ac:dyDescent="0.2">
      <c r="A125" s="71"/>
      <c r="D125" s="84"/>
    </row>
    <row r="126" spans="1:12" x14ac:dyDescent="0.2">
      <c r="A126" s="94"/>
    </row>
    <row r="127" spans="1:12" x14ac:dyDescent="0.2">
      <c r="D127" t="s">
        <v>265</v>
      </c>
      <c r="E127" s="72" t="s">
        <v>262</v>
      </c>
      <c r="F127" t="s">
        <v>264</v>
      </c>
      <c r="G127" s="72" t="s">
        <v>263</v>
      </c>
    </row>
    <row r="128" spans="1:12" x14ac:dyDescent="0.2">
      <c r="A128" t="s">
        <v>273</v>
      </c>
      <c r="B128" t="s">
        <v>199</v>
      </c>
      <c r="D128">
        <f>E128*F128+G128</f>
        <v>894.11909999999989</v>
      </c>
      <c r="E128" s="72">
        <v>3.6589</v>
      </c>
      <c r="F128">
        <v>2019</v>
      </c>
      <c r="G128" s="72">
        <v>-6493.2</v>
      </c>
      <c r="I128" s="71" t="s">
        <v>282</v>
      </c>
    </row>
    <row r="129" spans="1:11" x14ac:dyDescent="0.2">
      <c r="A129" t="s">
        <v>274</v>
      </c>
      <c r="B129" t="s">
        <v>261</v>
      </c>
      <c r="D129">
        <f>E129*F129+G129</f>
        <v>381.29160000000047</v>
      </c>
      <c r="E129" s="72">
        <v>3.6589</v>
      </c>
      <c r="F129">
        <v>2044</v>
      </c>
      <c r="G129" s="72">
        <v>-7097.5</v>
      </c>
      <c r="H129" t="s">
        <v>398</v>
      </c>
      <c r="I129" s="72">
        <v>193.35</v>
      </c>
      <c r="J129" t="s">
        <v>399</v>
      </c>
      <c r="K129">
        <f>SQRT(6)*'thresholds calcs-grouper'!I129</f>
        <v>473.60884176712744</v>
      </c>
    </row>
    <row r="133" spans="1:11" x14ac:dyDescent="0.2">
      <c r="A133" s="86" t="s">
        <v>196</v>
      </c>
      <c r="B133" s="86" t="s">
        <v>186</v>
      </c>
      <c r="C133" s="86"/>
      <c r="D133" s="86" t="s">
        <v>194</v>
      </c>
      <c r="E133" s="86" t="s">
        <v>186</v>
      </c>
      <c r="F133" s="86"/>
      <c r="G133" s="86"/>
      <c r="H133" s="86"/>
      <c r="I133" s="220" t="s">
        <v>185</v>
      </c>
      <c r="J133" s="220"/>
      <c r="K133" s="72"/>
    </row>
    <row r="134" spans="1:11" x14ac:dyDescent="0.2">
      <c r="A134" s="93" t="s">
        <v>190</v>
      </c>
      <c r="B134" s="93" t="s">
        <v>287</v>
      </c>
      <c r="C134" s="93" t="s">
        <v>286</v>
      </c>
      <c r="D134" s="93" t="s">
        <v>176</v>
      </c>
      <c r="E134" s="93" t="s">
        <v>175</v>
      </c>
      <c r="F134" s="93" t="s">
        <v>280</v>
      </c>
      <c r="G134" s="93" t="s">
        <v>177</v>
      </c>
      <c r="H134" s="93" t="s">
        <v>281</v>
      </c>
      <c r="I134" s="93" t="s">
        <v>183</v>
      </c>
      <c r="J134" s="93" t="s">
        <v>184</v>
      </c>
      <c r="K134" s="72"/>
    </row>
    <row r="135" spans="1:11" x14ac:dyDescent="0.2">
      <c r="A135" s="88" t="s">
        <v>191</v>
      </c>
      <c r="B135" s="127">
        <v>1969</v>
      </c>
      <c r="C135" s="127">
        <f>D135-25</f>
        <v>1994</v>
      </c>
      <c r="D135" s="127">
        <v>2019</v>
      </c>
      <c r="E135" s="88">
        <v>2044</v>
      </c>
      <c r="F135" s="127">
        <f>E135-B135</f>
        <v>75</v>
      </c>
      <c r="G135" s="88">
        <f>J135-I135</f>
        <v>29</v>
      </c>
      <c r="H135" s="88">
        <v>1969</v>
      </c>
      <c r="I135" s="88">
        <v>1987</v>
      </c>
      <c r="J135" s="88">
        <v>2016</v>
      </c>
    </row>
    <row r="136" spans="1:11" x14ac:dyDescent="0.2">
      <c r="A136" s="87" t="s">
        <v>360</v>
      </c>
      <c r="B136" s="87">
        <f>E148*B135+G148</f>
        <v>-1.09020000000001</v>
      </c>
      <c r="C136" s="87">
        <f>E148*C135+G148</f>
        <v>0.26479999999999393</v>
      </c>
      <c r="D136" s="87">
        <f>E148*D135+G148</f>
        <v>1.6197999999999979</v>
      </c>
      <c r="E136" s="87">
        <f>E148*E135+G148</f>
        <v>2.9747999999999877</v>
      </c>
      <c r="F136" s="88"/>
      <c r="G136" s="88"/>
      <c r="H136" s="88"/>
      <c r="I136" s="88"/>
      <c r="J136" s="88"/>
    </row>
    <row r="137" spans="1:11" x14ac:dyDescent="0.2">
      <c r="A137" s="88" t="s">
        <v>182</v>
      </c>
      <c r="B137" s="88"/>
      <c r="C137" s="88"/>
      <c r="D137" s="129">
        <f>B136-D136</f>
        <v>-2.710000000000008</v>
      </c>
      <c r="E137" s="129">
        <f>B136-E136</f>
        <v>-4.0649999999999977</v>
      </c>
      <c r="F137" s="88"/>
      <c r="G137" s="88"/>
      <c r="H137" s="88"/>
      <c r="I137" s="88"/>
      <c r="J137" s="88"/>
    </row>
    <row r="138" spans="1:11" x14ac:dyDescent="0.2">
      <c r="A138" s="88" t="s">
        <v>178</v>
      </c>
      <c r="B138" s="88"/>
      <c r="C138" s="88"/>
      <c r="D138" s="89">
        <f>D137/B136*100</f>
        <v>248.57824252430589</v>
      </c>
      <c r="E138" s="90">
        <f>E137/B136*100</f>
        <v>372.86736378645753</v>
      </c>
      <c r="F138" s="90"/>
      <c r="G138" s="88"/>
      <c r="H138" s="88"/>
      <c r="I138" s="88"/>
      <c r="J138" s="88"/>
    </row>
    <row r="139" spans="1:11" x14ac:dyDescent="0.2">
      <c r="A139" s="88" t="s">
        <v>276</v>
      </c>
      <c r="B139" s="88"/>
      <c r="C139" s="88"/>
      <c r="D139" s="154" t="str">
        <f>IF(D138&gt;=80,"CR",IF(D138&gt;=50,"EN", IF(D138&gt;=30,"VU","")))</f>
        <v>CR</v>
      </c>
      <c r="E139" s="155" t="str">
        <f>IF(E138&gt;=80,"CR",IF(E138&gt;=50,"EN", IF(E138&gt;=30,"VU","")))</f>
        <v>CR</v>
      </c>
      <c r="F139" s="88"/>
      <c r="G139" s="88"/>
      <c r="H139" s="88"/>
      <c r="I139" s="88"/>
      <c r="J139" s="88"/>
    </row>
    <row r="140" spans="1:11" ht="21" x14ac:dyDescent="0.25">
      <c r="A140" s="140" t="s">
        <v>357</v>
      </c>
      <c r="B140" s="92"/>
      <c r="C140" s="92"/>
      <c r="D140" s="141">
        <f>IF(0.5*E136&lt;=0,0,0.5*E136)</f>
        <v>1.4873999999999938</v>
      </c>
      <c r="E140" s="152"/>
      <c r="F140" s="92"/>
      <c r="G140" s="92"/>
      <c r="H140" s="92"/>
      <c r="I140" s="92"/>
      <c r="J140" s="92"/>
    </row>
    <row r="141" spans="1:11" x14ac:dyDescent="0.2">
      <c r="A141" s="137" t="s">
        <v>301</v>
      </c>
      <c r="D141" s="157">
        <f>D136-D140</f>
        <v>0.13240000000000407</v>
      </c>
    </row>
    <row r="142" spans="1:11" x14ac:dyDescent="0.2">
      <c r="A142" s="131" t="s">
        <v>358</v>
      </c>
      <c r="B142" s="132">
        <f>(B136-D136)/(B136-D140)*100</f>
        <v>105.13656114214788</v>
      </c>
      <c r="C142" s="128"/>
      <c r="D142" s="84"/>
    </row>
    <row r="143" spans="1:11" x14ac:dyDescent="0.2">
      <c r="A143" s="71"/>
      <c r="D143" s="84"/>
    </row>
    <row r="144" spans="1:11" x14ac:dyDescent="0.2">
      <c r="A144" s="71"/>
      <c r="H144" s="187"/>
    </row>
    <row r="146" spans="1:11" x14ac:dyDescent="0.2">
      <c r="D146" t="s">
        <v>265</v>
      </c>
      <c r="E146" s="72" t="s">
        <v>262</v>
      </c>
      <c r="F146" t="s">
        <v>264</v>
      </c>
      <c r="G146" s="72" t="s">
        <v>263</v>
      </c>
    </row>
    <row r="147" spans="1:11" x14ac:dyDescent="0.2">
      <c r="A147" t="s">
        <v>273</v>
      </c>
      <c r="B147" t="s">
        <v>199</v>
      </c>
      <c r="D147">
        <f>E147*F147+G147</f>
        <v>2.1320999999999994</v>
      </c>
      <c r="E147">
        <v>-5.1000000000000004E-3</v>
      </c>
      <c r="F147">
        <v>1969</v>
      </c>
      <c r="G147">
        <v>12.173999999999999</v>
      </c>
      <c r="I147" s="71" t="s">
        <v>282</v>
      </c>
    </row>
    <row r="148" spans="1:11" x14ac:dyDescent="0.2">
      <c r="A148" t="s">
        <v>274</v>
      </c>
      <c r="B148" t="s">
        <v>261</v>
      </c>
      <c r="D148">
        <f>E148*F148+G148</f>
        <v>-1.09020000000001</v>
      </c>
      <c r="E148">
        <v>5.4199999999999998E-2</v>
      </c>
      <c r="F148">
        <v>1969</v>
      </c>
      <c r="G148" s="72">
        <v>-107.81</v>
      </c>
    </row>
    <row r="150" spans="1:11" x14ac:dyDescent="0.2">
      <c r="A150" s="94"/>
    </row>
    <row r="151" spans="1:11" x14ac:dyDescent="0.2">
      <c r="D151" t="s">
        <v>265</v>
      </c>
      <c r="E151" s="72" t="s">
        <v>262</v>
      </c>
      <c r="F151" t="s">
        <v>264</v>
      </c>
      <c r="G151" s="72" t="s">
        <v>263</v>
      </c>
    </row>
    <row r="152" spans="1:11" x14ac:dyDescent="0.2">
      <c r="A152" t="s">
        <v>273</v>
      </c>
      <c r="B152" t="s">
        <v>199</v>
      </c>
      <c r="D152">
        <f>E152*F152+G152</f>
        <v>-113.53479999999945</v>
      </c>
      <c r="E152">
        <v>-5.3666999999999998</v>
      </c>
      <c r="F152">
        <v>2044</v>
      </c>
      <c r="G152" s="72">
        <v>10856</v>
      </c>
      <c r="I152" s="71" t="s">
        <v>282</v>
      </c>
    </row>
    <row r="153" spans="1:11" x14ac:dyDescent="0.2">
      <c r="A153" t="s">
        <v>274</v>
      </c>
      <c r="B153" t="s">
        <v>261</v>
      </c>
      <c r="D153">
        <f>E153*F153+G153</f>
        <v>14.314000000000078</v>
      </c>
      <c r="E153">
        <v>-0.63149999999999995</v>
      </c>
      <c r="F153">
        <v>2044</v>
      </c>
      <c r="G153" s="72">
        <v>1305.0999999999999</v>
      </c>
    </row>
    <row r="155" spans="1:11" x14ac:dyDescent="0.2">
      <c r="A155" t="s">
        <v>381</v>
      </c>
    </row>
    <row r="156" spans="1:11" x14ac:dyDescent="0.2">
      <c r="A156" s="86" t="s">
        <v>294</v>
      </c>
      <c r="B156" s="86" t="s">
        <v>186</v>
      </c>
      <c r="C156" s="86"/>
      <c r="D156" s="86" t="s">
        <v>194</v>
      </c>
      <c r="E156" s="86" t="s">
        <v>186</v>
      </c>
      <c r="F156" s="86"/>
      <c r="G156" s="86"/>
      <c r="H156" s="86"/>
      <c r="I156" s="220" t="s">
        <v>185</v>
      </c>
      <c r="J156" s="220"/>
      <c r="K156" s="72"/>
    </row>
    <row r="157" spans="1:11" x14ac:dyDescent="0.2">
      <c r="A157" s="93" t="s">
        <v>190</v>
      </c>
      <c r="B157" s="93" t="s">
        <v>287</v>
      </c>
      <c r="C157" s="93" t="s">
        <v>286</v>
      </c>
      <c r="D157" s="93" t="s">
        <v>176</v>
      </c>
      <c r="E157" s="93" t="s">
        <v>175</v>
      </c>
      <c r="F157" s="93" t="s">
        <v>280</v>
      </c>
      <c r="G157" s="93" t="s">
        <v>177</v>
      </c>
      <c r="H157" s="93" t="s">
        <v>281</v>
      </c>
      <c r="I157" s="93" t="s">
        <v>183</v>
      </c>
      <c r="J157" s="93" t="s">
        <v>184</v>
      </c>
      <c r="K157" s="72"/>
    </row>
    <row r="158" spans="1:11" x14ac:dyDescent="0.2">
      <c r="A158" s="88" t="s">
        <v>191</v>
      </c>
      <c r="B158" s="127">
        <v>1969</v>
      </c>
      <c r="C158" s="127">
        <f>D158-25</f>
        <v>1994</v>
      </c>
      <c r="D158" s="127">
        <v>2019</v>
      </c>
      <c r="E158" s="88">
        <v>2044</v>
      </c>
      <c r="F158" s="127">
        <f>E158-B158</f>
        <v>75</v>
      </c>
      <c r="G158" s="88">
        <f>J158-I158</f>
        <v>29</v>
      </c>
      <c r="H158" s="88">
        <v>1969</v>
      </c>
      <c r="I158" s="88">
        <v>1987</v>
      </c>
      <c r="J158" s="88">
        <v>2016</v>
      </c>
    </row>
    <row r="159" spans="1:11" x14ac:dyDescent="0.2">
      <c r="A159" s="87" t="s">
        <v>361</v>
      </c>
      <c r="B159" s="87">
        <f>E171*B158+G171</f>
        <v>11.579499999999996</v>
      </c>
      <c r="C159" s="87">
        <f>E171*C158+G171</f>
        <v>5.4669999999999845</v>
      </c>
      <c r="D159" s="87">
        <f>E171*D158+G171</f>
        <v>-0.64549999999996999</v>
      </c>
      <c r="E159" s="87">
        <f>E171*E158+G171</f>
        <v>-6.7579999999999814</v>
      </c>
      <c r="F159" s="88"/>
      <c r="G159" s="88"/>
      <c r="H159" s="88"/>
      <c r="I159" s="88"/>
      <c r="J159" s="88"/>
    </row>
    <row r="160" spans="1:11" x14ac:dyDescent="0.2">
      <c r="A160" s="88" t="s">
        <v>254</v>
      </c>
      <c r="B160" s="88"/>
      <c r="C160" s="88"/>
      <c r="D160" s="129">
        <f>B159-D159</f>
        <v>12.224999999999966</v>
      </c>
      <c r="E160" s="129">
        <f>B159-E159</f>
        <v>18.337499999999977</v>
      </c>
      <c r="F160" s="88"/>
      <c r="G160" s="88"/>
      <c r="H160" s="88"/>
      <c r="I160" s="88"/>
      <c r="J160" s="88"/>
      <c r="K160" s="94"/>
    </row>
    <row r="161" spans="1:12" x14ac:dyDescent="0.2">
      <c r="A161" s="88" t="s">
        <v>178</v>
      </c>
      <c r="B161" s="88"/>
      <c r="C161" s="88"/>
      <c r="D161" s="89">
        <f>D160/B159*100</f>
        <v>105.57450667127226</v>
      </c>
      <c r="E161" s="90">
        <f>E160/B159*100</f>
        <v>158.36176000690864</v>
      </c>
      <c r="F161" s="90"/>
      <c r="G161" s="88"/>
      <c r="H161" s="88"/>
      <c r="I161" s="88"/>
      <c r="J161" s="88"/>
    </row>
    <row r="162" spans="1:12" x14ac:dyDescent="0.2">
      <c r="A162" s="88" t="s">
        <v>276</v>
      </c>
      <c r="B162" s="88"/>
      <c r="C162" s="88"/>
      <c r="D162" s="155" t="str">
        <f>IF(D161&gt;=80,"CR",IF(D161&gt;=50,"EN", IF(D161&gt;=30,"VU","")))</f>
        <v>CR</v>
      </c>
      <c r="E162" s="156" t="str">
        <f>IF(E161&gt;=80,"CR",IF(E161&gt;=50,"EN", IF(E161&gt;=30,"VU","")))</f>
        <v>CR</v>
      </c>
      <c r="F162" s="88"/>
      <c r="G162" s="88"/>
      <c r="H162" s="88"/>
      <c r="I162" s="88"/>
      <c r="J162" s="88"/>
      <c r="K162" s="94"/>
    </row>
    <row r="163" spans="1:12" x14ac:dyDescent="0.2">
      <c r="A163" s="127"/>
      <c r="B163" s="127"/>
      <c r="C163" s="88"/>
      <c r="D163" s="88"/>
      <c r="E163" s="88"/>
      <c r="F163" s="88"/>
      <c r="G163" s="88"/>
      <c r="H163" s="88"/>
      <c r="I163" s="88"/>
      <c r="J163" s="88"/>
    </row>
    <row r="164" spans="1:12" ht="21" x14ac:dyDescent="0.25">
      <c r="A164" s="140" t="s">
        <v>359</v>
      </c>
      <c r="B164" s="92"/>
      <c r="C164" s="92"/>
      <c r="D164" s="141">
        <f>IF(0.5*B159&lt;=0,0,0.5*B159)</f>
        <v>5.789749999999998</v>
      </c>
      <c r="E164" s="141"/>
      <c r="F164" s="92"/>
      <c r="G164" s="92"/>
      <c r="H164" s="92"/>
      <c r="I164" s="92"/>
      <c r="J164" s="92"/>
    </row>
    <row r="165" spans="1:12" x14ac:dyDescent="0.2">
      <c r="A165" s="137" t="s">
        <v>301</v>
      </c>
      <c r="D165" s="153">
        <f>D159-D164</f>
        <v>-6.4352499999999679</v>
      </c>
    </row>
    <row r="166" spans="1:12" x14ac:dyDescent="0.2">
      <c r="A166" s="131" t="s">
        <v>358</v>
      </c>
      <c r="B166" s="132">
        <f>(B159-D159)/(B159-D164)*100</f>
        <v>211.14901334254452</v>
      </c>
      <c r="C166" s="128"/>
      <c r="D166" s="84"/>
    </row>
    <row r="167" spans="1:12" x14ac:dyDescent="0.2">
      <c r="A167" s="71"/>
      <c r="D167" s="84"/>
    </row>
    <row r="168" spans="1:12" x14ac:dyDescent="0.2">
      <c r="A168" s="94"/>
    </row>
    <row r="169" spans="1:12" x14ac:dyDescent="0.2">
      <c r="D169" t="s">
        <v>265</v>
      </c>
      <c r="E169" s="72" t="s">
        <v>262</v>
      </c>
      <c r="F169" t="s">
        <v>264</v>
      </c>
      <c r="G169" s="72" t="s">
        <v>263</v>
      </c>
    </row>
    <row r="170" spans="1:12" x14ac:dyDescent="0.2">
      <c r="A170" t="s">
        <v>273</v>
      </c>
      <c r="B170" t="s">
        <v>199</v>
      </c>
      <c r="D170">
        <f>E170*F170+G170</f>
        <v>-9.9639999999999418</v>
      </c>
      <c r="E170">
        <v>-0.35599999999999998</v>
      </c>
      <c r="F170">
        <v>2044</v>
      </c>
      <c r="G170" s="72">
        <v>717.7</v>
      </c>
      <c r="I170" s="71" t="s">
        <v>282</v>
      </c>
    </row>
    <row r="171" spans="1:12" x14ac:dyDescent="0.2">
      <c r="A171" t="s">
        <v>274</v>
      </c>
      <c r="B171" t="s">
        <v>261</v>
      </c>
      <c r="D171">
        <f>E171*F171+G171</f>
        <v>-6.7579999999999814</v>
      </c>
      <c r="E171">
        <v>-0.2445</v>
      </c>
      <c r="F171">
        <v>2044</v>
      </c>
      <c r="G171" s="72">
        <v>493</v>
      </c>
      <c r="H171" t="s">
        <v>397</v>
      </c>
      <c r="I171">
        <v>0.77200000000000002</v>
      </c>
      <c r="J171" t="s">
        <v>396</v>
      </c>
      <c r="K171">
        <f>SQRT(8)*I171</f>
        <v>2.183545740304059</v>
      </c>
    </row>
    <row r="172" spans="1:12" x14ac:dyDescent="0.2">
      <c r="D172" s="187"/>
    </row>
    <row r="173" spans="1:12" x14ac:dyDescent="0.2">
      <c r="D173" s="187"/>
      <c r="E173" s="187"/>
    </row>
    <row r="174" spans="1:12" x14ac:dyDescent="0.2">
      <c r="E174" s="187"/>
    </row>
    <row r="175" spans="1:12" x14ac:dyDescent="0.2">
      <c r="A175" s="86" t="s">
        <v>294</v>
      </c>
      <c r="B175" s="86" t="s">
        <v>186</v>
      </c>
      <c r="C175" s="86"/>
      <c r="D175" s="86" t="s">
        <v>194</v>
      </c>
      <c r="E175" s="86" t="s">
        <v>186</v>
      </c>
      <c r="F175" s="86"/>
      <c r="G175" s="86"/>
      <c r="H175" s="86"/>
      <c r="I175" s="220" t="s">
        <v>185</v>
      </c>
      <c r="J175" s="220"/>
      <c r="K175" s="72"/>
      <c r="L175" s="72"/>
    </row>
    <row r="176" spans="1:12" x14ac:dyDescent="0.2">
      <c r="A176" s="93" t="s">
        <v>190</v>
      </c>
      <c r="B176" s="93" t="s">
        <v>287</v>
      </c>
      <c r="C176" s="93" t="s">
        <v>286</v>
      </c>
      <c r="D176" s="93" t="s">
        <v>176</v>
      </c>
      <c r="E176" s="93" t="s">
        <v>175</v>
      </c>
      <c r="F176" s="93" t="s">
        <v>280</v>
      </c>
      <c r="G176" s="93" t="s">
        <v>177</v>
      </c>
      <c r="H176" s="93" t="s">
        <v>281</v>
      </c>
      <c r="I176" s="93" t="s">
        <v>183</v>
      </c>
      <c r="J176" s="93" t="s">
        <v>184</v>
      </c>
      <c r="K176" s="72"/>
      <c r="L176" s="72"/>
    </row>
    <row r="177" spans="1:12" x14ac:dyDescent="0.2">
      <c r="A177" s="88" t="s">
        <v>191</v>
      </c>
      <c r="B177" s="127">
        <v>1969</v>
      </c>
      <c r="C177" s="127">
        <f>D177-25</f>
        <v>1994</v>
      </c>
      <c r="D177" s="127">
        <v>2019</v>
      </c>
      <c r="E177" s="88">
        <v>2044</v>
      </c>
      <c r="F177" s="127">
        <f>E177-B177</f>
        <v>75</v>
      </c>
      <c r="G177" s="88">
        <f>J177-I177</f>
        <v>29</v>
      </c>
      <c r="H177" s="88">
        <v>1969</v>
      </c>
      <c r="I177" s="88">
        <v>1987</v>
      </c>
      <c r="J177" s="88">
        <v>2016</v>
      </c>
      <c r="L177" s="72"/>
    </row>
    <row r="178" spans="1:12" ht="26" x14ac:dyDescent="0.3">
      <c r="A178" s="135" t="s">
        <v>391</v>
      </c>
      <c r="B178" s="87">
        <f>E192*B177+G192</f>
        <v>-303.92900000000009</v>
      </c>
      <c r="C178" s="87">
        <f>E192*C177+G192</f>
        <v>-24.953999999997905</v>
      </c>
      <c r="D178" s="87">
        <f>E192*D177+G192</f>
        <v>254.02100000000064</v>
      </c>
      <c r="E178" s="87">
        <f>E192*E177+G192</f>
        <v>532.99600000000282</v>
      </c>
      <c r="F178" s="88"/>
      <c r="G178" s="88"/>
      <c r="H178" s="88"/>
      <c r="I178" s="88"/>
      <c r="J178" s="88"/>
      <c r="L178" s="72"/>
    </row>
    <row r="179" spans="1:12" x14ac:dyDescent="0.2">
      <c r="A179" s="88" t="s">
        <v>254</v>
      </c>
      <c r="B179" s="88">
        <f>E178/2</f>
        <v>266.49800000000141</v>
      </c>
      <c r="C179" s="88"/>
      <c r="D179" s="129">
        <f>B178-D178</f>
        <v>-557.95000000000073</v>
      </c>
      <c r="E179" s="129">
        <f>B178-E178</f>
        <v>-836.92500000000291</v>
      </c>
      <c r="F179" s="88"/>
      <c r="G179" s="88"/>
      <c r="H179" s="88"/>
      <c r="I179" s="88"/>
      <c r="J179" s="88"/>
      <c r="L179" s="72"/>
    </row>
    <row r="180" spans="1:12" x14ac:dyDescent="0.2">
      <c r="A180" s="88" t="s">
        <v>178</v>
      </c>
      <c r="B180" s="88"/>
      <c r="C180" s="88"/>
      <c r="D180" s="89">
        <f>D179/B178*100</f>
        <v>183.57905958299489</v>
      </c>
      <c r="E180" s="90">
        <f>E179/B178*100</f>
        <v>275.36858937449296</v>
      </c>
      <c r="F180" s="90"/>
      <c r="G180" s="88"/>
      <c r="H180" s="88"/>
      <c r="I180" s="88"/>
      <c r="J180" s="88"/>
      <c r="L180" s="72"/>
    </row>
    <row r="181" spans="1:12" x14ac:dyDescent="0.2">
      <c r="A181" s="88" t="s">
        <v>276</v>
      </c>
      <c r="B181" s="88"/>
      <c r="C181" s="88"/>
      <c r="D181" s="91" t="str">
        <f>IF(D180&gt;=80,"CR",IF(D180&gt;=50,"EN", IF(D180&gt;=30,"VU","")))</f>
        <v>CR</v>
      </c>
      <c r="E181" s="91" t="str">
        <f>IF(E180&gt;=80,"CR",IF(E180&gt;=50,"EN", IF(E180&gt;=30,"VU","")))</f>
        <v>CR</v>
      </c>
      <c r="F181" s="88"/>
      <c r="G181" s="88"/>
      <c r="H181" s="88"/>
      <c r="I181" s="88"/>
      <c r="J181" s="88"/>
      <c r="L181" s="72"/>
    </row>
    <row r="182" spans="1:12" x14ac:dyDescent="0.2">
      <c r="A182" s="127"/>
      <c r="B182" s="127"/>
      <c r="C182" s="88"/>
      <c r="D182" s="88"/>
      <c r="E182" s="88"/>
      <c r="F182" s="88"/>
      <c r="G182" s="88"/>
      <c r="H182" s="88"/>
      <c r="I182" s="88"/>
      <c r="J182" s="88"/>
      <c r="L182" s="72"/>
    </row>
    <row r="183" spans="1:12" x14ac:dyDescent="0.2">
      <c r="A183" s="88" t="s">
        <v>254</v>
      </c>
      <c r="B183" s="88"/>
      <c r="C183" s="88"/>
      <c r="D183" s="127"/>
      <c r="E183" s="88"/>
      <c r="F183" s="88"/>
      <c r="G183" s="88"/>
      <c r="H183" s="88"/>
      <c r="I183" s="88"/>
      <c r="J183" s="88"/>
      <c r="L183" s="72"/>
    </row>
    <row r="184" spans="1:12" x14ac:dyDescent="0.2">
      <c r="A184" s="88" t="s">
        <v>178</v>
      </c>
      <c r="B184" s="88"/>
      <c r="C184" s="88"/>
      <c r="D184" s="89"/>
      <c r="E184" s="88"/>
      <c r="F184" s="88"/>
      <c r="G184" s="88"/>
      <c r="H184" s="88"/>
      <c r="I184" s="88"/>
      <c r="J184" s="88"/>
      <c r="L184" s="72"/>
    </row>
    <row r="185" spans="1:12" ht="21" x14ac:dyDescent="0.25">
      <c r="A185" s="136" t="s">
        <v>392</v>
      </c>
      <c r="B185" s="88"/>
      <c r="C185" s="88"/>
      <c r="D185" s="130">
        <f>0.5*B178</f>
        <v>-151.96450000000004</v>
      </c>
      <c r="E185" s="88"/>
      <c r="F185" s="88"/>
      <c r="G185" s="88"/>
      <c r="H185" s="88"/>
      <c r="I185" s="88"/>
      <c r="J185" s="88"/>
      <c r="L185" s="72"/>
    </row>
    <row r="186" spans="1:12" x14ac:dyDescent="0.2">
      <c r="A186" s="92"/>
      <c r="B186" s="92"/>
      <c r="C186" s="92"/>
      <c r="D186" s="92">
        <f>0.5*164</f>
        <v>82</v>
      </c>
      <c r="E186" s="92"/>
      <c r="F186" s="92"/>
      <c r="G186" s="92"/>
      <c r="H186" s="92"/>
      <c r="I186" s="92"/>
      <c r="J186" s="92"/>
      <c r="L186" s="72"/>
    </row>
    <row r="187" spans="1:12" x14ac:dyDescent="0.2">
      <c r="A187" s="137"/>
      <c r="D187" s="138"/>
      <c r="F187" s="84"/>
      <c r="L187" s="72"/>
    </row>
    <row r="188" spans="1:12" x14ac:dyDescent="0.2">
      <c r="A188" s="131"/>
      <c r="B188" s="132"/>
      <c r="C188" s="128"/>
      <c r="D188" s="84"/>
      <c r="K188" s="84"/>
    </row>
    <row r="189" spans="1:12" x14ac:dyDescent="0.2">
      <c r="A189" s="94"/>
    </row>
    <row r="190" spans="1:12" x14ac:dyDescent="0.2">
      <c r="D190" t="s">
        <v>265</v>
      </c>
      <c r="E190" s="72" t="s">
        <v>262</v>
      </c>
      <c r="F190" t="s">
        <v>264</v>
      </c>
      <c r="G190" s="72" t="s">
        <v>263</v>
      </c>
    </row>
    <row r="191" spans="1:12" x14ac:dyDescent="0.2">
      <c r="A191" t="s">
        <v>273</v>
      </c>
      <c r="B191" t="s">
        <v>199</v>
      </c>
      <c r="D191">
        <f>E191*F191+G191</f>
        <v>160.13659999999982</v>
      </c>
      <c r="E191" s="72">
        <v>7.4913999999999996</v>
      </c>
      <c r="F191">
        <v>2019</v>
      </c>
      <c r="G191" s="72">
        <v>-14965</v>
      </c>
      <c r="I191" s="71" t="s">
        <v>282</v>
      </c>
    </row>
    <row r="192" spans="1:12" x14ac:dyDescent="0.2">
      <c r="A192" t="s">
        <v>274</v>
      </c>
      <c r="B192" t="s">
        <v>261</v>
      </c>
      <c r="D192">
        <f>E192*F192+G192</f>
        <v>254.02100000000064</v>
      </c>
      <c r="E192" s="72">
        <v>11.159000000000001</v>
      </c>
      <c r="F192">
        <v>2019</v>
      </c>
      <c r="G192" s="72">
        <v>-22276</v>
      </c>
      <c r="H192" t="s">
        <v>397</v>
      </c>
      <c r="I192" s="72">
        <v>14.784000000000001</v>
      </c>
      <c r="J192" t="s">
        <v>396</v>
      </c>
      <c r="K192">
        <f>SQRT(11)*I192</f>
        <v>49.032980900614234</v>
      </c>
    </row>
  </sheetData>
  <mergeCells count="8">
    <mergeCell ref="I175:J175"/>
    <mergeCell ref="I156:J156"/>
    <mergeCell ref="I133:J133"/>
    <mergeCell ref="I10:J10"/>
    <mergeCell ref="I34:J34"/>
    <mergeCell ref="I64:J64"/>
    <mergeCell ref="I88:J88"/>
    <mergeCell ref="I111:J111"/>
  </mergeCells>
  <pageMargins left="0.7" right="0.7" top="0.75" bottom="0.75" header="0.3" footer="0.3"/>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topLeftCell="A36" zoomScale="137" zoomScaleNormal="137" zoomScalePageLayoutView="137" workbookViewId="0">
      <selection activeCell="D59" sqref="D59"/>
    </sheetView>
  </sheetViews>
  <sheetFormatPr baseColWidth="10" defaultRowHeight="16" x14ac:dyDescent="0.2"/>
  <cols>
    <col min="3" max="3" width="13.6640625" bestFit="1" customWidth="1"/>
    <col min="4" max="4" width="13.5" customWidth="1"/>
    <col min="11" max="11" width="14.1640625" customWidth="1"/>
    <col min="12" max="12" width="14.83203125" customWidth="1"/>
    <col min="21" max="21" width="14.33203125" bestFit="1" customWidth="1"/>
  </cols>
  <sheetData>
    <row r="1" spans="1:28" x14ac:dyDescent="0.2">
      <c r="A1" s="71" t="s">
        <v>171</v>
      </c>
      <c r="H1" s="85" t="s">
        <v>293</v>
      </c>
    </row>
    <row r="2" spans="1:28" x14ac:dyDescent="0.2">
      <c r="A2" s="71" t="s">
        <v>299</v>
      </c>
      <c r="J2" s="71"/>
    </row>
    <row r="3" spans="1:28" x14ac:dyDescent="0.2">
      <c r="A3" s="71" t="s">
        <v>172</v>
      </c>
      <c r="J3" s="71"/>
    </row>
    <row r="4" spans="1:28" x14ac:dyDescent="0.2">
      <c r="A4" s="71" t="s">
        <v>279</v>
      </c>
      <c r="J4" s="71"/>
    </row>
    <row r="5" spans="1:28" x14ac:dyDescent="0.2">
      <c r="A5" s="71" t="s">
        <v>173</v>
      </c>
      <c r="J5" s="71"/>
    </row>
    <row r="6" spans="1:28" x14ac:dyDescent="0.2">
      <c r="A6" s="71"/>
      <c r="J6" s="71"/>
    </row>
    <row r="7" spans="1:28" x14ac:dyDescent="0.2">
      <c r="A7" s="71"/>
      <c r="B7" s="72" t="s">
        <v>165</v>
      </c>
      <c r="J7" s="71"/>
    </row>
    <row r="8" spans="1:28" x14ac:dyDescent="0.2">
      <c r="A8" s="71"/>
      <c r="J8" s="72" t="s">
        <v>166</v>
      </c>
    </row>
    <row r="9" spans="1:28" x14ac:dyDescent="0.2">
      <c r="A9" s="71"/>
      <c r="B9" s="73" t="s">
        <v>158</v>
      </c>
      <c r="C9" s="73" t="s">
        <v>160</v>
      </c>
      <c r="D9" s="73" t="s">
        <v>164</v>
      </c>
      <c r="E9" s="73" t="s">
        <v>161</v>
      </c>
      <c r="F9" s="73" t="s">
        <v>162</v>
      </c>
      <c r="G9" s="73" t="s">
        <v>163</v>
      </c>
      <c r="U9" t="s">
        <v>167</v>
      </c>
      <c r="AA9" s="81" t="s">
        <v>170</v>
      </c>
      <c r="AB9" s="60"/>
    </row>
    <row r="10" spans="1:28" x14ac:dyDescent="0.2">
      <c r="A10" s="71"/>
      <c r="B10" s="74">
        <v>1987</v>
      </c>
      <c r="C10" s="60"/>
      <c r="D10" s="60"/>
      <c r="E10" s="60"/>
      <c r="F10" s="60"/>
      <c r="G10" s="75"/>
      <c r="J10" s="73" t="s">
        <v>158</v>
      </c>
      <c r="K10" s="73" t="s">
        <v>160</v>
      </c>
      <c r="L10" s="73" t="s">
        <v>164</v>
      </c>
      <c r="M10" s="73" t="s">
        <v>161</v>
      </c>
      <c r="N10" s="73" t="s">
        <v>162</v>
      </c>
      <c r="O10" s="73" t="s">
        <v>163</v>
      </c>
      <c r="V10" s="2">
        <v>1</v>
      </c>
      <c r="W10" s="2">
        <v>2</v>
      </c>
      <c r="X10" s="2">
        <v>3</v>
      </c>
      <c r="Y10" s="2">
        <v>4</v>
      </c>
      <c r="Z10" s="2">
        <v>5</v>
      </c>
      <c r="AA10" s="60" t="s">
        <v>168</v>
      </c>
      <c r="AB10" s="60" t="s">
        <v>169</v>
      </c>
    </row>
    <row r="11" spans="1:28" x14ac:dyDescent="0.2">
      <c r="A11" s="71"/>
      <c r="B11" s="74">
        <v>2006</v>
      </c>
      <c r="C11" s="76"/>
      <c r="D11" s="76"/>
      <c r="E11" s="76"/>
      <c r="F11" s="77"/>
      <c r="G11" s="60"/>
      <c r="J11" s="74">
        <v>1987</v>
      </c>
      <c r="K11" s="60"/>
      <c r="L11" s="60"/>
      <c r="M11" s="60"/>
      <c r="N11" s="60"/>
      <c r="O11" s="79"/>
      <c r="U11" s="4" t="s">
        <v>0</v>
      </c>
      <c r="V11" s="3">
        <v>50</v>
      </c>
      <c r="W11" s="3">
        <v>35</v>
      </c>
      <c r="X11" s="3">
        <v>33</v>
      </c>
      <c r="Y11" s="3">
        <v>35</v>
      </c>
      <c r="Z11" s="3">
        <v>43</v>
      </c>
      <c r="AA11" s="65">
        <f>AVERAGE(V11:Z11)*40</f>
        <v>1568</v>
      </c>
      <c r="AB11" s="65">
        <f>STDEV(V11:Z11)*40</f>
        <v>286.21670111997321</v>
      </c>
    </row>
    <row r="12" spans="1:28" x14ac:dyDescent="0.2">
      <c r="A12" s="71"/>
      <c r="B12" s="74">
        <v>2008</v>
      </c>
      <c r="C12" s="76"/>
      <c r="D12" s="77"/>
      <c r="E12" s="76"/>
      <c r="F12" s="78"/>
      <c r="G12" s="60"/>
      <c r="J12" s="74">
        <v>2004</v>
      </c>
      <c r="K12" s="76"/>
      <c r="L12" s="76"/>
      <c r="M12" s="76"/>
      <c r="N12" s="80"/>
      <c r="O12" s="60"/>
      <c r="U12" s="4" t="s">
        <v>1</v>
      </c>
      <c r="V12" s="3">
        <v>11</v>
      </c>
      <c r="W12" s="3">
        <v>10</v>
      </c>
      <c r="X12" s="3">
        <v>6</v>
      </c>
      <c r="Y12" s="3">
        <v>12</v>
      </c>
      <c r="Z12" s="3">
        <v>2</v>
      </c>
      <c r="AA12" s="65">
        <f t="shared" ref="AA12:AA15" si="0">AVERAGE(V12:Z12)*40</f>
        <v>328</v>
      </c>
      <c r="AB12" s="65">
        <f t="shared" ref="AB12:AB15" si="1">STDEV(V12:Z12)*40</f>
        <v>165.89153082662179</v>
      </c>
    </row>
    <row r="13" spans="1:28" x14ac:dyDescent="0.2">
      <c r="A13" s="71"/>
      <c r="B13" s="74">
        <v>2009</v>
      </c>
      <c r="C13" s="76"/>
      <c r="D13" s="77"/>
      <c r="E13" s="76"/>
      <c r="F13" s="77"/>
      <c r="G13" s="60"/>
      <c r="J13" s="74">
        <v>2005</v>
      </c>
      <c r="K13" s="76"/>
      <c r="L13" s="76"/>
      <c r="M13" s="76"/>
      <c r="N13" s="80"/>
      <c r="O13" s="60"/>
      <c r="U13" s="4" t="s">
        <v>2</v>
      </c>
      <c r="V13" s="3">
        <v>0</v>
      </c>
      <c r="W13" s="3">
        <v>0</v>
      </c>
      <c r="X13" s="3">
        <v>0</v>
      </c>
      <c r="Y13" s="3">
        <v>156</v>
      </c>
      <c r="Z13" s="3">
        <v>175</v>
      </c>
      <c r="AA13" s="65">
        <f t="shared" si="0"/>
        <v>2648</v>
      </c>
      <c r="AB13" s="65">
        <f t="shared" si="1"/>
        <v>3635.8657841014979</v>
      </c>
    </row>
    <row r="14" spans="1:28" x14ac:dyDescent="0.2">
      <c r="A14" s="71"/>
      <c r="B14" s="74">
        <v>2010</v>
      </c>
      <c r="C14" s="76"/>
      <c r="D14" s="76"/>
      <c r="E14" s="77"/>
      <c r="F14" s="77"/>
      <c r="G14" s="60"/>
      <c r="J14" s="74">
        <v>2006</v>
      </c>
      <c r="K14" s="76"/>
      <c r="L14" s="76"/>
      <c r="M14" s="76"/>
      <c r="N14" s="80"/>
      <c r="O14" s="60"/>
      <c r="U14" s="4" t="s">
        <v>3</v>
      </c>
      <c r="V14" s="3">
        <v>2</v>
      </c>
      <c r="W14" s="3">
        <v>32</v>
      </c>
      <c r="X14" s="3">
        <v>13</v>
      </c>
      <c r="Y14" s="3">
        <v>4</v>
      </c>
      <c r="Z14" s="3">
        <v>6</v>
      </c>
      <c r="AA14" s="65">
        <f t="shared" si="0"/>
        <v>456</v>
      </c>
      <c r="AB14" s="65">
        <f t="shared" si="1"/>
        <v>489.57124098541578</v>
      </c>
    </row>
    <row r="15" spans="1:28" x14ac:dyDescent="0.2">
      <c r="A15" s="71"/>
      <c r="B15" s="74">
        <v>2012</v>
      </c>
      <c r="C15" s="76"/>
      <c r="D15" s="76"/>
      <c r="E15" s="77"/>
      <c r="F15" s="76"/>
      <c r="G15" s="60"/>
      <c r="J15" s="74">
        <v>2007</v>
      </c>
      <c r="K15" s="76"/>
      <c r="L15" s="76"/>
      <c r="M15" s="76"/>
      <c r="N15" s="80"/>
      <c r="O15" s="60"/>
      <c r="U15" s="4" t="s">
        <v>4</v>
      </c>
      <c r="V15" s="3">
        <v>4</v>
      </c>
      <c r="W15" s="3">
        <v>9</v>
      </c>
      <c r="X15" s="3">
        <v>10</v>
      </c>
      <c r="Y15" s="3">
        <v>4</v>
      </c>
      <c r="Z15" s="3">
        <v>3</v>
      </c>
      <c r="AA15" s="65">
        <f t="shared" si="0"/>
        <v>240</v>
      </c>
      <c r="AB15" s="65">
        <f t="shared" si="1"/>
        <v>129.61481396815719</v>
      </c>
    </row>
    <row r="16" spans="1:28" x14ac:dyDescent="0.2">
      <c r="A16" s="71"/>
      <c r="B16" s="74">
        <v>2014</v>
      </c>
      <c r="C16" s="77"/>
      <c r="D16" s="76"/>
      <c r="E16" s="76"/>
      <c r="F16" s="76"/>
      <c r="G16" s="60"/>
      <c r="J16" s="74">
        <v>2008</v>
      </c>
      <c r="K16" s="76"/>
      <c r="L16" s="80"/>
      <c r="M16" s="76"/>
      <c r="N16" s="80"/>
      <c r="O16" s="60"/>
    </row>
    <row r="17" spans="1:28" x14ac:dyDescent="0.2">
      <c r="A17" s="71"/>
      <c r="B17" s="74">
        <v>2016</v>
      </c>
      <c r="C17" s="60"/>
      <c r="D17" s="75"/>
      <c r="E17" s="60"/>
      <c r="F17" s="60"/>
      <c r="G17" s="60"/>
      <c r="J17" s="74">
        <v>2009</v>
      </c>
      <c r="K17" s="76"/>
      <c r="L17" s="80"/>
      <c r="M17" s="76"/>
      <c r="N17" s="80"/>
      <c r="O17" s="60"/>
      <c r="AA17" s="81" t="s">
        <v>157</v>
      </c>
      <c r="AB17" s="60"/>
    </row>
    <row r="18" spans="1:28" x14ac:dyDescent="0.2">
      <c r="A18" s="71"/>
      <c r="D18" s="84"/>
      <c r="E18" s="94"/>
      <c r="J18" s="74">
        <v>2010</v>
      </c>
      <c r="K18" s="76"/>
      <c r="L18" s="76"/>
      <c r="M18" s="80"/>
      <c r="N18" s="80"/>
      <c r="O18" s="60"/>
      <c r="V18" s="2">
        <v>1</v>
      </c>
      <c r="W18" s="2">
        <v>2</v>
      </c>
      <c r="X18" s="2">
        <v>3</v>
      </c>
      <c r="Y18" s="2">
        <v>4</v>
      </c>
      <c r="Z18" s="2">
        <v>5</v>
      </c>
      <c r="AA18" s="60" t="s">
        <v>168</v>
      </c>
      <c r="AB18" s="60" t="s">
        <v>169</v>
      </c>
    </row>
    <row r="19" spans="1:28" x14ac:dyDescent="0.2">
      <c r="A19" s="71"/>
      <c r="D19" s="84"/>
      <c r="E19" s="94"/>
      <c r="J19" s="74">
        <v>2012</v>
      </c>
      <c r="K19" s="76"/>
      <c r="L19" s="76"/>
      <c r="M19" s="80"/>
      <c r="N19" s="76"/>
      <c r="O19" s="60"/>
      <c r="U19" s="4" t="s">
        <v>0</v>
      </c>
      <c r="V19" s="3">
        <v>13330.281550434018</v>
      </c>
      <c r="W19" s="3">
        <v>12028.502916547637</v>
      </c>
      <c r="X19" s="3">
        <v>11328.158022810469</v>
      </c>
      <c r="Y19" s="3">
        <v>16782.343587653617</v>
      </c>
      <c r="Z19" s="3">
        <v>20479.81022795173</v>
      </c>
      <c r="AA19" s="65">
        <f>AVERAGE(V19:Z19)*40/1000</f>
        <v>591.5927704431798</v>
      </c>
      <c r="AB19" s="65">
        <f>STDEV(V19:Z19)*40/1000</f>
        <v>152.42620143136369</v>
      </c>
    </row>
    <row r="20" spans="1:28" x14ac:dyDescent="0.2">
      <c r="A20" s="71"/>
      <c r="J20" s="74">
        <v>2013</v>
      </c>
      <c r="K20" s="76"/>
      <c r="L20" s="76"/>
      <c r="M20" s="80"/>
      <c r="N20" s="76"/>
      <c r="O20" s="60"/>
      <c r="U20" s="4" t="s">
        <v>1</v>
      </c>
      <c r="V20" s="3">
        <v>154.2702274902172</v>
      </c>
      <c r="W20" s="3">
        <v>153.46467225422924</v>
      </c>
      <c r="X20" s="3">
        <v>91.880367304801126</v>
      </c>
      <c r="Y20" s="3">
        <v>181.00937839030317</v>
      </c>
      <c r="Z20" s="3">
        <v>27.532970333446322</v>
      </c>
      <c r="AA20" s="65">
        <f t="shared" ref="AA20:AA23" si="2">AVERAGE(V20:Z20)*40/1000</f>
        <v>4.8652609261839759</v>
      </c>
      <c r="AB20" s="65">
        <f t="shared" ref="AB20:AB23" si="3">STDEV(V20:Z20)*40/1000</f>
        <v>2.4774206757943746</v>
      </c>
    </row>
    <row r="21" spans="1:28" x14ac:dyDescent="0.2">
      <c r="A21" s="71"/>
      <c r="J21" s="74">
        <v>2014</v>
      </c>
      <c r="K21" s="80"/>
      <c r="L21" s="76"/>
      <c r="M21" s="76"/>
      <c r="N21" s="76"/>
      <c r="O21" s="60"/>
      <c r="U21" s="4" t="s">
        <v>2</v>
      </c>
      <c r="V21" s="3">
        <v>0</v>
      </c>
      <c r="W21" s="3">
        <v>0</v>
      </c>
      <c r="X21" s="3">
        <v>0</v>
      </c>
      <c r="Y21" s="3">
        <v>29526.78082519798</v>
      </c>
      <c r="Z21" s="3">
        <v>15364.261437421121</v>
      </c>
      <c r="AA21" s="65">
        <f t="shared" si="2"/>
        <v>359.12833810095282</v>
      </c>
      <c r="AB21" s="65">
        <f t="shared" si="3"/>
        <v>530.98029354463017</v>
      </c>
    </row>
    <row r="22" spans="1:28" x14ac:dyDescent="0.2">
      <c r="A22" s="71"/>
      <c r="J22" s="74">
        <v>2015</v>
      </c>
      <c r="K22" s="76"/>
      <c r="L22" s="76"/>
      <c r="M22" s="80"/>
      <c r="N22" s="76"/>
      <c r="O22" s="60"/>
      <c r="U22" s="4" t="s">
        <v>3</v>
      </c>
      <c r="V22" s="3">
        <v>523.55758793701375</v>
      </c>
      <c r="W22" s="3">
        <v>8104.5987881526826</v>
      </c>
      <c r="X22" s="3">
        <v>6048.4214793178189</v>
      </c>
      <c r="Y22" s="3">
        <v>2371.9588788184533</v>
      </c>
      <c r="Z22" s="3">
        <v>5161.8534749672135</v>
      </c>
      <c r="AA22" s="65">
        <f t="shared" si="2"/>
        <v>177.68312167354546</v>
      </c>
      <c r="AB22" s="65">
        <f t="shared" si="3"/>
        <v>120.254180845736</v>
      </c>
    </row>
    <row r="23" spans="1:28" x14ac:dyDescent="0.2">
      <c r="A23" s="71"/>
      <c r="J23" s="74">
        <v>2016</v>
      </c>
      <c r="K23" s="60"/>
      <c r="L23" s="79"/>
      <c r="M23" s="60"/>
      <c r="N23" s="60"/>
      <c r="O23" s="60"/>
      <c r="U23" s="4" t="s">
        <v>4</v>
      </c>
      <c r="V23" s="3">
        <v>2408.9425076627213</v>
      </c>
      <c r="W23" s="3">
        <v>4028.159452101781</v>
      </c>
      <c r="X23" s="3">
        <v>1239.3940177333318</v>
      </c>
      <c r="Y23" s="3">
        <v>902.36124179374031</v>
      </c>
      <c r="Z23" s="3">
        <v>484.19056936264928</v>
      </c>
      <c r="AA23" s="65">
        <f t="shared" si="2"/>
        <v>72.50438230923379</v>
      </c>
      <c r="AB23" s="65">
        <f t="shared" si="3"/>
        <v>57.222720600263926</v>
      </c>
    </row>
    <row r="24" spans="1:28" x14ac:dyDescent="0.2">
      <c r="A24" s="71"/>
      <c r="J24" s="71"/>
    </row>
    <row r="25" spans="1:28" x14ac:dyDescent="0.2">
      <c r="A25" s="71"/>
      <c r="J25" s="71"/>
    </row>
    <row r="30" spans="1:28" x14ac:dyDescent="0.2">
      <c r="D30" t="s">
        <v>4</v>
      </c>
      <c r="E30" t="s">
        <v>157</v>
      </c>
    </row>
    <row r="31" spans="1:28" x14ac:dyDescent="0.2">
      <c r="D31" t="s">
        <v>158</v>
      </c>
      <c r="E31" t="s">
        <v>20</v>
      </c>
      <c r="F31" t="s">
        <v>198</v>
      </c>
      <c r="J31" t="s">
        <v>158</v>
      </c>
      <c r="K31" t="s">
        <v>156</v>
      </c>
      <c r="L31" t="s">
        <v>198</v>
      </c>
    </row>
    <row r="32" spans="1:28" x14ac:dyDescent="0.2">
      <c r="D32">
        <v>1987</v>
      </c>
      <c r="E32">
        <v>44.2</v>
      </c>
      <c r="F32">
        <v>44.2</v>
      </c>
      <c r="J32">
        <v>1987</v>
      </c>
      <c r="K32">
        <v>271</v>
      </c>
      <c r="L32">
        <v>271</v>
      </c>
    </row>
    <row r="33" spans="1:12" x14ac:dyDescent="0.2">
      <c r="D33">
        <v>2006</v>
      </c>
      <c r="E33">
        <v>15.4</v>
      </c>
      <c r="F33">
        <v>15.4</v>
      </c>
      <c r="J33">
        <v>2004</v>
      </c>
      <c r="K33">
        <v>847.5</v>
      </c>
    </row>
    <row r="34" spans="1:12" x14ac:dyDescent="0.2">
      <c r="D34">
        <v>2008</v>
      </c>
      <c r="E34">
        <v>45.8</v>
      </c>
      <c r="F34">
        <v>45.8</v>
      </c>
      <c r="J34">
        <v>2005</v>
      </c>
      <c r="K34">
        <v>194</v>
      </c>
      <c r="L34">
        <v>194</v>
      </c>
    </row>
    <row r="35" spans="1:12" x14ac:dyDescent="0.2">
      <c r="D35">
        <v>2009</v>
      </c>
      <c r="E35">
        <v>58.249999999999993</v>
      </c>
      <c r="F35">
        <v>58.249999999999993</v>
      </c>
      <c r="J35">
        <v>2006</v>
      </c>
      <c r="K35">
        <v>400</v>
      </c>
    </row>
    <row r="36" spans="1:12" x14ac:dyDescent="0.2">
      <c r="D36">
        <v>2010</v>
      </c>
      <c r="E36">
        <v>4.1333333333333329</v>
      </c>
      <c r="J36">
        <v>2007</v>
      </c>
      <c r="K36">
        <v>162</v>
      </c>
      <c r="L36">
        <v>162</v>
      </c>
    </row>
    <row r="37" spans="1:12" x14ac:dyDescent="0.2">
      <c r="D37">
        <v>2012</v>
      </c>
      <c r="E37">
        <v>1</v>
      </c>
      <c r="J37">
        <v>2008</v>
      </c>
      <c r="K37">
        <v>83.166666666666671</v>
      </c>
      <c r="L37">
        <v>83.166666666666671</v>
      </c>
    </row>
    <row r="38" spans="1:12" x14ac:dyDescent="0.2">
      <c r="A38" s="84"/>
      <c r="D38">
        <v>2014</v>
      </c>
      <c r="E38">
        <v>20.3</v>
      </c>
      <c r="F38">
        <v>20.3</v>
      </c>
      <c r="J38">
        <v>2009</v>
      </c>
      <c r="K38">
        <v>114.75</v>
      </c>
      <c r="L38">
        <v>114.75</v>
      </c>
    </row>
    <row r="39" spans="1:12" x14ac:dyDescent="0.2">
      <c r="A39" s="84"/>
      <c r="B39" s="94"/>
      <c r="D39">
        <v>2016</v>
      </c>
      <c r="E39" s="64">
        <f>AA23</f>
        <v>72.50438230923379</v>
      </c>
      <c r="F39" s="64"/>
      <c r="J39">
        <v>2010</v>
      </c>
      <c r="K39">
        <v>113.33333333333333</v>
      </c>
      <c r="L39">
        <v>113.33333333333333</v>
      </c>
    </row>
    <row r="40" spans="1:12" x14ac:dyDescent="0.2">
      <c r="A40" s="84"/>
      <c r="B40" s="94"/>
      <c r="J40">
        <v>2012</v>
      </c>
      <c r="K40">
        <v>20</v>
      </c>
      <c r="L40">
        <v>20</v>
      </c>
    </row>
    <row r="41" spans="1:12" x14ac:dyDescent="0.2">
      <c r="A41" s="84"/>
      <c r="B41" s="94"/>
      <c r="J41">
        <v>2014</v>
      </c>
      <c r="K41">
        <v>91</v>
      </c>
      <c r="L41">
        <v>91</v>
      </c>
    </row>
    <row r="42" spans="1:12" x14ac:dyDescent="0.2">
      <c r="J42">
        <v>2015</v>
      </c>
      <c r="K42">
        <v>80</v>
      </c>
      <c r="L42">
        <v>80</v>
      </c>
    </row>
    <row r="43" spans="1:12" x14ac:dyDescent="0.2">
      <c r="J43">
        <v>2016</v>
      </c>
      <c r="K43" s="64">
        <f>AA15</f>
        <v>240</v>
      </c>
      <c r="L43" s="64">
        <f>AB15</f>
        <v>129.61481396815719</v>
      </c>
    </row>
  </sheetData>
  <autoFilter ref="D31:F39" xr:uid="{00000000-0009-0000-0000-000002000000}"/>
  <conditionalFormatting sqref="K32:K42">
    <cfRule type="colorScale" priority="38">
      <colorScale>
        <cfvo type="min"/>
        <cfvo type="percentile" val="50"/>
        <cfvo type="max"/>
        <color rgb="FFF8696B"/>
        <color rgb="FFFFEB84"/>
        <color rgb="FF63BE7B"/>
      </colorScale>
    </cfRule>
  </conditionalFormatting>
  <conditionalFormatting sqref="E32:E38">
    <cfRule type="colorScale" priority="37">
      <colorScale>
        <cfvo type="min"/>
        <cfvo type="percentile" val="50"/>
        <cfvo type="max"/>
        <color rgb="FFF8696B"/>
        <color rgb="FFFFEB84"/>
        <color rgb="FF63BE7B"/>
      </colorScale>
    </cfRule>
  </conditionalFormatting>
  <conditionalFormatting sqref="E32:E39">
    <cfRule type="colorScale" priority="28">
      <colorScale>
        <cfvo type="min"/>
        <cfvo type="percentile" val="50"/>
        <cfvo type="max"/>
        <color rgb="FFF8696B"/>
        <color rgb="FFFFEB84"/>
        <color rgb="FF63BE7B"/>
      </colorScale>
    </cfRule>
  </conditionalFormatting>
  <conditionalFormatting sqref="K32:K43">
    <cfRule type="colorScale" priority="27">
      <colorScale>
        <cfvo type="min"/>
        <cfvo type="percentile" val="50"/>
        <cfvo type="max"/>
        <color rgb="FFF8696B"/>
        <color rgb="FFFFEB84"/>
        <color rgb="FF63BE7B"/>
      </colorScale>
    </cfRule>
  </conditionalFormatting>
  <conditionalFormatting sqref="F32:F38">
    <cfRule type="colorScale" priority="20">
      <colorScale>
        <cfvo type="min"/>
        <cfvo type="percentile" val="50"/>
        <cfvo type="max"/>
        <color rgb="FFF8696B"/>
        <color rgb="FFFFEB84"/>
        <color rgb="FF63BE7B"/>
      </colorScale>
    </cfRule>
  </conditionalFormatting>
  <conditionalFormatting sqref="F32:F39">
    <cfRule type="colorScale" priority="19">
      <colorScale>
        <cfvo type="min"/>
        <cfvo type="percentile" val="50"/>
        <cfvo type="max"/>
        <color rgb="FFF8696B"/>
        <color rgb="FFFFEB84"/>
        <color rgb="FF63BE7B"/>
      </colorScale>
    </cfRule>
  </conditionalFormatting>
  <conditionalFormatting sqref="L32:L42">
    <cfRule type="colorScale" priority="18">
      <colorScale>
        <cfvo type="min"/>
        <cfvo type="percentile" val="50"/>
        <cfvo type="max"/>
        <color rgb="FFF8696B"/>
        <color rgb="FFFFEB84"/>
        <color rgb="FF63BE7B"/>
      </colorScale>
    </cfRule>
  </conditionalFormatting>
  <conditionalFormatting sqref="L32:L43">
    <cfRule type="colorScale" priority="17">
      <colorScale>
        <cfvo type="min"/>
        <cfvo type="percentile" val="50"/>
        <cfvo type="max"/>
        <color rgb="FFF8696B"/>
        <color rgb="FFFFEB84"/>
        <color rgb="FF63BE7B"/>
      </colorScale>
    </cfRule>
  </conditionalFormatting>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W24"/>
  <sheetViews>
    <sheetView topLeftCell="G9" zoomScale="137" zoomScaleNormal="137" zoomScalePageLayoutView="137" workbookViewId="0">
      <selection activeCell="A90" sqref="A1:XFD90"/>
    </sheetView>
  </sheetViews>
  <sheetFormatPr baseColWidth="10" defaultRowHeight="16" x14ac:dyDescent="0.2"/>
  <cols>
    <col min="3" max="3" width="13.6640625" bestFit="1" customWidth="1"/>
    <col min="4" max="4" width="13.5" customWidth="1"/>
    <col min="11" max="11" width="14.1640625" customWidth="1"/>
    <col min="12" max="12" width="14.83203125" customWidth="1"/>
    <col min="21" max="21" width="14.33203125" bestFit="1" customWidth="1"/>
  </cols>
  <sheetData>
    <row r="2" spans="2:12" x14ac:dyDescent="0.2">
      <c r="D2" t="s">
        <v>4</v>
      </c>
      <c r="E2" t="s">
        <v>157</v>
      </c>
    </row>
    <row r="3" spans="2:12" x14ac:dyDescent="0.2">
      <c r="D3" t="s">
        <v>158</v>
      </c>
      <c r="E3" t="s">
        <v>20</v>
      </c>
      <c r="F3" t="s">
        <v>198</v>
      </c>
      <c r="J3" t="s">
        <v>158</v>
      </c>
      <c r="K3" t="s">
        <v>156</v>
      </c>
      <c r="L3" t="s">
        <v>198</v>
      </c>
    </row>
    <row r="4" spans="2:12" x14ac:dyDescent="0.2">
      <c r="D4">
        <v>1987</v>
      </c>
      <c r="E4">
        <v>178.3</v>
      </c>
      <c r="F4">
        <v>178.3</v>
      </c>
      <c r="J4">
        <v>1987</v>
      </c>
      <c r="K4" s="3">
        <v>335.66666666666703</v>
      </c>
      <c r="L4" s="3">
        <v>335.66666666666703</v>
      </c>
    </row>
    <row r="5" spans="2:12" x14ac:dyDescent="0.2">
      <c r="D5">
        <v>1999</v>
      </c>
      <c r="E5">
        <v>21.391666666666666</v>
      </c>
      <c r="J5">
        <v>1999</v>
      </c>
      <c r="K5">
        <v>56.93333333333333</v>
      </c>
    </row>
    <row r="6" spans="2:12" x14ac:dyDescent="0.2">
      <c r="D6">
        <v>2000</v>
      </c>
      <c r="E6">
        <v>40.931249999999999</v>
      </c>
      <c r="F6">
        <v>40.931249999999999</v>
      </c>
      <c r="J6">
        <v>2000</v>
      </c>
      <c r="K6">
        <v>133.625</v>
      </c>
      <c r="L6">
        <v>133.625</v>
      </c>
    </row>
    <row r="7" spans="2:12" x14ac:dyDescent="0.2">
      <c r="D7">
        <v>2001</v>
      </c>
      <c r="E7">
        <v>57.023529411764699</v>
      </c>
      <c r="F7">
        <v>57.023529411764699</v>
      </c>
      <c r="J7">
        <v>2001</v>
      </c>
      <c r="K7">
        <v>75.5</v>
      </c>
    </row>
    <row r="8" spans="2:12" x14ac:dyDescent="0.2">
      <c r="D8">
        <v>2002</v>
      </c>
      <c r="E8">
        <v>7.7874999999999996</v>
      </c>
      <c r="J8">
        <v>2002</v>
      </c>
      <c r="K8">
        <v>44.5625</v>
      </c>
    </row>
    <row r="9" spans="2:12" x14ac:dyDescent="0.2">
      <c r="D9">
        <v>2003</v>
      </c>
      <c r="E9">
        <v>27.45</v>
      </c>
      <c r="F9">
        <v>27.45</v>
      </c>
      <c r="J9">
        <v>2003</v>
      </c>
      <c r="K9">
        <v>193.25</v>
      </c>
      <c r="L9">
        <v>193.25</v>
      </c>
    </row>
    <row r="10" spans="2:12" x14ac:dyDescent="0.2">
      <c r="D10">
        <v>2004</v>
      </c>
      <c r="E10">
        <v>35.15</v>
      </c>
      <c r="F10">
        <v>35.15</v>
      </c>
      <c r="J10">
        <v>2004</v>
      </c>
      <c r="K10">
        <v>207.81818181818181</v>
      </c>
    </row>
    <row r="11" spans="2:12" x14ac:dyDescent="0.2">
      <c r="B11" s="84"/>
      <c r="D11">
        <v>2005</v>
      </c>
      <c r="E11">
        <v>37.907692307692301</v>
      </c>
      <c r="F11">
        <v>37.907692307692301</v>
      </c>
      <c r="J11">
        <v>2005</v>
      </c>
      <c r="K11">
        <v>97</v>
      </c>
      <c r="L11">
        <v>97</v>
      </c>
    </row>
    <row r="12" spans="2:12" x14ac:dyDescent="0.2">
      <c r="D12">
        <v>2006</v>
      </c>
      <c r="E12">
        <v>31.883333333333326</v>
      </c>
      <c r="F12">
        <v>31.883333333333326</v>
      </c>
      <c r="J12">
        <v>2006</v>
      </c>
      <c r="K12">
        <v>89.055555555555557</v>
      </c>
      <c r="L12">
        <v>89.055555555555557</v>
      </c>
    </row>
    <row r="13" spans="2:12" x14ac:dyDescent="0.2">
      <c r="D13">
        <v>2007</v>
      </c>
      <c r="E13">
        <v>81.458823529411788</v>
      </c>
      <c r="J13">
        <v>2007</v>
      </c>
      <c r="K13">
        <v>261.11764705882354</v>
      </c>
    </row>
    <row r="14" spans="2:12" x14ac:dyDescent="0.2">
      <c r="D14">
        <v>2008</v>
      </c>
      <c r="E14">
        <v>42.932000000000009</v>
      </c>
      <c r="F14">
        <v>42.932000000000009</v>
      </c>
      <c r="J14">
        <v>2008</v>
      </c>
      <c r="K14">
        <v>161.56</v>
      </c>
      <c r="L14">
        <v>161.56</v>
      </c>
    </row>
    <row r="15" spans="2:12" x14ac:dyDescent="0.2">
      <c r="D15">
        <v>2015</v>
      </c>
      <c r="E15">
        <v>51.446599999999997</v>
      </c>
      <c r="F15">
        <v>51.446599999999997</v>
      </c>
      <c r="J15">
        <v>2015</v>
      </c>
      <c r="K15" s="64">
        <v>28</v>
      </c>
      <c r="L15" s="64">
        <v>28</v>
      </c>
    </row>
    <row r="22" spans="22:23" x14ac:dyDescent="0.2">
      <c r="V22" s="114" t="s">
        <v>296</v>
      </c>
      <c r="W22" s="115" t="s">
        <v>297</v>
      </c>
    </row>
    <row r="23" spans="22:23" x14ac:dyDescent="0.2">
      <c r="V23" s="134" t="s">
        <v>2</v>
      </c>
    </row>
    <row r="24" spans="22:23" x14ac:dyDescent="0.2">
      <c r="V24" s="134"/>
      <c r="W24" s="102"/>
    </row>
  </sheetData>
  <conditionalFormatting sqref="K5:K14">
    <cfRule type="colorScale" priority="47">
      <colorScale>
        <cfvo type="min"/>
        <cfvo type="percentile" val="50"/>
        <cfvo type="max"/>
        <color rgb="FFF8696B"/>
        <color rgb="FFFFEB84"/>
        <color rgb="FF63BE7B"/>
      </colorScale>
    </cfRule>
  </conditionalFormatting>
  <conditionalFormatting sqref="E4:E15">
    <cfRule type="colorScale" priority="46">
      <colorScale>
        <cfvo type="min"/>
        <cfvo type="percentile" val="50"/>
        <cfvo type="max"/>
        <color rgb="FFF8696B"/>
        <color rgb="FFFFEB84"/>
        <color rgb="FF63BE7B"/>
      </colorScale>
    </cfRule>
  </conditionalFormatting>
  <conditionalFormatting sqref="E4:E15">
    <cfRule type="colorScale" priority="37">
      <colorScale>
        <cfvo type="min"/>
        <cfvo type="percentile" val="50"/>
        <cfvo type="max"/>
        <color rgb="FFF8696B"/>
        <color rgb="FFFFEB84"/>
        <color rgb="FF63BE7B"/>
      </colorScale>
    </cfRule>
  </conditionalFormatting>
  <conditionalFormatting sqref="K5:K15">
    <cfRule type="colorScale" priority="36">
      <colorScale>
        <cfvo type="min"/>
        <cfvo type="percentile" val="50"/>
        <cfvo type="max"/>
        <color rgb="FFF8696B"/>
        <color rgb="FFFFEB84"/>
        <color rgb="FF63BE7B"/>
      </colorScale>
    </cfRule>
  </conditionalFormatting>
  <conditionalFormatting sqref="L5:L8 L10:L14">
    <cfRule type="colorScale" priority="23">
      <colorScale>
        <cfvo type="min"/>
        <cfvo type="percentile" val="50"/>
        <cfvo type="max"/>
        <color rgb="FFF8696B"/>
        <color rgb="FFFFEB84"/>
        <color rgb="FF63BE7B"/>
      </colorScale>
    </cfRule>
  </conditionalFormatting>
  <conditionalFormatting sqref="L5:L8">
    <cfRule type="colorScale" priority="22">
      <colorScale>
        <cfvo type="min"/>
        <cfvo type="percentile" val="50"/>
        <cfvo type="max"/>
        <color rgb="FFF8696B"/>
        <color rgb="FFFFEB84"/>
        <color rgb="FF63BE7B"/>
      </colorScale>
    </cfRule>
  </conditionalFormatting>
  <conditionalFormatting sqref="F4:F14">
    <cfRule type="colorScale" priority="25">
      <colorScale>
        <cfvo type="min"/>
        <cfvo type="percentile" val="50"/>
        <cfvo type="max"/>
        <color rgb="FFF8696B"/>
        <color rgb="FFFFEB84"/>
        <color rgb="FF63BE7B"/>
      </colorScale>
    </cfRule>
  </conditionalFormatting>
  <conditionalFormatting sqref="F4:F14">
    <cfRule type="colorScale" priority="24">
      <colorScale>
        <cfvo type="min"/>
        <cfvo type="percentile" val="50"/>
        <cfvo type="max"/>
        <color rgb="FFF8696B"/>
        <color rgb="FFFFEB84"/>
        <color rgb="FF63BE7B"/>
      </colorScale>
    </cfRule>
  </conditionalFormatting>
  <conditionalFormatting sqref="F15">
    <cfRule type="colorScale" priority="21">
      <colorScale>
        <cfvo type="min"/>
        <cfvo type="percentile" val="50"/>
        <cfvo type="max"/>
        <color rgb="FFF8696B"/>
        <color rgb="FFFFEB84"/>
        <color rgb="FF63BE7B"/>
      </colorScale>
    </cfRule>
  </conditionalFormatting>
  <conditionalFormatting sqref="F15">
    <cfRule type="colorScale" priority="20">
      <colorScale>
        <cfvo type="min"/>
        <cfvo type="percentile" val="50"/>
        <cfvo type="max"/>
        <color rgb="FFF8696B"/>
        <color rgb="FFFFEB84"/>
        <color rgb="FF63BE7B"/>
      </colorScale>
    </cfRule>
  </conditionalFormatting>
  <conditionalFormatting sqref="L9">
    <cfRule type="colorScale" priority="19">
      <colorScale>
        <cfvo type="min"/>
        <cfvo type="percentile" val="50"/>
        <cfvo type="max"/>
        <color rgb="FFF8696B"/>
        <color rgb="FFFFEB84"/>
        <color rgb="FF63BE7B"/>
      </colorScale>
    </cfRule>
  </conditionalFormatting>
  <conditionalFormatting sqref="L9">
    <cfRule type="colorScale" priority="18">
      <colorScale>
        <cfvo type="min"/>
        <cfvo type="percentile" val="50"/>
        <cfvo type="max"/>
        <color rgb="FFF8696B"/>
        <color rgb="FFFFEB84"/>
        <color rgb="FF63BE7B"/>
      </colorScale>
    </cfRule>
  </conditionalFormatting>
  <conditionalFormatting sqref="L15">
    <cfRule type="colorScale" priority="17">
      <colorScale>
        <cfvo type="min"/>
        <cfvo type="percentile" val="50"/>
        <cfvo type="max"/>
        <color rgb="FFF8696B"/>
        <color rgb="FFFFEB84"/>
        <color rgb="FF63BE7B"/>
      </colorScale>
    </cfRule>
  </conditionalFormatting>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99"/>
  <sheetViews>
    <sheetView topLeftCell="K63" zoomScale="118" zoomScaleNormal="118" zoomScalePageLayoutView="118" workbookViewId="0">
      <selection activeCell="W86" sqref="W86"/>
    </sheetView>
  </sheetViews>
  <sheetFormatPr baseColWidth="10" defaultRowHeight="16" x14ac:dyDescent="0.2"/>
  <cols>
    <col min="1" max="1" width="14.33203125" customWidth="1"/>
    <col min="2" max="2" width="29.33203125" bestFit="1" customWidth="1"/>
    <col min="4" max="4" width="15.6640625" customWidth="1"/>
    <col min="5" max="5" width="14" customWidth="1"/>
  </cols>
  <sheetData>
    <row r="1" spans="1:69" x14ac:dyDescent="0.2">
      <c r="B1" t="s">
        <v>300</v>
      </c>
    </row>
    <row r="2" spans="1:69" x14ac:dyDescent="0.2">
      <c r="B2" s="95" t="s">
        <v>200</v>
      </c>
      <c r="C2" s="96" t="s">
        <v>201</v>
      </c>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row>
    <row r="3" spans="1:69" x14ac:dyDescent="0.2">
      <c r="B3" s="97"/>
      <c r="C3" s="98" t="s">
        <v>202</v>
      </c>
      <c r="D3" s="98"/>
      <c r="E3" s="98"/>
      <c r="F3" s="98" t="s">
        <v>203</v>
      </c>
      <c r="G3" s="98" t="s">
        <v>204</v>
      </c>
      <c r="H3" s="98"/>
      <c r="I3" s="98"/>
      <c r="J3" s="98" t="s">
        <v>205</v>
      </c>
      <c r="K3" s="98" t="s">
        <v>206</v>
      </c>
      <c r="L3" s="98"/>
      <c r="M3" s="98"/>
      <c r="N3" s="98" t="s">
        <v>207</v>
      </c>
      <c r="O3" s="98" t="s">
        <v>208</v>
      </c>
      <c r="P3" s="98" t="s">
        <v>209</v>
      </c>
      <c r="Q3" s="98" t="s">
        <v>210</v>
      </c>
      <c r="R3" s="98"/>
      <c r="S3" s="98"/>
      <c r="T3" s="98" t="s">
        <v>211</v>
      </c>
      <c r="U3" s="98" t="s">
        <v>212</v>
      </c>
      <c r="V3" s="98"/>
      <c r="W3" s="98"/>
      <c r="X3" s="98" t="s">
        <v>213</v>
      </c>
      <c r="Y3" s="98" t="s">
        <v>214</v>
      </c>
      <c r="Z3" s="98"/>
      <c r="AA3" s="98"/>
      <c r="AB3" s="98" t="s">
        <v>215</v>
      </c>
      <c r="AC3" s="98" t="s">
        <v>216</v>
      </c>
      <c r="AD3" s="98"/>
      <c r="AE3" s="98"/>
      <c r="AF3" s="98" t="s">
        <v>217</v>
      </c>
      <c r="AG3" s="98" t="s">
        <v>218</v>
      </c>
      <c r="AH3" s="98"/>
      <c r="AI3" s="98"/>
      <c r="AJ3" s="98" t="s">
        <v>219</v>
      </c>
      <c r="AK3" s="98" t="s">
        <v>220</v>
      </c>
      <c r="AL3" s="98"/>
      <c r="AM3" s="98"/>
      <c r="AN3" s="98" t="s">
        <v>221</v>
      </c>
      <c r="AO3" s="98" t="s">
        <v>222</v>
      </c>
      <c r="AP3" s="98"/>
      <c r="AQ3" s="98"/>
      <c r="AR3" s="98" t="s">
        <v>223</v>
      </c>
      <c r="AS3" s="98" t="s">
        <v>224</v>
      </c>
      <c r="AT3" s="98"/>
      <c r="AU3" s="98"/>
      <c r="AV3" s="98" t="s">
        <v>225</v>
      </c>
      <c r="AW3" s="98" t="s">
        <v>226</v>
      </c>
      <c r="AX3" s="98"/>
      <c r="AY3" s="98"/>
      <c r="AZ3" s="98" t="s">
        <v>227</v>
      </c>
      <c r="BA3" s="98" t="s">
        <v>228</v>
      </c>
      <c r="BB3" s="98"/>
      <c r="BC3" s="98"/>
      <c r="BD3" s="98" t="s">
        <v>229</v>
      </c>
      <c r="BE3" s="98" t="s">
        <v>230</v>
      </c>
      <c r="BF3" s="98"/>
      <c r="BG3" s="98"/>
      <c r="BH3" s="98" t="s">
        <v>231</v>
      </c>
      <c r="BI3" s="98" t="s">
        <v>232</v>
      </c>
      <c r="BJ3" s="98"/>
      <c r="BK3" s="98"/>
      <c r="BL3" s="98" t="s">
        <v>233</v>
      </c>
      <c r="BM3" s="98" t="s">
        <v>234</v>
      </c>
      <c r="BN3" s="98"/>
      <c r="BO3" s="98"/>
      <c r="BP3" s="98" t="s">
        <v>235</v>
      </c>
      <c r="BQ3" s="99" t="s">
        <v>252</v>
      </c>
    </row>
    <row r="4" spans="1:69" x14ac:dyDescent="0.2">
      <c r="A4">
        <v>2000</v>
      </c>
      <c r="B4" s="100" t="s">
        <v>153</v>
      </c>
      <c r="C4" s="100">
        <v>1</v>
      </c>
      <c r="D4" s="100">
        <v>2</v>
      </c>
      <c r="E4" s="100">
        <v>3</v>
      </c>
      <c r="F4" s="98"/>
      <c r="G4" s="100">
        <v>1</v>
      </c>
      <c r="H4" s="100">
        <v>2</v>
      </c>
      <c r="I4" s="100">
        <v>3</v>
      </c>
      <c r="J4" s="98"/>
      <c r="K4" s="100">
        <v>1</v>
      </c>
      <c r="L4" s="100">
        <v>2</v>
      </c>
      <c r="M4" s="100">
        <v>3</v>
      </c>
      <c r="N4" s="98"/>
      <c r="O4" s="100">
        <v>1</v>
      </c>
      <c r="P4" s="98"/>
      <c r="Q4" s="100">
        <v>1</v>
      </c>
      <c r="R4" s="100">
        <v>2</v>
      </c>
      <c r="S4" s="100">
        <v>3</v>
      </c>
      <c r="T4" s="98"/>
      <c r="U4" s="100">
        <v>1</v>
      </c>
      <c r="V4" s="100">
        <v>2</v>
      </c>
      <c r="W4" s="100">
        <v>3</v>
      </c>
      <c r="X4" s="98"/>
      <c r="Y4" s="100">
        <v>1</v>
      </c>
      <c r="Z4" s="100">
        <v>2</v>
      </c>
      <c r="AA4" s="100">
        <v>3</v>
      </c>
      <c r="AB4" s="98"/>
      <c r="AC4" s="100">
        <v>1</v>
      </c>
      <c r="AD4" s="100">
        <v>2</v>
      </c>
      <c r="AE4" s="100">
        <v>3</v>
      </c>
      <c r="AF4" s="98"/>
      <c r="AG4" s="100">
        <v>1</v>
      </c>
      <c r="AH4" s="100">
        <v>2</v>
      </c>
      <c r="AI4" s="100">
        <v>3</v>
      </c>
      <c r="AJ4" s="98"/>
      <c r="AK4" s="100">
        <v>1</v>
      </c>
      <c r="AL4" s="100">
        <v>2</v>
      </c>
      <c r="AM4" s="100">
        <v>3</v>
      </c>
      <c r="AN4" s="98"/>
      <c r="AO4" s="100">
        <v>1</v>
      </c>
      <c r="AP4" s="100">
        <v>2</v>
      </c>
      <c r="AQ4" s="100">
        <v>3</v>
      </c>
      <c r="AR4" s="98"/>
      <c r="AS4" s="100">
        <v>1</v>
      </c>
      <c r="AT4" s="100">
        <v>2</v>
      </c>
      <c r="AU4" s="100">
        <v>3</v>
      </c>
      <c r="AV4" s="98"/>
      <c r="AW4" s="100">
        <v>1</v>
      </c>
      <c r="AX4" s="100">
        <v>2</v>
      </c>
      <c r="AY4" s="100">
        <v>3</v>
      </c>
      <c r="AZ4" s="98"/>
      <c r="BA4" s="100">
        <v>1</v>
      </c>
      <c r="BB4" s="100">
        <v>2</v>
      </c>
      <c r="BC4" s="100">
        <v>3</v>
      </c>
      <c r="BD4" s="98"/>
      <c r="BE4" s="100">
        <v>1</v>
      </c>
      <c r="BF4" s="100">
        <v>2</v>
      </c>
      <c r="BG4" s="100">
        <v>3</v>
      </c>
      <c r="BH4" s="98"/>
      <c r="BI4" s="100">
        <v>1</v>
      </c>
      <c r="BJ4" s="100">
        <v>2</v>
      </c>
      <c r="BK4" s="100">
        <v>3</v>
      </c>
      <c r="BL4" s="98"/>
      <c r="BM4" s="100">
        <v>1</v>
      </c>
      <c r="BN4" s="100">
        <v>2</v>
      </c>
      <c r="BO4" s="100">
        <v>3</v>
      </c>
      <c r="BP4" s="98"/>
      <c r="BQ4" s="100"/>
    </row>
    <row r="5" spans="1:69" x14ac:dyDescent="0.2">
      <c r="B5" s="101" t="s">
        <v>0</v>
      </c>
      <c r="C5" s="102">
        <v>75</v>
      </c>
      <c r="D5" s="102">
        <v>119</v>
      </c>
      <c r="E5" s="102">
        <v>90</v>
      </c>
      <c r="F5" s="110">
        <f>AVERAGE(C5:E5)*40</f>
        <v>3786.666666666667</v>
      </c>
      <c r="G5" s="102">
        <v>117</v>
      </c>
      <c r="H5" s="102">
        <v>141</v>
      </c>
      <c r="I5" s="102">
        <v>192</v>
      </c>
      <c r="J5" s="110">
        <f>AVERAGE(G5:I5)*40</f>
        <v>6000</v>
      </c>
      <c r="K5" s="102">
        <v>326</v>
      </c>
      <c r="L5" s="102">
        <v>291</v>
      </c>
      <c r="M5" s="102">
        <v>288</v>
      </c>
      <c r="N5" s="110">
        <f>AVERAGE(K5:M5)*40</f>
        <v>12066.666666666668</v>
      </c>
      <c r="O5" s="102">
        <v>130</v>
      </c>
      <c r="P5" s="110">
        <f>O5*40</f>
        <v>5200</v>
      </c>
      <c r="Q5" s="102">
        <v>24</v>
      </c>
      <c r="R5" s="102">
        <v>18</v>
      </c>
      <c r="S5" s="102">
        <v>22</v>
      </c>
      <c r="T5" s="110">
        <f>AVERAGE(Q5:S5)*40</f>
        <v>853.33333333333326</v>
      </c>
      <c r="U5" s="102">
        <v>102</v>
      </c>
      <c r="V5" s="102">
        <v>142</v>
      </c>
      <c r="W5" s="102">
        <v>150</v>
      </c>
      <c r="X5" s="110">
        <f>AVERAGE(U5:W5)*40</f>
        <v>5253.3333333333339</v>
      </c>
      <c r="Y5" s="102">
        <v>154</v>
      </c>
      <c r="Z5" s="102">
        <v>124</v>
      </c>
      <c r="AA5" s="102">
        <v>118</v>
      </c>
      <c r="AB5" s="110">
        <f>AVERAGE(Y5:AA5)*40</f>
        <v>5280</v>
      </c>
      <c r="AC5" s="102">
        <v>86</v>
      </c>
      <c r="AD5" s="102">
        <v>61</v>
      </c>
      <c r="AE5" s="102">
        <v>109</v>
      </c>
      <c r="AF5" s="110">
        <f>AVERAGE(AC5:AE5)*40</f>
        <v>3413.333333333333</v>
      </c>
      <c r="AG5" s="102">
        <v>73</v>
      </c>
      <c r="AH5" s="102">
        <v>79</v>
      </c>
      <c r="AI5" s="102">
        <v>102</v>
      </c>
      <c r="AJ5" s="110">
        <f>AVERAGE(AG5:AI5)*40</f>
        <v>3386.666666666667</v>
      </c>
      <c r="AK5" s="102">
        <v>57</v>
      </c>
      <c r="AL5" s="102">
        <v>52</v>
      </c>
      <c r="AM5" s="102">
        <v>72</v>
      </c>
      <c r="AN5" s="110">
        <f>AVERAGE(AK5:AM5)*40</f>
        <v>2413.3333333333335</v>
      </c>
      <c r="AO5" s="102">
        <v>44</v>
      </c>
      <c r="AP5" s="102">
        <v>47</v>
      </c>
      <c r="AQ5" s="102">
        <v>47</v>
      </c>
      <c r="AR5" s="110">
        <f>AVERAGE(AO5:AQ5)*40</f>
        <v>1840</v>
      </c>
      <c r="AS5" s="102">
        <v>74</v>
      </c>
      <c r="AT5" s="102">
        <v>27</v>
      </c>
      <c r="AU5" s="102">
        <v>30</v>
      </c>
      <c r="AV5" s="110">
        <f>AVERAGE(AS5:AU5)*40</f>
        <v>1746.6666666666665</v>
      </c>
      <c r="AW5" s="102">
        <v>101</v>
      </c>
      <c r="AX5" s="102">
        <v>119</v>
      </c>
      <c r="AY5" s="102">
        <v>98</v>
      </c>
      <c r="AZ5" s="110">
        <f>AVERAGE(AW5:AY5)*40</f>
        <v>4240</v>
      </c>
      <c r="BA5" s="102">
        <v>78</v>
      </c>
      <c r="BB5" s="102">
        <v>57</v>
      </c>
      <c r="BC5" s="102">
        <v>51</v>
      </c>
      <c r="BD5" s="110">
        <f>AVERAGE(BA5:BC5)*40</f>
        <v>2480</v>
      </c>
      <c r="BE5" s="102">
        <v>95</v>
      </c>
      <c r="BF5" s="102">
        <v>91</v>
      </c>
      <c r="BG5" s="102">
        <v>162</v>
      </c>
      <c r="BH5" s="110">
        <f>AVERAGE(BE5:BG5)*40</f>
        <v>4640</v>
      </c>
      <c r="BI5" s="102">
        <v>55</v>
      </c>
      <c r="BJ5" s="102">
        <v>28</v>
      </c>
      <c r="BK5" s="102">
        <v>36</v>
      </c>
      <c r="BL5" s="110">
        <f>AVERAGE(BI5:BK5)*40</f>
        <v>1586.6666666666665</v>
      </c>
      <c r="BM5" s="102">
        <v>97</v>
      </c>
      <c r="BN5" s="102">
        <v>38</v>
      </c>
      <c r="BO5" s="102">
        <v>54</v>
      </c>
      <c r="BP5" s="110">
        <f>AVERAGE(BM5:BO5)*40</f>
        <v>2520</v>
      </c>
      <c r="BQ5" s="111">
        <f>AVERAGE(F5,J5,N5,P5,T5,X5,AB5,AJ5,AN5,AR5,AV5,AZ5,BD5,BP5)</f>
        <v>4076.1904761904761</v>
      </c>
    </row>
    <row r="6" spans="1:69" x14ac:dyDescent="0.2">
      <c r="B6" s="101" t="s">
        <v>1</v>
      </c>
      <c r="C6" s="102">
        <v>13</v>
      </c>
      <c r="D6" s="102">
        <v>44</v>
      </c>
      <c r="E6" s="102">
        <v>16</v>
      </c>
      <c r="F6" s="110">
        <f t="shared" ref="F6:F9" si="0">AVERAGE(C6:E6)*40</f>
        <v>973.33333333333326</v>
      </c>
      <c r="G6" s="102">
        <v>4</v>
      </c>
      <c r="H6" s="102">
        <v>4</v>
      </c>
      <c r="I6" s="102">
        <v>3</v>
      </c>
      <c r="J6" s="110">
        <f t="shared" ref="J6:J9" si="1">AVERAGE(G6:I6)*40</f>
        <v>146.66666666666666</v>
      </c>
      <c r="K6" s="102">
        <v>7</v>
      </c>
      <c r="L6" s="102">
        <v>8</v>
      </c>
      <c r="M6" s="102">
        <v>6</v>
      </c>
      <c r="N6" s="110">
        <f t="shared" ref="N6:N9" si="2">AVERAGE(K6:M6)*40</f>
        <v>280</v>
      </c>
      <c r="O6" s="102">
        <v>6</v>
      </c>
      <c r="P6" s="110">
        <f t="shared" ref="P6:P8" si="3">O6*40</f>
        <v>240</v>
      </c>
      <c r="Q6" s="102">
        <v>4</v>
      </c>
      <c r="R6" s="102">
        <v>4</v>
      </c>
      <c r="S6" s="102">
        <v>6</v>
      </c>
      <c r="T6" s="110">
        <f t="shared" ref="T6:T9" si="4">AVERAGE(Q6:S6)*40</f>
        <v>186.66666666666669</v>
      </c>
      <c r="U6" s="102">
        <v>15</v>
      </c>
      <c r="V6" s="102">
        <v>9</v>
      </c>
      <c r="W6" s="102">
        <v>3</v>
      </c>
      <c r="X6" s="110">
        <f t="shared" ref="X6:X9" si="5">AVERAGE(U6:W6)*40</f>
        <v>360</v>
      </c>
      <c r="Y6" s="102">
        <v>15</v>
      </c>
      <c r="Z6" s="102">
        <v>12</v>
      </c>
      <c r="AA6" s="102">
        <v>6</v>
      </c>
      <c r="AB6" s="110">
        <f t="shared" ref="AB6:AB9" si="6">AVERAGE(Y6:AA6)*40</f>
        <v>440</v>
      </c>
      <c r="AC6" s="102">
        <v>14</v>
      </c>
      <c r="AD6" s="102">
        <v>10</v>
      </c>
      <c r="AE6" s="102">
        <v>12</v>
      </c>
      <c r="AF6" s="110">
        <f t="shared" ref="AF6:AF9" si="7">AVERAGE(AC6:AE6)*40</f>
        <v>480</v>
      </c>
      <c r="AG6" s="102">
        <v>6</v>
      </c>
      <c r="AH6" s="102">
        <v>13</v>
      </c>
      <c r="AI6" s="102">
        <v>13</v>
      </c>
      <c r="AJ6" s="110">
        <f t="shared" ref="AJ6:AJ9" si="8">AVERAGE(AG6:AI6)*40</f>
        <v>426.66666666666663</v>
      </c>
      <c r="AK6" s="102">
        <v>7</v>
      </c>
      <c r="AL6" s="102">
        <v>8</v>
      </c>
      <c r="AM6" s="102">
        <v>8</v>
      </c>
      <c r="AN6" s="110">
        <f t="shared" ref="AN6:AN9" si="9">AVERAGE(AK6:AM6)*40</f>
        <v>306.66666666666669</v>
      </c>
      <c r="AO6" s="102">
        <v>16</v>
      </c>
      <c r="AP6" s="102">
        <v>14</v>
      </c>
      <c r="AQ6" s="102">
        <v>10</v>
      </c>
      <c r="AR6" s="110">
        <f t="shared" ref="AR6:AR9" si="10">AVERAGE(AO6:AQ6)*40</f>
        <v>533.33333333333337</v>
      </c>
      <c r="AS6" s="102">
        <v>13</v>
      </c>
      <c r="AT6" s="102">
        <v>18</v>
      </c>
      <c r="AU6" s="102">
        <v>14</v>
      </c>
      <c r="AV6" s="110">
        <f t="shared" ref="AV6:AV9" si="11">AVERAGE(AS6:AU6)*40</f>
        <v>600</v>
      </c>
      <c r="AW6" s="102">
        <v>7</v>
      </c>
      <c r="AX6" s="102">
        <v>14</v>
      </c>
      <c r="AY6" s="102">
        <v>10</v>
      </c>
      <c r="AZ6" s="110">
        <f t="shared" ref="AZ6:AZ9" si="12">AVERAGE(AW6:AY6)*40</f>
        <v>413.33333333333337</v>
      </c>
      <c r="BA6" s="102">
        <v>23</v>
      </c>
      <c r="BB6" s="102">
        <v>17</v>
      </c>
      <c r="BC6" s="102">
        <v>20</v>
      </c>
      <c r="BD6" s="110">
        <f t="shared" ref="BD6:BD9" si="13">AVERAGE(BA6:BC6)*40</f>
        <v>800</v>
      </c>
      <c r="BE6" s="102">
        <v>4</v>
      </c>
      <c r="BF6" s="102">
        <v>0</v>
      </c>
      <c r="BG6" s="102">
        <v>4</v>
      </c>
      <c r="BH6" s="110">
        <f t="shared" ref="BH6:BH9" si="14">AVERAGE(BE6:BG6)*40</f>
        <v>106.66666666666666</v>
      </c>
      <c r="BI6" s="102">
        <v>15</v>
      </c>
      <c r="BJ6" s="102">
        <v>8</v>
      </c>
      <c r="BK6" s="102">
        <v>9</v>
      </c>
      <c r="BL6" s="110">
        <f t="shared" ref="BL6:BL9" si="15">AVERAGE(BI6:BK6)*40</f>
        <v>426.66666666666663</v>
      </c>
      <c r="BM6" s="102">
        <v>7</v>
      </c>
      <c r="BN6" s="102">
        <v>5</v>
      </c>
      <c r="BO6" s="102">
        <v>4</v>
      </c>
      <c r="BP6" s="110">
        <f t="shared" ref="BP6:BP9" si="16">AVERAGE(BM6:BO6)*40</f>
        <v>213.33333333333331</v>
      </c>
      <c r="BQ6" s="111">
        <f t="shared" ref="BQ6:BQ9" si="17">AVERAGE(F6,J6,N6,P6,T6,X6,AB6,AJ6,AN6,AR6,AV6,AZ6,BD6,BP6)</f>
        <v>422.85714285714283</v>
      </c>
    </row>
    <row r="7" spans="1:69" x14ac:dyDescent="0.2">
      <c r="B7" s="101" t="s">
        <v>2</v>
      </c>
      <c r="C7" s="102">
        <v>1</v>
      </c>
      <c r="D7" s="102">
        <v>0</v>
      </c>
      <c r="E7" s="102">
        <v>0</v>
      </c>
      <c r="F7" s="110">
        <f t="shared" si="0"/>
        <v>13.333333333333332</v>
      </c>
      <c r="G7" s="102">
        <v>0</v>
      </c>
      <c r="H7" s="102">
        <v>0</v>
      </c>
      <c r="I7" s="102">
        <v>0</v>
      </c>
      <c r="J7" s="110">
        <f t="shared" si="1"/>
        <v>0</v>
      </c>
      <c r="K7" s="102">
        <v>2</v>
      </c>
      <c r="L7" s="102">
        <v>0</v>
      </c>
      <c r="M7" s="102">
        <v>2</v>
      </c>
      <c r="N7" s="110">
        <f t="shared" si="2"/>
        <v>53.333333333333329</v>
      </c>
      <c r="O7" s="102">
        <v>0</v>
      </c>
      <c r="P7" s="110">
        <f t="shared" si="3"/>
        <v>0</v>
      </c>
      <c r="Q7" s="102">
        <v>0</v>
      </c>
      <c r="R7" s="102">
        <v>0</v>
      </c>
      <c r="S7" s="102">
        <v>0</v>
      </c>
      <c r="T7" s="110">
        <f t="shared" si="4"/>
        <v>0</v>
      </c>
      <c r="U7" s="102">
        <v>0</v>
      </c>
      <c r="V7" s="102">
        <v>0</v>
      </c>
      <c r="W7" s="102">
        <v>0</v>
      </c>
      <c r="X7" s="110">
        <f t="shared" si="5"/>
        <v>0</v>
      </c>
      <c r="Y7" s="102">
        <v>3</v>
      </c>
      <c r="Z7" s="102">
        <v>15</v>
      </c>
      <c r="AA7" s="102">
        <v>1</v>
      </c>
      <c r="AB7" s="110">
        <f t="shared" si="6"/>
        <v>253.33333333333331</v>
      </c>
      <c r="AC7" s="102">
        <v>0</v>
      </c>
      <c r="AD7" s="102">
        <v>1</v>
      </c>
      <c r="AE7" s="102">
        <v>0</v>
      </c>
      <c r="AF7" s="110">
        <f t="shared" si="7"/>
        <v>13.333333333333332</v>
      </c>
      <c r="AG7" s="102">
        <v>11</v>
      </c>
      <c r="AH7" s="102">
        <v>17</v>
      </c>
      <c r="AI7" s="102">
        <v>31</v>
      </c>
      <c r="AJ7" s="110">
        <f t="shared" si="8"/>
        <v>786.66666666666674</v>
      </c>
      <c r="AK7" s="102">
        <v>1</v>
      </c>
      <c r="AL7" s="102">
        <v>2</v>
      </c>
      <c r="AM7" s="102">
        <v>0</v>
      </c>
      <c r="AN7" s="110">
        <f t="shared" si="9"/>
        <v>40</v>
      </c>
      <c r="AO7" s="102">
        <v>0</v>
      </c>
      <c r="AP7" s="102">
        <v>0</v>
      </c>
      <c r="AQ7" s="102">
        <v>0</v>
      </c>
      <c r="AR7" s="110">
        <f t="shared" si="10"/>
        <v>0</v>
      </c>
      <c r="AS7" s="102">
        <v>5</v>
      </c>
      <c r="AT7" s="102">
        <v>2</v>
      </c>
      <c r="AU7" s="102">
        <v>0</v>
      </c>
      <c r="AV7" s="110">
        <f t="shared" si="11"/>
        <v>93.333333333333343</v>
      </c>
      <c r="AW7" s="102">
        <v>0</v>
      </c>
      <c r="AX7" s="102">
        <v>0</v>
      </c>
      <c r="AY7" s="102">
        <v>2</v>
      </c>
      <c r="AZ7" s="110">
        <f t="shared" si="12"/>
        <v>26.666666666666664</v>
      </c>
      <c r="BA7" s="102">
        <v>0</v>
      </c>
      <c r="BB7" s="102">
        <v>0</v>
      </c>
      <c r="BC7" s="102">
        <v>0</v>
      </c>
      <c r="BD7" s="110">
        <f t="shared" si="13"/>
        <v>0</v>
      </c>
      <c r="BE7" s="102">
        <v>0</v>
      </c>
      <c r="BF7" s="102">
        <v>0</v>
      </c>
      <c r="BG7" s="102">
        <v>0</v>
      </c>
      <c r="BH7" s="110">
        <f t="shared" si="14"/>
        <v>0</v>
      </c>
      <c r="BI7" s="102">
        <v>0</v>
      </c>
      <c r="BJ7" s="102">
        <v>4</v>
      </c>
      <c r="BK7" s="102">
        <v>1</v>
      </c>
      <c r="BL7" s="110">
        <f t="shared" si="15"/>
        <v>66.666666666666671</v>
      </c>
      <c r="BM7" s="102">
        <v>0</v>
      </c>
      <c r="BN7" s="102">
        <v>0</v>
      </c>
      <c r="BO7" s="102">
        <v>0</v>
      </c>
      <c r="BP7" s="110">
        <f t="shared" si="16"/>
        <v>0</v>
      </c>
      <c r="BQ7" s="111">
        <f t="shared" si="17"/>
        <v>90.476190476190482</v>
      </c>
    </row>
    <row r="8" spans="1:69" x14ac:dyDescent="0.2">
      <c r="B8" s="101" t="s">
        <v>3</v>
      </c>
      <c r="C8" s="102">
        <v>0</v>
      </c>
      <c r="D8" s="102">
        <v>0</v>
      </c>
      <c r="E8" s="102">
        <v>0</v>
      </c>
      <c r="F8" s="110">
        <f t="shared" si="0"/>
        <v>0</v>
      </c>
      <c r="G8" s="102">
        <v>28</v>
      </c>
      <c r="H8" s="102">
        <v>20</v>
      </c>
      <c r="I8" s="102">
        <v>40</v>
      </c>
      <c r="J8" s="110">
        <f t="shared" si="1"/>
        <v>1173.3333333333333</v>
      </c>
      <c r="K8" s="102">
        <v>35</v>
      </c>
      <c r="L8" s="102">
        <v>28</v>
      </c>
      <c r="M8" s="102">
        <v>25</v>
      </c>
      <c r="N8" s="110">
        <f t="shared" si="2"/>
        <v>1173.3333333333333</v>
      </c>
      <c r="O8" s="102">
        <v>8</v>
      </c>
      <c r="P8" s="110">
        <f t="shared" si="3"/>
        <v>320</v>
      </c>
      <c r="Q8" s="102">
        <v>10</v>
      </c>
      <c r="R8" s="102">
        <v>0</v>
      </c>
      <c r="S8" s="102">
        <v>3</v>
      </c>
      <c r="T8" s="110">
        <f t="shared" si="4"/>
        <v>173.33333333333331</v>
      </c>
      <c r="U8" s="102">
        <v>6</v>
      </c>
      <c r="V8" s="102">
        <v>13</v>
      </c>
      <c r="W8" s="102">
        <v>48</v>
      </c>
      <c r="X8" s="110">
        <f t="shared" si="5"/>
        <v>893.33333333333326</v>
      </c>
      <c r="Y8" s="102">
        <v>8</v>
      </c>
      <c r="Z8" s="102">
        <v>5</v>
      </c>
      <c r="AA8" s="102">
        <v>4</v>
      </c>
      <c r="AB8" s="110">
        <f t="shared" si="6"/>
        <v>226.66666666666669</v>
      </c>
      <c r="AC8" s="102">
        <v>12</v>
      </c>
      <c r="AD8" s="102">
        <v>12</v>
      </c>
      <c r="AE8" s="102">
        <v>10</v>
      </c>
      <c r="AF8" s="110">
        <f t="shared" si="7"/>
        <v>453.33333333333337</v>
      </c>
      <c r="AG8" s="102">
        <v>14</v>
      </c>
      <c r="AH8" s="102">
        <v>15</v>
      </c>
      <c r="AI8" s="102">
        <v>10</v>
      </c>
      <c r="AJ8" s="110">
        <f t="shared" si="8"/>
        <v>520</v>
      </c>
      <c r="AK8" s="102">
        <v>19</v>
      </c>
      <c r="AL8" s="102">
        <v>12</v>
      </c>
      <c r="AM8" s="102">
        <v>9</v>
      </c>
      <c r="AN8" s="110">
        <f t="shared" si="9"/>
        <v>533.33333333333337</v>
      </c>
      <c r="AO8" s="102">
        <v>38</v>
      </c>
      <c r="AP8" s="102">
        <v>30</v>
      </c>
      <c r="AQ8" s="102">
        <v>28</v>
      </c>
      <c r="AR8" s="110">
        <f t="shared" si="10"/>
        <v>1280</v>
      </c>
      <c r="AS8" s="102">
        <v>8</v>
      </c>
      <c r="AT8" s="102">
        <v>10</v>
      </c>
      <c r="AU8" s="102">
        <v>10</v>
      </c>
      <c r="AV8" s="110">
        <f t="shared" si="11"/>
        <v>373.33333333333337</v>
      </c>
      <c r="AW8" s="102">
        <v>18</v>
      </c>
      <c r="AX8" s="102">
        <v>12</v>
      </c>
      <c r="AY8" s="102">
        <v>10</v>
      </c>
      <c r="AZ8" s="110">
        <f t="shared" si="12"/>
        <v>533.33333333333337</v>
      </c>
      <c r="BA8" s="102">
        <v>25</v>
      </c>
      <c r="BB8" s="102">
        <v>30</v>
      </c>
      <c r="BC8" s="102">
        <v>19</v>
      </c>
      <c r="BD8" s="110">
        <f t="shared" si="13"/>
        <v>986.66666666666674</v>
      </c>
      <c r="BE8" s="102">
        <v>14</v>
      </c>
      <c r="BF8" s="102">
        <v>20</v>
      </c>
      <c r="BG8" s="102">
        <v>18</v>
      </c>
      <c r="BH8" s="110">
        <f t="shared" si="14"/>
        <v>693.33333333333326</v>
      </c>
      <c r="BI8" s="102">
        <v>8</v>
      </c>
      <c r="BJ8" s="102">
        <v>8</v>
      </c>
      <c r="BK8" s="102">
        <v>12</v>
      </c>
      <c r="BL8" s="110">
        <f t="shared" si="15"/>
        <v>373.33333333333337</v>
      </c>
      <c r="BM8" s="102">
        <v>10</v>
      </c>
      <c r="BN8" s="102">
        <v>30</v>
      </c>
      <c r="BO8" s="102">
        <v>10</v>
      </c>
      <c r="BP8" s="110">
        <f t="shared" si="16"/>
        <v>666.66666666666674</v>
      </c>
      <c r="BQ8" s="111">
        <f t="shared" si="17"/>
        <v>632.38095238095229</v>
      </c>
    </row>
    <row r="9" spans="1:69" x14ac:dyDescent="0.2">
      <c r="B9" s="101" t="s">
        <v>4</v>
      </c>
      <c r="C9" s="102">
        <v>1</v>
      </c>
      <c r="D9" s="102">
        <v>1</v>
      </c>
      <c r="E9" s="102">
        <v>1</v>
      </c>
      <c r="F9" s="110">
        <f t="shared" si="0"/>
        <v>40</v>
      </c>
      <c r="G9" s="102">
        <v>1</v>
      </c>
      <c r="H9" s="102">
        <v>2</v>
      </c>
      <c r="I9" s="102">
        <v>1</v>
      </c>
      <c r="J9" s="110">
        <f t="shared" si="1"/>
        <v>53.333333333333329</v>
      </c>
      <c r="K9" s="102">
        <v>3</v>
      </c>
      <c r="L9" s="102">
        <v>6</v>
      </c>
      <c r="M9" s="102">
        <v>4</v>
      </c>
      <c r="N9" s="110">
        <f t="shared" si="2"/>
        <v>173.33333333333331</v>
      </c>
      <c r="O9" s="102">
        <v>0</v>
      </c>
      <c r="P9" s="110">
        <f>O9*40</f>
        <v>0</v>
      </c>
      <c r="Q9" s="102">
        <v>0</v>
      </c>
      <c r="R9" s="102">
        <v>0</v>
      </c>
      <c r="S9" s="102">
        <v>0</v>
      </c>
      <c r="T9" s="110">
        <f t="shared" si="4"/>
        <v>0</v>
      </c>
      <c r="U9" s="102">
        <v>18</v>
      </c>
      <c r="V9" s="102">
        <v>10</v>
      </c>
      <c r="W9" s="102">
        <v>14</v>
      </c>
      <c r="X9" s="110">
        <f t="shared" si="5"/>
        <v>560</v>
      </c>
      <c r="Y9" s="102">
        <v>560</v>
      </c>
      <c r="Z9" s="102">
        <v>757</v>
      </c>
      <c r="AA9" s="102">
        <v>926</v>
      </c>
      <c r="AB9" s="110">
        <f t="shared" si="6"/>
        <v>29906.666666666664</v>
      </c>
      <c r="AC9" s="102">
        <v>4</v>
      </c>
      <c r="AD9" s="102">
        <v>4</v>
      </c>
      <c r="AE9" s="102">
        <v>3</v>
      </c>
      <c r="AF9" s="110">
        <f t="shared" si="7"/>
        <v>146.66666666666666</v>
      </c>
      <c r="AG9" s="102">
        <v>11</v>
      </c>
      <c r="AH9" s="102">
        <v>7</v>
      </c>
      <c r="AI9" s="102">
        <v>7</v>
      </c>
      <c r="AJ9" s="110">
        <f t="shared" si="8"/>
        <v>333.33333333333337</v>
      </c>
      <c r="AK9" s="102">
        <v>0</v>
      </c>
      <c r="AL9" s="102">
        <v>1</v>
      </c>
      <c r="AM9" s="102">
        <v>0</v>
      </c>
      <c r="AN9" s="110">
        <f t="shared" si="9"/>
        <v>13.333333333333332</v>
      </c>
      <c r="AO9" s="102">
        <v>2</v>
      </c>
      <c r="AP9" s="102">
        <v>4</v>
      </c>
      <c r="AQ9" s="102">
        <v>4</v>
      </c>
      <c r="AR9" s="110">
        <f t="shared" si="10"/>
        <v>133.33333333333334</v>
      </c>
      <c r="AS9" s="102">
        <v>1</v>
      </c>
      <c r="AT9" s="102">
        <v>4</v>
      </c>
      <c r="AU9" s="102">
        <v>1</v>
      </c>
      <c r="AV9" s="110">
        <f t="shared" si="11"/>
        <v>80</v>
      </c>
      <c r="AW9" s="102">
        <v>0</v>
      </c>
      <c r="AX9" s="102">
        <v>0</v>
      </c>
      <c r="AY9" s="102">
        <v>1</v>
      </c>
      <c r="AZ9" s="110">
        <f t="shared" si="12"/>
        <v>13.333333333333332</v>
      </c>
      <c r="BA9" s="102">
        <v>6</v>
      </c>
      <c r="BB9" s="102">
        <v>5</v>
      </c>
      <c r="BC9" s="102">
        <v>2</v>
      </c>
      <c r="BD9" s="110">
        <f t="shared" si="13"/>
        <v>173.33333333333331</v>
      </c>
      <c r="BE9" s="102">
        <v>2</v>
      </c>
      <c r="BF9" s="102">
        <v>1</v>
      </c>
      <c r="BG9" s="102">
        <v>2</v>
      </c>
      <c r="BH9" s="110">
        <f t="shared" si="14"/>
        <v>66.666666666666671</v>
      </c>
      <c r="BI9" s="102">
        <v>11</v>
      </c>
      <c r="BJ9" s="102">
        <v>1</v>
      </c>
      <c r="BK9" s="102">
        <v>11</v>
      </c>
      <c r="BL9" s="110">
        <f t="shared" si="15"/>
        <v>306.66666666666669</v>
      </c>
      <c r="BM9" s="102">
        <v>0</v>
      </c>
      <c r="BN9" s="102">
        <v>0</v>
      </c>
      <c r="BO9" s="102">
        <v>0</v>
      </c>
      <c r="BP9" s="110">
        <f t="shared" si="16"/>
        <v>0</v>
      </c>
      <c r="BQ9" s="111">
        <f t="shared" si="17"/>
        <v>2248.571428571428</v>
      </c>
    </row>
    <row r="12" spans="1:69" x14ac:dyDescent="0.2">
      <c r="B12" s="95" t="s">
        <v>200</v>
      </c>
      <c r="C12" s="96" t="s">
        <v>201</v>
      </c>
      <c r="D12" s="96"/>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row>
    <row r="13" spans="1:69" x14ac:dyDescent="0.2">
      <c r="B13" s="97"/>
      <c r="C13" s="98" t="s">
        <v>202</v>
      </c>
      <c r="D13" s="98" t="s">
        <v>203</v>
      </c>
      <c r="E13" s="98" t="s">
        <v>204</v>
      </c>
      <c r="F13" s="98" t="s">
        <v>205</v>
      </c>
      <c r="G13" s="98" t="s">
        <v>216</v>
      </c>
      <c r="H13" s="98"/>
      <c r="I13" s="98"/>
      <c r="J13" s="98" t="s">
        <v>217</v>
      </c>
      <c r="K13" s="98" t="s">
        <v>236</v>
      </c>
      <c r="L13" s="98"/>
      <c r="M13" s="98"/>
      <c r="N13" s="98" t="s">
        <v>237</v>
      </c>
      <c r="O13" s="98" t="s">
        <v>220</v>
      </c>
      <c r="P13" s="98"/>
      <c r="Q13" s="98"/>
      <c r="R13" s="98" t="s">
        <v>221</v>
      </c>
      <c r="S13" s="98" t="s">
        <v>222</v>
      </c>
      <c r="T13" s="98"/>
      <c r="U13" s="98" t="s">
        <v>223</v>
      </c>
      <c r="V13" s="98" t="s">
        <v>224</v>
      </c>
      <c r="W13" s="98"/>
      <c r="X13" s="98" t="s">
        <v>225</v>
      </c>
      <c r="Y13" s="98" t="s">
        <v>226</v>
      </c>
      <c r="Z13" s="98"/>
      <c r="AA13" s="98" t="s">
        <v>227</v>
      </c>
      <c r="AB13" s="98" t="s">
        <v>228</v>
      </c>
      <c r="AC13" s="98"/>
      <c r="AD13" s="98"/>
      <c r="AE13" s="98" t="s">
        <v>229</v>
      </c>
      <c r="AF13" s="98" t="s">
        <v>230</v>
      </c>
      <c r="AG13" s="98" t="s">
        <v>231</v>
      </c>
    </row>
    <row r="14" spans="1:69" x14ac:dyDescent="0.2">
      <c r="A14">
        <v>2001</v>
      </c>
      <c r="B14" s="100" t="s">
        <v>5</v>
      </c>
      <c r="C14" s="100">
        <v>1</v>
      </c>
      <c r="D14" s="98"/>
      <c r="E14" s="100">
        <v>1</v>
      </c>
      <c r="F14" s="98"/>
      <c r="G14" s="100">
        <v>1</v>
      </c>
      <c r="H14" s="100">
        <v>2</v>
      </c>
      <c r="I14" s="100">
        <v>3</v>
      </c>
      <c r="J14" s="98"/>
      <c r="K14" s="100">
        <v>1</v>
      </c>
      <c r="L14" s="100">
        <v>2</v>
      </c>
      <c r="M14" s="100">
        <v>3</v>
      </c>
      <c r="N14" s="98"/>
      <c r="O14" s="100">
        <v>1</v>
      </c>
      <c r="P14" s="100">
        <v>2</v>
      </c>
      <c r="Q14" s="100">
        <v>3</v>
      </c>
      <c r="R14" s="98"/>
      <c r="S14" s="100">
        <v>1</v>
      </c>
      <c r="T14" s="100">
        <v>2</v>
      </c>
      <c r="U14" s="98"/>
      <c r="V14" s="100">
        <v>1</v>
      </c>
      <c r="W14" s="100">
        <v>2</v>
      </c>
      <c r="X14" s="98"/>
      <c r="Y14" s="100">
        <v>1</v>
      </c>
      <c r="Z14" s="100">
        <v>2</v>
      </c>
      <c r="AA14" s="98"/>
      <c r="AB14" s="100">
        <v>1</v>
      </c>
      <c r="AC14" s="100">
        <v>2</v>
      </c>
      <c r="AD14" s="100">
        <v>3</v>
      </c>
      <c r="AE14" s="98"/>
      <c r="AF14" s="100">
        <v>1</v>
      </c>
      <c r="AG14" s="98"/>
    </row>
    <row r="15" spans="1:69" x14ac:dyDescent="0.2">
      <c r="B15" s="101" t="s">
        <v>0</v>
      </c>
      <c r="C15" s="102">
        <v>108</v>
      </c>
      <c r="D15" s="110">
        <f>C15*40</f>
        <v>4320</v>
      </c>
      <c r="E15" s="102">
        <v>212</v>
      </c>
      <c r="F15" s="110">
        <f>E15*40</f>
        <v>8480</v>
      </c>
      <c r="G15" s="102">
        <v>64</v>
      </c>
      <c r="H15" s="102">
        <v>79</v>
      </c>
      <c r="I15" s="102">
        <v>86</v>
      </c>
      <c r="J15" s="110">
        <f>AVERAGE(G15:I15)*40</f>
        <v>3053.333333333333</v>
      </c>
      <c r="K15" s="102">
        <v>73</v>
      </c>
      <c r="L15" s="102">
        <v>46</v>
      </c>
      <c r="M15" s="102">
        <v>41</v>
      </c>
      <c r="N15" s="110">
        <f>AVERAGE(K15:M15)*40</f>
        <v>2133.3333333333335</v>
      </c>
      <c r="O15" s="102">
        <v>49</v>
      </c>
      <c r="P15" s="102">
        <v>65</v>
      </c>
      <c r="Q15" s="102">
        <v>57</v>
      </c>
      <c r="R15" s="110">
        <f>AVERAGE(O15:Q15)*40</f>
        <v>2280</v>
      </c>
      <c r="S15" s="102">
        <v>82</v>
      </c>
      <c r="T15" s="102">
        <v>41</v>
      </c>
      <c r="U15" s="110">
        <f>AVERAGE(S15:T15)*40</f>
        <v>2460</v>
      </c>
      <c r="V15" s="102">
        <v>70</v>
      </c>
      <c r="W15" s="102">
        <v>58</v>
      </c>
      <c r="X15" s="110">
        <f>AVERAGE(V15:W15)*40</f>
        <v>2560</v>
      </c>
      <c r="Y15" s="102">
        <v>97</v>
      </c>
      <c r="Z15" s="102">
        <v>96</v>
      </c>
      <c r="AA15" s="110">
        <f>AVERAGE(Y15:Z15)*40</f>
        <v>3860</v>
      </c>
      <c r="AB15" s="102">
        <v>41</v>
      </c>
      <c r="AC15" s="102">
        <v>55</v>
      </c>
      <c r="AD15" s="102">
        <v>41</v>
      </c>
      <c r="AE15" s="110">
        <f>AVERAGE(AB15:AD15)*40</f>
        <v>1826.6666666666665</v>
      </c>
      <c r="AF15" s="102">
        <v>66</v>
      </c>
      <c r="AG15" s="110">
        <f>AF15*40</f>
        <v>2640</v>
      </c>
    </row>
    <row r="16" spans="1:69" x14ac:dyDescent="0.2">
      <c r="B16" s="101" t="s">
        <v>1</v>
      </c>
      <c r="C16" s="102">
        <v>16</v>
      </c>
      <c r="D16" s="110">
        <f t="shared" ref="D16:D18" si="18">C16*40</f>
        <v>640</v>
      </c>
      <c r="E16" s="102">
        <v>10</v>
      </c>
      <c r="F16" s="110">
        <f t="shared" ref="F16:F18" si="19">E16*40</f>
        <v>400</v>
      </c>
      <c r="G16" s="102">
        <v>10</v>
      </c>
      <c r="H16" s="102">
        <v>8</v>
      </c>
      <c r="I16" s="102">
        <v>7</v>
      </c>
      <c r="J16" s="110">
        <f t="shared" ref="J16:J19" si="20">AVERAGE(G16:I16)*40</f>
        <v>333.33333333333337</v>
      </c>
      <c r="K16" s="102">
        <v>19</v>
      </c>
      <c r="L16" s="102">
        <v>15</v>
      </c>
      <c r="M16" s="102">
        <v>19</v>
      </c>
      <c r="N16" s="110">
        <f t="shared" ref="N16:N19" si="21">AVERAGE(K16:M16)*40</f>
        <v>706.66666666666674</v>
      </c>
      <c r="O16" s="102">
        <v>14</v>
      </c>
      <c r="P16" s="102">
        <v>14</v>
      </c>
      <c r="Q16" s="102">
        <v>15</v>
      </c>
      <c r="R16" s="110">
        <f t="shared" ref="R16:R19" si="22">AVERAGE(O16:Q16)*40</f>
        <v>573.33333333333337</v>
      </c>
      <c r="S16" s="102">
        <v>15</v>
      </c>
      <c r="T16" s="102">
        <v>16</v>
      </c>
      <c r="U16" s="110">
        <f t="shared" ref="U16:U19" si="23">AVERAGE(S16:T16)*40</f>
        <v>620</v>
      </c>
      <c r="V16" s="102">
        <v>22</v>
      </c>
      <c r="W16" s="102">
        <v>26</v>
      </c>
      <c r="X16" s="110">
        <f t="shared" ref="X16:X19" si="24">AVERAGE(V16:W16)*40</f>
        <v>960</v>
      </c>
      <c r="Y16" s="102">
        <v>9</v>
      </c>
      <c r="Z16" s="102">
        <v>18</v>
      </c>
      <c r="AA16" s="110">
        <f t="shared" ref="AA16:AA19" si="25">AVERAGE(Y16:Z16)*40</f>
        <v>540</v>
      </c>
      <c r="AB16" s="102">
        <v>12</v>
      </c>
      <c r="AC16" s="102">
        <v>10</v>
      </c>
      <c r="AD16" s="102">
        <v>13</v>
      </c>
      <c r="AE16" s="110">
        <f t="shared" ref="AE16:AE19" si="26">AVERAGE(AB16:AD16)*40</f>
        <v>466.66666666666663</v>
      </c>
      <c r="AF16" s="102">
        <v>6</v>
      </c>
      <c r="AG16" s="110">
        <f t="shared" ref="AG16:AG18" si="27">AF16*40</f>
        <v>240</v>
      </c>
    </row>
    <row r="17" spans="1:47" x14ac:dyDescent="0.2">
      <c r="B17" s="101" t="s">
        <v>2</v>
      </c>
      <c r="C17" s="102">
        <v>0</v>
      </c>
      <c r="D17" s="110">
        <f t="shared" si="18"/>
        <v>0</v>
      </c>
      <c r="E17" s="102">
        <v>0</v>
      </c>
      <c r="F17" s="110">
        <f t="shared" si="19"/>
        <v>0</v>
      </c>
      <c r="G17" s="102">
        <v>4</v>
      </c>
      <c r="H17" s="102">
        <v>2</v>
      </c>
      <c r="I17" s="102">
        <v>2</v>
      </c>
      <c r="J17" s="110">
        <f t="shared" si="20"/>
        <v>106.66666666666666</v>
      </c>
      <c r="K17" s="102">
        <v>1</v>
      </c>
      <c r="L17" s="102">
        <v>0</v>
      </c>
      <c r="M17" s="102">
        <v>2</v>
      </c>
      <c r="N17" s="110">
        <f t="shared" si="21"/>
        <v>40</v>
      </c>
      <c r="O17" s="102">
        <v>0</v>
      </c>
      <c r="P17" s="102">
        <v>1</v>
      </c>
      <c r="Q17" s="102">
        <v>0</v>
      </c>
      <c r="R17" s="110">
        <f t="shared" si="22"/>
        <v>13.333333333333332</v>
      </c>
      <c r="S17" s="102">
        <v>0</v>
      </c>
      <c r="T17" s="102">
        <v>0</v>
      </c>
      <c r="U17" s="110">
        <f t="shared" si="23"/>
        <v>0</v>
      </c>
      <c r="V17" s="102">
        <v>3</v>
      </c>
      <c r="W17" s="102">
        <v>7</v>
      </c>
      <c r="X17" s="110">
        <f t="shared" si="24"/>
        <v>200</v>
      </c>
      <c r="Y17" s="102">
        <v>0</v>
      </c>
      <c r="Z17" s="102">
        <v>0</v>
      </c>
      <c r="AA17" s="110">
        <f t="shared" si="25"/>
        <v>0</v>
      </c>
      <c r="AB17" s="102">
        <v>1</v>
      </c>
      <c r="AC17" s="102">
        <v>1</v>
      </c>
      <c r="AD17" s="102">
        <v>0</v>
      </c>
      <c r="AE17" s="110">
        <f t="shared" si="26"/>
        <v>26.666666666666664</v>
      </c>
      <c r="AF17" s="102">
        <v>0</v>
      </c>
      <c r="AG17" s="110">
        <f t="shared" si="27"/>
        <v>0</v>
      </c>
    </row>
    <row r="18" spans="1:47" x14ac:dyDescent="0.2">
      <c r="B18" s="101" t="s">
        <v>3</v>
      </c>
      <c r="C18" s="102">
        <v>10</v>
      </c>
      <c r="D18" s="110">
        <f t="shared" si="18"/>
        <v>400</v>
      </c>
      <c r="E18" s="102">
        <v>44</v>
      </c>
      <c r="F18" s="110">
        <f t="shared" si="19"/>
        <v>1760</v>
      </c>
      <c r="G18" s="102">
        <v>20</v>
      </c>
      <c r="H18" s="102">
        <v>24</v>
      </c>
      <c r="I18" s="102">
        <v>32</v>
      </c>
      <c r="J18" s="110">
        <f t="shared" si="20"/>
        <v>1013.3333333333333</v>
      </c>
      <c r="K18" s="102">
        <v>23</v>
      </c>
      <c r="L18" s="102">
        <v>25</v>
      </c>
      <c r="M18" s="102">
        <v>18</v>
      </c>
      <c r="N18" s="110">
        <f t="shared" si="21"/>
        <v>880</v>
      </c>
      <c r="O18" s="102">
        <v>35</v>
      </c>
      <c r="P18" s="102">
        <v>34</v>
      </c>
      <c r="Q18" s="102">
        <v>17</v>
      </c>
      <c r="R18" s="110">
        <f t="shared" si="22"/>
        <v>1146.6666666666667</v>
      </c>
      <c r="S18" s="102">
        <v>22</v>
      </c>
      <c r="T18" s="102">
        <v>22</v>
      </c>
      <c r="U18" s="110">
        <f t="shared" si="23"/>
        <v>880</v>
      </c>
      <c r="V18" s="102">
        <v>21</v>
      </c>
      <c r="W18" s="102">
        <v>13</v>
      </c>
      <c r="X18" s="110">
        <f t="shared" si="24"/>
        <v>680</v>
      </c>
      <c r="Y18" s="102">
        <v>39</v>
      </c>
      <c r="Z18" s="102">
        <v>49</v>
      </c>
      <c r="AA18" s="110">
        <f t="shared" si="25"/>
        <v>1760</v>
      </c>
      <c r="AB18" s="102">
        <v>41</v>
      </c>
      <c r="AC18" s="102">
        <v>20</v>
      </c>
      <c r="AD18" s="102">
        <v>32</v>
      </c>
      <c r="AE18" s="110">
        <f t="shared" si="26"/>
        <v>1240</v>
      </c>
      <c r="AF18" s="102">
        <v>40</v>
      </c>
      <c r="AG18" s="110">
        <f t="shared" si="27"/>
        <v>1600</v>
      </c>
    </row>
    <row r="19" spans="1:47" x14ac:dyDescent="0.2">
      <c r="B19" s="101" t="s">
        <v>4</v>
      </c>
      <c r="C19" s="102">
        <v>1</v>
      </c>
      <c r="D19" s="110">
        <f>C19*40</f>
        <v>40</v>
      </c>
      <c r="E19" s="102">
        <v>2</v>
      </c>
      <c r="F19" s="110">
        <f>E19*40</f>
        <v>80</v>
      </c>
      <c r="G19" s="102">
        <v>13</v>
      </c>
      <c r="H19" s="102">
        <v>55</v>
      </c>
      <c r="I19" s="102">
        <v>156</v>
      </c>
      <c r="J19" s="110">
        <f t="shared" si="20"/>
        <v>2986.666666666667</v>
      </c>
      <c r="K19" s="102">
        <v>42</v>
      </c>
      <c r="L19" s="102">
        <v>95</v>
      </c>
      <c r="M19" s="102">
        <v>40</v>
      </c>
      <c r="N19" s="110">
        <f t="shared" si="21"/>
        <v>2360</v>
      </c>
      <c r="O19" s="102">
        <v>0</v>
      </c>
      <c r="P19" s="102">
        <v>1</v>
      </c>
      <c r="Q19" s="102">
        <v>1</v>
      </c>
      <c r="R19" s="110">
        <f t="shared" si="22"/>
        <v>26.666666666666664</v>
      </c>
      <c r="S19" s="102">
        <v>2</v>
      </c>
      <c r="T19" s="102">
        <v>3</v>
      </c>
      <c r="U19" s="110">
        <f t="shared" si="23"/>
        <v>100</v>
      </c>
      <c r="V19" s="102">
        <v>6</v>
      </c>
      <c r="W19" s="102">
        <v>23</v>
      </c>
      <c r="X19" s="110">
        <f t="shared" si="24"/>
        <v>580</v>
      </c>
      <c r="Y19" s="102">
        <v>0</v>
      </c>
      <c r="Z19" s="102">
        <v>3</v>
      </c>
      <c r="AA19" s="110">
        <f t="shared" si="25"/>
        <v>60</v>
      </c>
      <c r="AB19" s="102">
        <v>4</v>
      </c>
      <c r="AC19" s="102">
        <v>2</v>
      </c>
      <c r="AD19" s="102">
        <v>3</v>
      </c>
      <c r="AE19" s="110">
        <f t="shared" si="26"/>
        <v>120</v>
      </c>
      <c r="AF19" s="102">
        <v>2</v>
      </c>
      <c r="AG19" s="110">
        <f>AF19*40</f>
        <v>80</v>
      </c>
    </row>
    <row r="22" spans="1:47" x14ac:dyDescent="0.2">
      <c r="A22">
        <v>2005</v>
      </c>
      <c r="B22" s="103" t="s">
        <v>200</v>
      </c>
      <c r="C22" s="104" t="s">
        <v>201</v>
      </c>
      <c r="D22" s="104"/>
      <c r="E22" s="104"/>
      <c r="F22" s="104"/>
      <c r="G22" s="104"/>
      <c r="H22" s="104"/>
      <c r="I22" s="104"/>
      <c r="J22" s="104"/>
      <c r="K22" s="104"/>
      <c r="L22" s="104"/>
      <c r="M22" s="104"/>
      <c r="N22" s="104"/>
      <c r="O22" s="104"/>
      <c r="P22" s="104"/>
      <c r="Q22" s="104"/>
      <c r="R22" s="104"/>
    </row>
    <row r="23" spans="1:47" x14ac:dyDescent="0.2">
      <c r="B23" s="105"/>
      <c r="C23" s="106" t="s">
        <v>216</v>
      </c>
      <c r="D23" s="106" t="s">
        <v>217</v>
      </c>
      <c r="E23" s="106" t="s">
        <v>218</v>
      </c>
      <c r="F23" s="106"/>
      <c r="G23" s="106" t="s">
        <v>219</v>
      </c>
      <c r="H23" s="106" t="s">
        <v>220</v>
      </c>
      <c r="I23" s="106" t="s">
        <v>221</v>
      </c>
      <c r="J23" s="106" t="s">
        <v>238</v>
      </c>
      <c r="K23" s="106" t="s">
        <v>239</v>
      </c>
      <c r="L23" s="106" t="s">
        <v>224</v>
      </c>
      <c r="M23" s="106"/>
      <c r="N23" s="106" t="s">
        <v>225</v>
      </c>
      <c r="O23" s="106" t="s">
        <v>228</v>
      </c>
      <c r="P23" s="106" t="s">
        <v>229</v>
      </c>
      <c r="Q23" s="106" t="s">
        <v>240</v>
      </c>
      <c r="R23" s="106" t="s">
        <v>241</v>
      </c>
    </row>
    <row r="24" spans="1:47" x14ac:dyDescent="0.2">
      <c r="B24" s="107" t="s">
        <v>5</v>
      </c>
      <c r="C24" s="107">
        <v>1</v>
      </c>
      <c r="D24" s="106"/>
      <c r="E24" s="107">
        <v>1</v>
      </c>
      <c r="F24" s="107">
        <v>2</v>
      </c>
      <c r="G24" s="106"/>
      <c r="H24" s="107">
        <v>1</v>
      </c>
      <c r="I24" s="106"/>
      <c r="J24" s="107">
        <v>1</v>
      </c>
      <c r="K24" s="106"/>
      <c r="L24" s="107">
        <v>1</v>
      </c>
      <c r="M24" s="107">
        <v>2</v>
      </c>
      <c r="N24" s="106"/>
      <c r="O24" s="107">
        <v>1</v>
      </c>
      <c r="P24" s="106"/>
      <c r="Q24" s="107">
        <v>1</v>
      </c>
      <c r="R24" s="106"/>
    </row>
    <row r="25" spans="1:47" x14ac:dyDescent="0.2">
      <c r="B25" s="108" t="s">
        <v>0</v>
      </c>
      <c r="C25" s="109">
        <v>67</v>
      </c>
      <c r="D25" s="110">
        <f>C25*40</f>
        <v>2680</v>
      </c>
      <c r="E25" s="109">
        <v>83</v>
      </c>
      <c r="F25" s="109">
        <v>56</v>
      </c>
      <c r="G25" s="110">
        <f>AVERAGE(E25:F25)*40</f>
        <v>2780</v>
      </c>
      <c r="H25" s="109">
        <v>109</v>
      </c>
      <c r="I25" s="110">
        <f>H25*40</f>
        <v>4360</v>
      </c>
      <c r="J25" s="109">
        <v>100</v>
      </c>
      <c r="K25" s="110">
        <f>J25*40</f>
        <v>4000</v>
      </c>
      <c r="L25" s="109">
        <v>73</v>
      </c>
      <c r="M25" s="109">
        <v>51</v>
      </c>
      <c r="N25" s="110">
        <f>AVERAGE(L25:M25)*40</f>
        <v>2480</v>
      </c>
      <c r="O25" s="109">
        <v>82</v>
      </c>
      <c r="P25" s="110">
        <f>O25*40</f>
        <v>3280</v>
      </c>
      <c r="Q25" s="109">
        <v>110</v>
      </c>
      <c r="R25" s="110">
        <f>Q25*40</f>
        <v>4400</v>
      </c>
    </row>
    <row r="26" spans="1:47" x14ac:dyDescent="0.2">
      <c r="B26" s="108" t="s">
        <v>1</v>
      </c>
      <c r="C26" s="109">
        <v>20</v>
      </c>
      <c r="D26" s="110">
        <f t="shared" ref="D26:D28" si="28">C26*40</f>
        <v>800</v>
      </c>
      <c r="E26" s="109">
        <v>29</v>
      </c>
      <c r="F26" s="109">
        <v>10</v>
      </c>
      <c r="G26" s="110">
        <f t="shared" ref="G26:G29" si="29">AVERAGE(E26:F26)*40</f>
        <v>780</v>
      </c>
      <c r="H26" s="109">
        <v>4</v>
      </c>
      <c r="I26" s="110">
        <f t="shared" ref="I26:I28" si="30">H26*40</f>
        <v>160</v>
      </c>
      <c r="J26" s="109">
        <v>10</v>
      </c>
      <c r="K26" s="110">
        <f t="shared" ref="K26:K28" si="31">J26*40</f>
        <v>400</v>
      </c>
      <c r="L26" s="109">
        <v>21</v>
      </c>
      <c r="M26" s="109">
        <v>18</v>
      </c>
      <c r="N26" s="110">
        <f t="shared" ref="N26:N29" si="32">AVERAGE(L26:M26)*40</f>
        <v>780</v>
      </c>
      <c r="O26" s="109">
        <v>40</v>
      </c>
      <c r="P26" s="110">
        <f t="shared" ref="P26:P28" si="33">O26*40</f>
        <v>1600</v>
      </c>
      <c r="Q26" s="109">
        <v>20</v>
      </c>
      <c r="R26" s="110">
        <f t="shared" ref="R26:R28" si="34">Q26*40</f>
        <v>800</v>
      </c>
    </row>
    <row r="27" spans="1:47" x14ac:dyDescent="0.2">
      <c r="B27" s="108" t="s">
        <v>2</v>
      </c>
      <c r="C27" s="109">
        <v>5</v>
      </c>
      <c r="D27" s="110">
        <f t="shared" si="28"/>
        <v>200</v>
      </c>
      <c r="E27" s="109">
        <v>15</v>
      </c>
      <c r="F27" s="109">
        <v>1</v>
      </c>
      <c r="G27" s="110">
        <f t="shared" si="29"/>
        <v>320</v>
      </c>
      <c r="H27" s="109">
        <v>1</v>
      </c>
      <c r="I27" s="110">
        <f t="shared" si="30"/>
        <v>40</v>
      </c>
      <c r="J27" s="109">
        <v>1</v>
      </c>
      <c r="K27" s="110">
        <f t="shared" si="31"/>
        <v>40</v>
      </c>
      <c r="L27" s="109">
        <v>2</v>
      </c>
      <c r="M27" s="109">
        <v>4</v>
      </c>
      <c r="N27" s="110">
        <f t="shared" si="32"/>
        <v>120</v>
      </c>
      <c r="O27" s="109">
        <v>2</v>
      </c>
      <c r="P27" s="110">
        <f t="shared" si="33"/>
        <v>80</v>
      </c>
      <c r="Q27" s="109">
        <v>1</v>
      </c>
      <c r="R27" s="110">
        <f t="shared" si="34"/>
        <v>40</v>
      </c>
    </row>
    <row r="28" spans="1:47" x14ac:dyDescent="0.2">
      <c r="B28" s="108" t="s">
        <v>3</v>
      </c>
      <c r="C28" s="109">
        <v>4</v>
      </c>
      <c r="D28" s="110">
        <f t="shared" si="28"/>
        <v>160</v>
      </c>
      <c r="E28" s="109">
        <v>19</v>
      </c>
      <c r="F28" s="109">
        <v>20</v>
      </c>
      <c r="G28" s="110">
        <f t="shared" si="29"/>
        <v>780</v>
      </c>
      <c r="H28" s="109">
        <v>19</v>
      </c>
      <c r="I28" s="110">
        <f t="shared" si="30"/>
        <v>760</v>
      </c>
      <c r="J28" s="109">
        <v>6</v>
      </c>
      <c r="K28" s="110">
        <f t="shared" si="31"/>
        <v>240</v>
      </c>
      <c r="L28" s="109">
        <v>5</v>
      </c>
      <c r="M28" s="109">
        <v>13</v>
      </c>
      <c r="N28" s="110">
        <f t="shared" si="32"/>
        <v>360</v>
      </c>
      <c r="O28" s="109">
        <v>7</v>
      </c>
      <c r="P28" s="110">
        <f t="shared" si="33"/>
        <v>280</v>
      </c>
      <c r="Q28" s="109">
        <v>37</v>
      </c>
      <c r="R28" s="110">
        <f t="shared" si="34"/>
        <v>1480</v>
      </c>
    </row>
    <row r="29" spans="1:47" x14ac:dyDescent="0.2">
      <c r="B29" s="108" t="s">
        <v>4</v>
      </c>
      <c r="C29" s="109">
        <v>8</v>
      </c>
      <c r="D29" s="110">
        <f>C29*40</f>
        <v>320</v>
      </c>
      <c r="E29" s="109">
        <v>12</v>
      </c>
      <c r="F29" s="109">
        <v>4</v>
      </c>
      <c r="G29" s="110">
        <f t="shared" si="29"/>
        <v>320</v>
      </c>
      <c r="H29" s="109">
        <v>4</v>
      </c>
      <c r="I29" s="110">
        <f>H29*40</f>
        <v>160</v>
      </c>
      <c r="J29" s="109">
        <v>2</v>
      </c>
      <c r="K29" s="110">
        <f>J29*40</f>
        <v>80</v>
      </c>
      <c r="L29" s="109">
        <v>4</v>
      </c>
      <c r="M29" s="109">
        <v>6</v>
      </c>
      <c r="N29" s="110">
        <f t="shared" si="32"/>
        <v>200</v>
      </c>
      <c r="O29" s="109">
        <v>6</v>
      </c>
      <c r="P29" s="110">
        <f>O29*40</f>
        <v>240</v>
      </c>
      <c r="Q29" s="109">
        <v>3</v>
      </c>
      <c r="R29" s="110">
        <f>Q29*40</f>
        <v>120</v>
      </c>
    </row>
    <row r="32" spans="1:47" x14ac:dyDescent="0.2">
      <c r="B32" s="95" t="s">
        <v>200</v>
      </c>
      <c r="C32" s="96" t="s">
        <v>201</v>
      </c>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row>
    <row r="33" spans="1:78" x14ac:dyDescent="0.2">
      <c r="B33" s="97"/>
      <c r="C33" s="98" t="s">
        <v>242</v>
      </c>
      <c r="D33" s="98"/>
      <c r="E33" s="98" t="s">
        <v>243</v>
      </c>
      <c r="F33" s="98" t="s">
        <v>244</v>
      </c>
      <c r="G33" s="98"/>
      <c r="H33" s="98" t="s">
        <v>245</v>
      </c>
      <c r="I33" s="98" t="s">
        <v>246</v>
      </c>
      <c r="J33" s="98"/>
      <c r="K33" s="98" t="s">
        <v>247</v>
      </c>
      <c r="L33" s="98" t="s">
        <v>212</v>
      </c>
      <c r="M33" s="98"/>
      <c r="N33" s="98" t="s">
        <v>213</v>
      </c>
      <c r="O33" s="98" t="s">
        <v>214</v>
      </c>
      <c r="P33" s="98"/>
      <c r="Q33" s="98" t="s">
        <v>215</v>
      </c>
      <c r="R33" s="98" t="s">
        <v>216</v>
      </c>
      <c r="S33" s="98"/>
      <c r="T33" s="98"/>
      <c r="U33" s="98" t="s">
        <v>217</v>
      </c>
      <c r="V33" s="98" t="s">
        <v>218</v>
      </c>
      <c r="W33" s="98"/>
      <c r="X33" s="98"/>
      <c r="Y33" s="98" t="s">
        <v>219</v>
      </c>
      <c r="Z33" s="98" t="s">
        <v>224</v>
      </c>
      <c r="AA33" s="98"/>
      <c r="AB33" s="98"/>
      <c r="AC33" s="98" t="s">
        <v>225</v>
      </c>
      <c r="AD33" s="98" t="s">
        <v>226</v>
      </c>
      <c r="AE33" s="98"/>
      <c r="AF33" s="98"/>
      <c r="AG33" s="98" t="s">
        <v>227</v>
      </c>
      <c r="AH33" s="98" t="s">
        <v>228</v>
      </c>
      <c r="AI33" s="98"/>
      <c r="AJ33" s="98"/>
      <c r="AK33" s="98" t="s">
        <v>229</v>
      </c>
      <c r="AL33" s="98" t="s">
        <v>240</v>
      </c>
      <c r="AM33" s="98"/>
      <c r="AN33" s="98"/>
      <c r="AO33" s="98" t="s">
        <v>241</v>
      </c>
      <c r="AP33" s="98" t="s">
        <v>232</v>
      </c>
      <c r="AQ33" s="98"/>
      <c r="AR33" s="98" t="s">
        <v>233</v>
      </c>
      <c r="AS33" s="98" t="s">
        <v>234</v>
      </c>
      <c r="AT33" s="98"/>
      <c r="AU33" s="98" t="s">
        <v>235</v>
      </c>
    </row>
    <row r="34" spans="1:78" x14ac:dyDescent="0.2">
      <c r="A34">
        <v>2008</v>
      </c>
      <c r="B34" s="100" t="s">
        <v>5</v>
      </c>
      <c r="C34" s="100">
        <v>1</v>
      </c>
      <c r="D34" s="100">
        <v>2</v>
      </c>
      <c r="E34" s="98"/>
      <c r="F34" s="100">
        <v>1</v>
      </c>
      <c r="G34" s="100">
        <v>2</v>
      </c>
      <c r="H34" s="98"/>
      <c r="I34" s="100">
        <v>1</v>
      </c>
      <c r="J34" s="100">
        <v>2</v>
      </c>
      <c r="K34" s="98"/>
      <c r="L34" s="100">
        <v>1</v>
      </c>
      <c r="M34" s="100">
        <v>2</v>
      </c>
      <c r="N34" s="98"/>
      <c r="O34" s="100">
        <v>1</v>
      </c>
      <c r="P34" s="100">
        <v>2</v>
      </c>
      <c r="Q34" s="98"/>
      <c r="R34" s="100">
        <v>1</v>
      </c>
      <c r="S34" s="100">
        <v>2</v>
      </c>
      <c r="T34" s="100">
        <v>3</v>
      </c>
      <c r="U34" s="98"/>
      <c r="V34" s="100">
        <v>1</v>
      </c>
      <c r="W34" s="100">
        <v>2</v>
      </c>
      <c r="X34" s="100">
        <v>3</v>
      </c>
      <c r="Y34" s="98"/>
      <c r="Z34" s="100">
        <v>1</v>
      </c>
      <c r="AA34" s="100">
        <v>2</v>
      </c>
      <c r="AB34" s="100">
        <v>3</v>
      </c>
      <c r="AC34" s="98"/>
      <c r="AD34" s="100">
        <v>1</v>
      </c>
      <c r="AE34" s="100">
        <v>2</v>
      </c>
      <c r="AF34" s="100">
        <v>3</v>
      </c>
      <c r="AG34" s="98"/>
      <c r="AH34" s="100">
        <v>1</v>
      </c>
      <c r="AI34" s="100">
        <v>2</v>
      </c>
      <c r="AJ34" s="100">
        <v>3</v>
      </c>
      <c r="AK34" s="98"/>
      <c r="AL34" s="100">
        <v>1</v>
      </c>
      <c r="AM34" s="100">
        <v>2</v>
      </c>
      <c r="AN34" s="100">
        <v>3</v>
      </c>
      <c r="AO34" s="98"/>
      <c r="AP34" s="100">
        <v>1</v>
      </c>
      <c r="AQ34" s="100">
        <v>2</v>
      </c>
      <c r="AR34" s="98"/>
      <c r="AS34" s="100">
        <v>1</v>
      </c>
      <c r="AT34" s="100">
        <v>2</v>
      </c>
      <c r="AU34" s="98"/>
    </row>
    <row r="35" spans="1:78" x14ac:dyDescent="0.2">
      <c r="B35" s="101" t="s">
        <v>0</v>
      </c>
      <c r="C35" s="102">
        <v>101</v>
      </c>
      <c r="D35" s="102">
        <v>160</v>
      </c>
      <c r="E35" s="110">
        <f>AVERAGE(C35:D35)*40</f>
        <v>5220</v>
      </c>
      <c r="F35" s="102">
        <v>17</v>
      </c>
      <c r="G35" s="102">
        <v>9</v>
      </c>
      <c r="H35" s="110">
        <f>AVERAGE(F35:G35)*40</f>
        <v>520</v>
      </c>
      <c r="I35" s="102">
        <v>79</v>
      </c>
      <c r="J35" s="102">
        <v>97</v>
      </c>
      <c r="K35" s="110">
        <f>AVERAGE(I35:J35)*40</f>
        <v>3520</v>
      </c>
      <c r="L35" s="102">
        <v>123</v>
      </c>
      <c r="M35" s="102">
        <v>111</v>
      </c>
      <c r="N35" s="110">
        <f>AVERAGE(L35:M35)*40</f>
        <v>4680</v>
      </c>
      <c r="O35" s="102">
        <v>83</v>
      </c>
      <c r="P35" s="102">
        <v>91</v>
      </c>
      <c r="Q35" s="110">
        <f>AVERAGE(O35:P35)*40</f>
        <v>3480</v>
      </c>
      <c r="R35" s="102">
        <v>102</v>
      </c>
      <c r="S35" s="102">
        <v>92</v>
      </c>
      <c r="T35" s="102">
        <v>87</v>
      </c>
      <c r="U35" s="110">
        <f>AVERAGE(R35:T35)*40</f>
        <v>3746.666666666667</v>
      </c>
      <c r="V35" s="102">
        <v>182</v>
      </c>
      <c r="W35" s="102">
        <v>105</v>
      </c>
      <c r="X35" s="102">
        <v>68</v>
      </c>
      <c r="Y35" s="110">
        <f>AVERAGE(V35:X35)*40</f>
        <v>4733.333333333333</v>
      </c>
      <c r="Z35" s="102">
        <v>25</v>
      </c>
      <c r="AA35" s="102">
        <v>28</v>
      </c>
      <c r="AB35" s="102">
        <v>14</v>
      </c>
      <c r="AC35" s="110">
        <f>AVERAGE(Z35:AB35)*40</f>
        <v>893.33333333333326</v>
      </c>
      <c r="AD35" s="102">
        <v>96</v>
      </c>
      <c r="AE35" s="102">
        <v>133</v>
      </c>
      <c r="AF35" s="102">
        <v>91</v>
      </c>
      <c r="AG35" s="110">
        <f>AVERAGE(AD35:AF35)*40</f>
        <v>4266.666666666667</v>
      </c>
      <c r="AH35" s="102">
        <v>77</v>
      </c>
      <c r="AI35" s="102">
        <v>106</v>
      </c>
      <c r="AJ35" s="102">
        <v>73</v>
      </c>
      <c r="AK35" s="110">
        <f>AVERAGE(AH35:AJ35)*40</f>
        <v>3413.333333333333</v>
      </c>
      <c r="AL35" s="102">
        <v>62</v>
      </c>
      <c r="AM35" s="102">
        <v>66</v>
      </c>
      <c r="AN35" s="102">
        <v>40</v>
      </c>
      <c r="AO35" s="110">
        <f>AVERAGE(AL35:AN35)*40</f>
        <v>2240</v>
      </c>
      <c r="AP35" s="102">
        <v>39</v>
      </c>
      <c r="AQ35" s="102">
        <v>42</v>
      </c>
      <c r="AR35" s="110">
        <f>AVERAGE(AP35:AQ35)*40</f>
        <v>1620</v>
      </c>
      <c r="AS35" s="102">
        <v>46</v>
      </c>
      <c r="AT35" s="102">
        <v>28</v>
      </c>
      <c r="AU35" s="110">
        <f>AVERAGE(AS35:AT35)*40</f>
        <v>1480</v>
      </c>
    </row>
    <row r="36" spans="1:78" x14ac:dyDescent="0.2">
      <c r="B36" s="101" t="s">
        <v>1</v>
      </c>
      <c r="C36" s="102">
        <v>10</v>
      </c>
      <c r="D36" s="102">
        <v>20</v>
      </c>
      <c r="E36" s="110">
        <f t="shared" ref="E36:E39" si="35">AVERAGE(C36:D36)*40</f>
        <v>600</v>
      </c>
      <c r="F36" s="102">
        <v>6</v>
      </c>
      <c r="G36" s="102">
        <v>11</v>
      </c>
      <c r="H36" s="110">
        <f t="shared" ref="H36:H39" si="36">AVERAGE(F36:G36)*40</f>
        <v>340</v>
      </c>
      <c r="I36" s="102">
        <v>21</v>
      </c>
      <c r="J36" s="102">
        <v>15</v>
      </c>
      <c r="K36" s="110">
        <f t="shared" ref="K36:K39" si="37">AVERAGE(I36:J36)*40</f>
        <v>720</v>
      </c>
      <c r="L36" s="102">
        <v>20</v>
      </c>
      <c r="M36" s="102">
        <v>26</v>
      </c>
      <c r="N36" s="110">
        <f t="shared" ref="N36:N39" si="38">AVERAGE(L36:M36)*40</f>
        <v>920</v>
      </c>
      <c r="O36" s="102">
        <v>23</v>
      </c>
      <c r="P36" s="102">
        <v>14</v>
      </c>
      <c r="Q36" s="110">
        <f t="shared" ref="Q36:Q39" si="39">AVERAGE(O36:P36)*40</f>
        <v>740</v>
      </c>
      <c r="R36" s="102">
        <v>32</v>
      </c>
      <c r="S36" s="102">
        <v>10</v>
      </c>
      <c r="T36" s="102">
        <v>44</v>
      </c>
      <c r="U36" s="110">
        <f t="shared" ref="U36:U39" si="40">AVERAGE(R36:T36)*40</f>
        <v>1146.6666666666667</v>
      </c>
      <c r="V36" s="102">
        <v>23</v>
      </c>
      <c r="W36" s="102">
        <v>22</v>
      </c>
      <c r="X36" s="102">
        <v>39</v>
      </c>
      <c r="Y36" s="110">
        <f t="shared" ref="Y36:Y39" si="41">AVERAGE(V36:X36)*40</f>
        <v>1120</v>
      </c>
      <c r="Z36" s="102">
        <v>18</v>
      </c>
      <c r="AA36" s="102">
        <v>21</v>
      </c>
      <c r="AB36" s="102">
        <v>14</v>
      </c>
      <c r="AC36" s="110">
        <f t="shared" ref="AC36:AC39" si="42">AVERAGE(Z36:AB36)*40</f>
        <v>706.66666666666674</v>
      </c>
      <c r="AD36" s="102">
        <v>32</v>
      </c>
      <c r="AE36" s="102">
        <v>29</v>
      </c>
      <c r="AF36" s="102">
        <v>14</v>
      </c>
      <c r="AG36" s="110">
        <f t="shared" ref="AG36:AG39" si="43">AVERAGE(AD36:AF36)*40</f>
        <v>1000</v>
      </c>
      <c r="AH36" s="102">
        <v>29</v>
      </c>
      <c r="AI36" s="102">
        <v>26</v>
      </c>
      <c r="AJ36" s="102">
        <v>19</v>
      </c>
      <c r="AK36" s="110">
        <f t="shared" ref="AK36:AK39" si="44">AVERAGE(AH36:AJ36)*40</f>
        <v>986.66666666666674</v>
      </c>
      <c r="AL36" s="102">
        <v>22</v>
      </c>
      <c r="AM36" s="102">
        <v>26</v>
      </c>
      <c r="AN36" s="102">
        <v>15</v>
      </c>
      <c r="AO36" s="110">
        <f t="shared" ref="AO36:AO39" si="45">AVERAGE(AL36:AN36)*40</f>
        <v>840</v>
      </c>
      <c r="AP36" s="102">
        <v>14</v>
      </c>
      <c r="AQ36" s="102">
        <v>20</v>
      </c>
      <c r="AR36" s="110">
        <f t="shared" ref="AR36:AR39" si="46">AVERAGE(AP36:AQ36)*40</f>
        <v>680</v>
      </c>
      <c r="AS36" s="102">
        <v>8</v>
      </c>
      <c r="AT36" s="102">
        <v>5</v>
      </c>
      <c r="AU36" s="110">
        <f t="shared" ref="AU36:AU39" si="47">AVERAGE(AS36:AT36)*40</f>
        <v>260</v>
      </c>
    </row>
    <row r="37" spans="1:78" x14ac:dyDescent="0.2">
      <c r="B37" s="101" t="s">
        <v>2</v>
      </c>
      <c r="C37" s="102">
        <v>1</v>
      </c>
      <c r="D37" s="102">
        <v>1</v>
      </c>
      <c r="E37" s="110">
        <f t="shared" si="35"/>
        <v>40</v>
      </c>
      <c r="F37" s="102">
        <v>1</v>
      </c>
      <c r="G37" s="102">
        <v>0</v>
      </c>
      <c r="H37" s="110">
        <f t="shared" si="36"/>
        <v>20</v>
      </c>
      <c r="I37" s="102">
        <v>0</v>
      </c>
      <c r="J37" s="102">
        <v>1</v>
      </c>
      <c r="K37" s="110">
        <f t="shared" si="37"/>
        <v>20</v>
      </c>
      <c r="L37" s="102">
        <v>1</v>
      </c>
      <c r="M37" s="102">
        <v>1</v>
      </c>
      <c r="N37" s="110">
        <f t="shared" si="38"/>
        <v>40</v>
      </c>
      <c r="O37" s="102">
        <v>2</v>
      </c>
      <c r="P37" s="102">
        <v>0</v>
      </c>
      <c r="Q37" s="110">
        <f t="shared" si="39"/>
        <v>40</v>
      </c>
      <c r="R37" s="102">
        <v>1</v>
      </c>
      <c r="S37" s="102">
        <v>1</v>
      </c>
      <c r="T37" s="102">
        <v>0</v>
      </c>
      <c r="U37" s="110">
        <f t="shared" si="40"/>
        <v>26.666666666666664</v>
      </c>
      <c r="V37" s="102">
        <v>2</v>
      </c>
      <c r="W37" s="102">
        <v>2</v>
      </c>
      <c r="X37" s="102">
        <v>1</v>
      </c>
      <c r="Y37" s="110">
        <f t="shared" si="41"/>
        <v>66.666666666666671</v>
      </c>
      <c r="Z37" s="102">
        <v>2</v>
      </c>
      <c r="AA37" s="102">
        <v>4</v>
      </c>
      <c r="AB37" s="102">
        <v>2</v>
      </c>
      <c r="AC37" s="110">
        <f t="shared" si="42"/>
        <v>106.66666666666666</v>
      </c>
      <c r="AD37" s="102">
        <v>0</v>
      </c>
      <c r="AE37" s="102">
        <v>0</v>
      </c>
      <c r="AF37" s="102">
        <v>0</v>
      </c>
      <c r="AG37" s="110">
        <f t="shared" si="43"/>
        <v>0</v>
      </c>
      <c r="AH37" s="102">
        <v>1</v>
      </c>
      <c r="AI37" s="102">
        <v>4</v>
      </c>
      <c r="AJ37" s="102">
        <v>1</v>
      </c>
      <c r="AK37" s="110">
        <f t="shared" si="44"/>
        <v>80</v>
      </c>
      <c r="AL37" s="102">
        <v>2</v>
      </c>
      <c r="AM37" s="102">
        <v>2</v>
      </c>
      <c r="AN37" s="102">
        <v>1</v>
      </c>
      <c r="AO37" s="110">
        <f t="shared" si="45"/>
        <v>66.666666666666671</v>
      </c>
      <c r="AP37" s="102">
        <v>3</v>
      </c>
      <c r="AQ37" s="102">
        <v>3</v>
      </c>
      <c r="AR37" s="110">
        <f t="shared" si="46"/>
        <v>120</v>
      </c>
      <c r="AS37" s="102">
        <v>1</v>
      </c>
      <c r="AT37" s="102">
        <v>0</v>
      </c>
      <c r="AU37" s="110">
        <f t="shared" si="47"/>
        <v>20</v>
      </c>
    </row>
    <row r="38" spans="1:78" x14ac:dyDescent="0.2">
      <c r="B38" s="101" t="s">
        <v>3</v>
      </c>
      <c r="C38" s="102">
        <v>10</v>
      </c>
      <c r="D38" s="102">
        <v>29</v>
      </c>
      <c r="E38" s="110">
        <f t="shared" si="35"/>
        <v>780</v>
      </c>
      <c r="F38" s="102">
        <v>7</v>
      </c>
      <c r="G38" s="102">
        <v>14</v>
      </c>
      <c r="H38" s="110">
        <f t="shared" si="36"/>
        <v>420</v>
      </c>
      <c r="I38" s="102">
        <v>24</v>
      </c>
      <c r="J38" s="102">
        <v>7</v>
      </c>
      <c r="K38" s="110">
        <f t="shared" si="37"/>
        <v>620</v>
      </c>
      <c r="L38" s="102">
        <v>46</v>
      </c>
      <c r="M38" s="102">
        <v>31</v>
      </c>
      <c r="N38" s="110">
        <f t="shared" si="38"/>
        <v>1540</v>
      </c>
      <c r="O38" s="102">
        <v>0</v>
      </c>
      <c r="P38" s="102">
        <v>5</v>
      </c>
      <c r="Q38" s="110">
        <f t="shared" si="39"/>
        <v>100</v>
      </c>
      <c r="R38" s="102">
        <v>42</v>
      </c>
      <c r="S38" s="102">
        <v>16</v>
      </c>
      <c r="T38" s="102">
        <v>47</v>
      </c>
      <c r="U38" s="110">
        <f t="shared" si="40"/>
        <v>1400</v>
      </c>
      <c r="V38" s="102">
        <v>50</v>
      </c>
      <c r="W38" s="102">
        <v>24</v>
      </c>
      <c r="X38" s="102">
        <v>51</v>
      </c>
      <c r="Y38" s="110">
        <f t="shared" si="41"/>
        <v>1666.6666666666665</v>
      </c>
      <c r="Z38" s="102">
        <v>5</v>
      </c>
      <c r="AA38" s="102">
        <v>4</v>
      </c>
      <c r="AB38" s="102">
        <v>12</v>
      </c>
      <c r="AC38" s="110">
        <f t="shared" si="42"/>
        <v>280</v>
      </c>
      <c r="AD38" s="102">
        <v>16</v>
      </c>
      <c r="AE38" s="102">
        <v>16</v>
      </c>
      <c r="AF38" s="102">
        <v>22</v>
      </c>
      <c r="AG38" s="110">
        <f t="shared" si="43"/>
        <v>720</v>
      </c>
      <c r="AH38" s="102">
        <v>35</v>
      </c>
      <c r="AI38" s="102">
        <v>41</v>
      </c>
      <c r="AJ38" s="102">
        <v>22</v>
      </c>
      <c r="AK38" s="110">
        <f t="shared" si="44"/>
        <v>1306.6666666666665</v>
      </c>
      <c r="AL38" s="102">
        <v>20</v>
      </c>
      <c r="AM38" s="102">
        <v>28</v>
      </c>
      <c r="AN38" s="102">
        <v>19</v>
      </c>
      <c r="AO38" s="110">
        <f t="shared" si="45"/>
        <v>893.33333333333326</v>
      </c>
      <c r="AP38" s="102">
        <v>3</v>
      </c>
      <c r="AQ38" s="102">
        <v>6</v>
      </c>
      <c r="AR38" s="110">
        <f t="shared" si="46"/>
        <v>180</v>
      </c>
      <c r="AS38" s="102">
        <v>5</v>
      </c>
      <c r="AT38" s="102">
        <v>5</v>
      </c>
      <c r="AU38" s="110">
        <f t="shared" si="47"/>
        <v>200</v>
      </c>
    </row>
    <row r="39" spans="1:78" x14ac:dyDescent="0.2">
      <c r="B39" s="101" t="s">
        <v>4</v>
      </c>
      <c r="C39" s="102">
        <v>4</v>
      </c>
      <c r="D39" s="102">
        <v>3</v>
      </c>
      <c r="E39" s="110">
        <f t="shared" si="35"/>
        <v>140</v>
      </c>
      <c r="F39" s="102">
        <v>1</v>
      </c>
      <c r="G39" s="102">
        <v>1</v>
      </c>
      <c r="H39" s="110">
        <f t="shared" si="36"/>
        <v>40</v>
      </c>
      <c r="I39" s="102">
        <v>7</v>
      </c>
      <c r="J39" s="102">
        <v>3</v>
      </c>
      <c r="K39" s="110">
        <f t="shared" si="37"/>
        <v>200</v>
      </c>
      <c r="L39" s="102">
        <v>98</v>
      </c>
      <c r="M39" s="102">
        <v>36</v>
      </c>
      <c r="N39" s="110">
        <f t="shared" si="38"/>
        <v>2680</v>
      </c>
      <c r="O39" s="102">
        <v>209</v>
      </c>
      <c r="P39" s="102">
        <v>256</v>
      </c>
      <c r="Q39" s="110">
        <f t="shared" si="39"/>
        <v>9300</v>
      </c>
      <c r="R39" s="102">
        <v>1</v>
      </c>
      <c r="S39" s="102">
        <v>6</v>
      </c>
      <c r="T39" s="102">
        <v>4</v>
      </c>
      <c r="U39" s="110">
        <f t="shared" si="40"/>
        <v>146.66666666666666</v>
      </c>
      <c r="V39" s="102">
        <v>5</v>
      </c>
      <c r="W39" s="102">
        <v>67</v>
      </c>
      <c r="X39" s="102">
        <v>12</v>
      </c>
      <c r="Y39" s="110">
        <f t="shared" si="41"/>
        <v>1120</v>
      </c>
      <c r="Z39" s="102">
        <v>318</v>
      </c>
      <c r="AA39" s="102">
        <v>340</v>
      </c>
      <c r="AB39" s="102">
        <v>4</v>
      </c>
      <c r="AC39" s="110">
        <f t="shared" si="42"/>
        <v>8826.6666666666661</v>
      </c>
      <c r="AD39" s="102">
        <v>1</v>
      </c>
      <c r="AE39" s="102">
        <v>8</v>
      </c>
      <c r="AF39" s="102">
        <v>1</v>
      </c>
      <c r="AG39" s="110">
        <f t="shared" si="43"/>
        <v>133.33333333333334</v>
      </c>
      <c r="AH39" s="102">
        <v>5</v>
      </c>
      <c r="AI39" s="102">
        <v>6</v>
      </c>
      <c r="AJ39" s="102">
        <v>8</v>
      </c>
      <c r="AK39" s="110">
        <f t="shared" si="44"/>
        <v>253.33333333333331</v>
      </c>
      <c r="AL39" s="102">
        <v>23</v>
      </c>
      <c r="AM39" s="102">
        <v>5</v>
      </c>
      <c r="AN39" s="102">
        <v>13</v>
      </c>
      <c r="AO39" s="110">
        <f t="shared" si="45"/>
        <v>546.66666666666663</v>
      </c>
      <c r="AP39" s="102">
        <v>2</v>
      </c>
      <c r="AQ39" s="102">
        <v>5</v>
      </c>
      <c r="AR39" s="110">
        <f t="shared" si="46"/>
        <v>140</v>
      </c>
      <c r="AS39" s="102">
        <v>2</v>
      </c>
      <c r="AT39" s="102">
        <v>1</v>
      </c>
      <c r="AU39" s="110">
        <f t="shared" si="47"/>
        <v>60</v>
      </c>
    </row>
    <row r="42" spans="1:78" x14ac:dyDescent="0.2">
      <c r="B42" s="97"/>
      <c r="C42" s="98" t="s">
        <v>202</v>
      </c>
      <c r="D42" s="98"/>
      <c r="E42" s="98"/>
      <c r="F42" s="98" t="s">
        <v>203</v>
      </c>
      <c r="G42" s="98" t="s">
        <v>204</v>
      </c>
      <c r="H42" s="98"/>
      <c r="I42" s="98"/>
      <c r="J42" s="98" t="s">
        <v>205</v>
      </c>
      <c r="K42" s="98" t="s">
        <v>242</v>
      </c>
      <c r="L42" s="98"/>
      <c r="M42" s="98" t="s">
        <v>243</v>
      </c>
      <c r="N42" s="98" t="s">
        <v>244</v>
      </c>
      <c r="O42" s="98"/>
      <c r="P42" s="98"/>
      <c r="Q42" s="98" t="s">
        <v>245</v>
      </c>
      <c r="R42" s="98" t="s">
        <v>206</v>
      </c>
      <c r="S42" s="98"/>
      <c r="T42" s="98"/>
      <c r="U42" s="98" t="s">
        <v>207</v>
      </c>
      <c r="V42" s="98" t="s">
        <v>208</v>
      </c>
      <c r="W42" s="98"/>
      <c r="X42" s="98"/>
      <c r="Y42" s="98" t="s">
        <v>209</v>
      </c>
      <c r="Z42" s="98" t="s">
        <v>246</v>
      </c>
      <c r="AA42" s="98"/>
      <c r="AB42" s="98"/>
      <c r="AC42" s="98" t="s">
        <v>247</v>
      </c>
      <c r="AD42" s="98" t="s">
        <v>248</v>
      </c>
      <c r="AE42" s="98"/>
      <c r="AF42" s="98" t="s">
        <v>249</v>
      </c>
      <c r="AG42" s="98" t="s">
        <v>214</v>
      </c>
      <c r="AH42" s="98"/>
      <c r="AI42" s="98" t="s">
        <v>215</v>
      </c>
      <c r="AJ42" s="98" t="s">
        <v>216</v>
      </c>
      <c r="AK42" s="98"/>
      <c r="AL42" s="98"/>
      <c r="AM42" s="98" t="s">
        <v>217</v>
      </c>
      <c r="AN42" s="98" t="s">
        <v>218</v>
      </c>
      <c r="AO42" s="98"/>
      <c r="AP42" s="98"/>
      <c r="AQ42" s="98" t="s">
        <v>219</v>
      </c>
      <c r="AR42" s="98" t="s">
        <v>250</v>
      </c>
      <c r="AS42" s="98"/>
      <c r="AT42" s="98"/>
      <c r="AU42" s="98" t="s">
        <v>251</v>
      </c>
      <c r="AV42" s="98" t="s">
        <v>220</v>
      </c>
      <c r="AW42" s="98"/>
      <c r="AX42" s="98"/>
      <c r="AY42" s="98" t="s">
        <v>221</v>
      </c>
      <c r="AZ42" s="98" t="s">
        <v>222</v>
      </c>
      <c r="BA42" s="98"/>
      <c r="BB42" s="98" t="s">
        <v>223</v>
      </c>
      <c r="BC42" s="98" t="s">
        <v>224</v>
      </c>
      <c r="BD42" s="98"/>
      <c r="BE42" s="98"/>
      <c r="BF42" s="98" t="s">
        <v>225</v>
      </c>
      <c r="BG42" s="98" t="s">
        <v>226</v>
      </c>
      <c r="BH42" s="98"/>
      <c r="BI42" s="98"/>
      <c r="BJ42" s="98" t="s">
        <v>227</v>
      </c>
      <c r="BK42" s="98" t="s">
        <v>228</v>
      </c>
      <c r="BL42" s="98"/>
      <c r="BM42" s="98"/>
      <c r="BN42" s="98" t="s">
        <v>229</v>
      </c>
      <c r="BO42" s="98" t="s">
        <v>230</v>
      </c>
      <c r="BP42" s="98"/>
      <c r="BQ42" s="98"/>
      <c r="BR42" s="98" t="s">
        <v>231</v>
      </c>
      <c r="BS42" s="98" t="s">
        <v>232</v>
      </c>
      <c r="BT42" s="98"/>
      <c r="BU42" s="98"/>
      <c r="BV42" s="98" t="s">
        <v>233</v>
      </c>
      <c r="BW42" s="98" t="s">
        <v>234</v>
      </c>
      <c r="BX42" s="98"/>
      <c r="BY42" s="98"/>
      <c r="BZ42" s="98" t="s">
        <v>235</v>
      </c>
    </row>
    <row r="43" spans="1:78" x14ac:dyDescent="0.2">
      <c r="B43" s="100" t="s">
        <v>5</v>
      </c>
      <c r="C43" s="100">
        <v>1</v>
      </c>
      <c r="D43" s="100">
        <v>2</v>
      </c>
      <c r="E43" s="100">
        <v>3</v>
      </c>
      <c r="F43" s="98"/>
      <c r="G43" s="100">
        <v>1</v>
      </c>
      <c r="H43" s="100">
        <v>2</v>
      </c>
      <c r="I43" s="100">
        <v>3</v>
      </c>
      <c r="J43" s="98"/>
      <c r="K43" s="100">
        <v>1</v>
      </c>
      <c r="L43" s="100">
        <v>2</v>
      </c>
      <c r="M43" s="98"/>
      <c r="N43" s="100">
        <v>1</v>
      </c>
      <c r="O43" s="100">
        <v>2</v>
      </c>
      <c r="P43" s="100">
        <v>3</v>
      </c>
      <c r="Q43" s="98"/>
      <c r="R43" s="100">
        <v>1</v>
      </c>
      <c r="S43" s="100">
        <v>2</v>
      </c>
      <c r="T43" s="100">
        <v>3</v>
      </c>
      <c r="U43" s="98"/>
      <c r="V43" s="100">
        <v>1</v>
      </c>
      <c r="W43" s="100">
        <v>2</v>
      </c>
      <c r="X43" s="100">
        <v>3</v>
      </c>
      <c r="Y43" s="98"/>
      <c r="Z43" s="100">
        <v>1</v>
      </c>
      <c r="AA43" s="100">
        <v>2</v>
      </c>
      <c r="AB43" s="100">
        <v>3</v>
      </c>
      <c r="AC43" s="98"/>
      <c r="AD43" s="100">
        <v>1</v>
      </c>
      <c r="AE43" s="100">
        <v>2</v>
      </c>
      <c r="AF43" s="98"/>
      <c r="AG43" s="100">
        <v>1</v>
      </c>
      <c r="AH43" s="100">
        <v>2</v>
      </c>
      <c r="AI43" s="98"/>
      <c r="AJ43" s="100">
        <v>1</v>
      </c>
      <c r="AK43" s="100">
        <v>2</v>
      </c>
      <c r="AL43" s="100">
        <v>3</v>
      </c>
      <c r="AM43" s="98"/>
      <c r="AN43" s="100">
        <v>1</v>
      </c>
      <c r="AO43" s="100">
        <v>2</v>
      </c>
      <c r="AP43" s="100">
        <v>3</v>
      </c>
      <c r="AQ43" s="98"/>
      <c r="AR43" s="100">
        <v>1</v>
      </c>
      <c r="AS43" s="100">
        <v>2</v>
      </c>
      <c r="AT43" s="100">
        <v>3</v>
      </c>
      <c r="AU43" s="98"/>
      <c r="AV43" s="100">
        <v>1</v>
      </c>
      <c r="AW43" s="100">
        <v>2</v>
      </c>
      <c r="AX43" s="100">
        <v>3</v>
      </c>
      <c r="AY43" s="98"/>
      <c r="AZ43" s="100">
        <v>1</v>
      </c>
      <c r="BA43" s="100">
        <v>2</v>
      </c>
      <c r="BB43" s="98"/>
      <c r="BC43" s="100">
        <v>1</v>
      </c>
      <c r="BD43" s="100">
        <v>2</v>
      </c>
      <c r="BE43" s="100">
        <v>3</v>
      </c>
      <c r="BF43" s="98"/>
      <c r="BG43" s="100">
        <v>1</v>
      </c>
      <c r="BH43" s="100">
        <v>2</v>
      </c>
      <c r="BI43" s="100">
        <v>3</v>
      </c>
      <c r="BJ43" s="98"/>
      <c r="BK43" s="100">
        <v>1</v>
      </c>
      <c r="BL43" s="100">
        <v>2</v>
      </c>
      <c r="BM43" s="100">
        <v>3</v>
      </c>
      <c r="BN43" s="98"/>
      <c r="BO43" s="100">
        <v>1</v>
      </c>
      <c r="BP43" s="100">
        <v>2</v>
      </c>
      <c r="BQ43" s="100">
        <v>3</v>
      </c>
      <c r="BR43" s="98"/>
      <c r="BS43" s="100">
        <v>1</v>
      </c>
      <c r="BT43" s="100">
        <v>2</v>
      </c>
      <c r="BU43" s="100">
        <v>3</v>
      </c>
      <c r="BV43" s="98"/>
      <c r="BW43" s="100">
        <v>1</v>
      </c>
      <c r="BX43" s="100">
        <v>2</v>
      </c>
      <c r="BY43" s="100">
        <v>3</v>
      </c>
      <c r="BZ43" s="98"/>
    </row>
    <row r="44" spans="1:78" x14ac:dyDescent="0.2">
      <c r="A44">
        <v>2011</v>
      </c>
      <c r="B44" s="101" t="s">
        <v>0</v>
      </c>
      <c r="C44" s="102">
        <v>77</v>
      </c>
      <c r="D44" s="102">
        <v>70</v>
      </c>
      <c r="E44" s="102">
        <v>69</v>
      </c>
      <c r="F44" s="110">
        <f>AVERAGE(C44:E44)*40</f>
        <v>2880</v>
      </c>
      <c r="G44" s="102">
        <v>158</v>
      </c>
      <c r="H44" s="102">
        <v>123</v>
      </c>
      <c r="I44" s="102">
        <v>166</v>
      </c>
      <c r="J44" s="110">
        <f>AVERAGE(G44:I44)*40</f>
        <v>5960</v>
      </c>
      <c r="K44" s="102">
        <v>28</v>
      </c>
      <c r="L44" s="102">
        <v>28</v>
      </c>
      <c r="M44" s="110">
        <f>AVERAGE(K44:L44)*40</f>
        <v>1120</v>
      </c>
      <c r="N44" s="102">
        <v>35</v>
      </c>
      <c r="O44" s="102">
        <v>85</v>
      </c>
      <c r="P44" s="102">
        <v>0</v>
      </c>
      <c r="Q44" s="110">
        <f>AVERAGE(N44:P44)*40</f>
        <v>1600</v>
      </c>
      <c r="R44" s="102">
        <v>97</v>
      </c>
      <c r="S44" s="102">
        <v>134</v>
      </c>
      <c r="T44" s="102">
        <v>134</v>
      </c>
      <c r="U44" s="110">
        <f>AVERAGE(R44:T44)*40</f>
        <v>4866.666666666667</v>
      </c>
      <c r="V44" s="102">
        <v>122</v>
      </c>
      <c r="W44" s="102">
        <v>108</v>
      </c>
      <c r="X44" s="102">
        <v>143</v>
      </c>
      <c r="Y44" s="110">
        <f>AVERAGE(V44:X44)*40</f>
        <v>4973.333333333333</v>
      </c>
      <c r="Z44" s="102">
        <v>11</v>
      </c>
      <c r="AA44" s="102">
        <v>17</v>
      </c>
      <c r="AB44" s="102">
        <v>22</v>
      </c>
      <c r="AC44" s="110">
        <f>AVERAGE(Z44:AB44)*40</f>
        <v>666.66666666666674</v>
      </c>
      <c r="AD44" s="102">
        <v>19</v>
      </c>
      <c r="AE44" s="102">
        <v>23</v>
      </c>
      <c r="AF44" s="110">
        <f>AVERAGE(AD44:AE44)*40</f>
        <v>840</v>
      </c>
      <c r="AG44" s="102">
        <v>297</v>
      </c>
      <c r="AH44" s="102">
        <v>141</v>
      </c>
      <c r="AI44" s="110">
        <f>AVERAGE(AG44:AH44)*40</f>
        <v>8760</v>
      </c>
      <c r="AJ44" s="102">
        <v>101</v>
      </c>
      <c r="AK44" s="102">
        <v>101</v>
      </c>
      <c r="AL44" s="102">
        <v>103</v>
      </c>
      <c r="AM44" s="110">
        <f>AVERAGE(AJ44:AL44)*40</f>
        <v>4066.666666666667</v>
      </c>
      <c r="AN44" s="102">
        <v>109</v>
      </c>
      <c r="AO44" s="102">
        <v>120</v>
      </c>
      <c r="AP44" s="102">
        <v>244</v>
      </c>
      <c r="AQ44" s="110">
        <f>AVERAGE(AN44:AP44)*40</f>
        <v>6306.6666666666661</v>
      </c>
      <c r="AR44" s="102">
        <v>36</v>
      </c>
      <c r="AS44" s="102">
        <v>59</v>
      </c>
      <c r="AT44" s="102">
        <v>99</v>
      </c>
      <c r="AU44" s="110">
        <f>AVERAGE(AR44:AT44)*40</f>
        <v>2586.666666666667</v>
      </c>
      <c r="AV44" s="102">
        <v>60</v>
      </c>
      <c r="AW44" s="102">
        <v>27</v>
      </c>
      <c r="AX44" s="102">
        <v>43</v>
      </c>
      <c r="AY44" s="110">
        <f>AVERAGE(AV44:AX44)*40</f>
        <v>1733.3333333333335</v>
      </c>
      <c r="AZ44" s="102">
        <v>199</v>
      </c>
      <c r="BA44" s="102">
        <v>61</v>
      </c>
      <c r="BB44" s="110">
        <f>AVERAGE(AZ44:BA44)*40</f>
        <v>5200</v>
      </c>
      <c r="BC44" s="102">
        <v>28</v>
      </c>
      <c r="BD44" s="102">
        <v>38</v>
      </c>
      <c r="BE44" s="102">
        <v>22</v>
      </c>
      <c r="BF44" s="110">
        <f>AVERAGE(BC44:BE44)*40</f>
        <v>1173.3333333333333</v>
      </c>
      <c r="BG44" s="102">
        <v>131</v>
      </c>
      <c r="BH44" s="102">
        <v>71</v>
      </c>
      <c r="BI44" s="102">
        <v>127</v>
      </c>
      <c r="BJ44" s="110">
        <f>AVERAGE(BG44:BI44)*40</f>
        <v>4386.666666666667</v>
      </c>
      <c r="BK44" s="102">
        <v>76</v>
      </c>
      <c r="BL44" s="102">
        <v>44</v>
      </c>
      <c r="BM44" s="102">
        <v>66</v>
      </c>
      <c r="BN44" s="110">
        <f>AVERAGE(BK44:BM44)*40</f>
        <v>2480</v>
      </c>
      <c r="BO44" s="102">
        <v>89</v>
      </c>
      <c r="BP44" s="102">
        <v>49</v>
      </c>
      <c r="BQ44" s="102">
        <v>131</v>
      </c>
      <c r="BR44" s="112">
        <v>1173.333333</v>
      </c>
      <c r="BS44" s="102">
        <v>61</v>
      </c>
      <c r="BT44" s="102">
        <v>34</v>
      </c>
      <c r="BU44" s="102">
        <v>57</v>
      </c>
      <c r="BV44" s="112">
        <v>1173.333333</v>
      </c>
      <c r="BW44" s="102">
        <v>97</v>
      </c>
      <c r="BX44" s="102">
        <v>53</v>
      </c>
      <c r="BY44" s="102">
        <v>166</v>
      </c>
      <c r="BZ44" s="112">
        <v>1173.333333</v>
      </c>
    </row>
    <row r="45" spans="1:78" x14ac:dyDescent="0.2">
      <c r="B45" s="101" t="s">
        <v>1</v>
      </c>
      <c r="C45" s="102">
        <v>23</v>
      </c>
      <c r="D45" s="102">
        <v>20</v>
      </c>
      <c r="E45" s="102">
        <v>35</v>
      </c>
      <c r="F45" s="110">
        <f t="shared" ref="F45:F48" si="48">AVERAGE(C45:E45)*40</f>
        <v>1040</v>
      </c>
      <c r="G45" s="102">
        <v>27</v>
      </c>
      <c r="H45" s="102">
        <v>18</v>
      </c>
      <c r="I45" s="102">
        <v>14</v>
      </c>
      <c r="J45" s="110">
        <f t="shared" ref="J45:J48" si="49">AVERAGE(G45:I45)*40</f>
        <v>786.66666666666674</v>
      </c>
      <c r="K45" s="102">
        <v>7</v>
      </c>
      <c r="L45" s="102">
        <v>4</v>
      </c>
      <c r="M45" s="110">
        <f t="shared" ref="M45:M48" si="50">AVERAGE(K45:L45)*40</f>
        <v>220</v>
      </c>
      <c r="N45" s="102">
        <v>17</v>
      </c>
      <c r="O45" s="102">
        <v>7</v>
      </c>
      <c r="P45" s="102">
        <v>11</v>
      </c>
      <c r="Q45" s="110">
        <f t="shared" ref="Q45:Q48" si="51">AVERAGE(N45:P45)*40</f>
        <v>466.66666666666663</v>
      </c>
      <c r="R45" s="102">
        <v>8</v>
      </c>
      <c r="S45" s="102">
        <v>12</v>
      </c>
      <c r="T45" s="102">
        <v>10</v>
      </c>
      <c r="U45" s="110">
        <f t="shared" ref="U45:U48" si="52">AVERAGE(R45:T45)*40</f>
        <v>400</v>
      </c>
      <c r="V45" s="102">
        <v>15</v>
      </c>
      <c r="W45" s="102">
        <v>16</v>
      </c>
      <c r="X45" s="102">
        <v>17</v>
      </c>
      <c r="Y45" s="110">
        <f t="shared" ref="Y45:Y48" si="53">AVERAGE(V45:X45)*40</f>
        <v>640</v>
      </c>
      <c r="Z45" s="102">
        <v>15</v>
      </c>
      <c r="AA45" s="102">
        <v>9</v>
      </c>
      <c r="AB45" s="102">
        <v>17</v>
      </c>
      <c r="AC45" s="110">
        <f t="shared" ref="AC45:AC48" si="54">AVERAGE(Z45:AB45)*40</f>
        <v>546.66666666666663</v>
      </c>
      <c r="AD45" s="102">
        <v>9</v>
      </c>
      <c r="AE45" s="102">
        <v>12</v>
      </c>
      <c r="AF45" s="110">
        <f t="shared" ref="AF45:AF48" si="55">AVERAGE(AD45:AE45)*40</f>
        <v>420</v>
      </c>
      <c r="AG45" s="102">
        <v>32</v>
      </c>
      <c r="AH45" s="102">
        <v>2</v>
      </c>
      <c r="AI45" s="110">
        <f t="shared" ref="AI45:AI48" si="56">AVERAGE(AG45:AH45)*40</f>
        <v>680</v>
      </c>
      <c r="AJ45" s="102">
        <v>10</v>
      </c>
      <c r="AK45" s="102">
        <v>9</v>
      </c>
      <c r="AL45" s="102">
        <v>12</v>
      </c>
      <c r="AM45" s="110">
        <f t="shared" ref="AM45:AM48" si="57">AVERAGE(AJ45:AL45)*40</f>
        <v>413.33333333333337</v>
      </c>
      <c r="AN45" s="102">
        <v>15</v>
      </c>
      <c r="AO45" s="102">
        <v>3</v>
      </c>
      <c r="AP45" s="102">
        <v>18</v>
      </c>
      <c r="AQ45" s="110">
        <f t="shared" ref="AQ45:AQ48" si="58">AVERAGE(AN45:AP45)*40</f>
        <v>480</v>
      </c>
      <c r="AR45" s="102">
        <v>42</v>
      </c>
      <c r="AS45" s="102">
        <v>27</v>
      </c>
      <c r="AT45" s="102">
        <v>32</v>
      </c>
      <c r="AU45" s="110">
        <f t="shared" ref="AU45:AU48" si="59">AVERAGE(AR45:AT45)*40</f>
        <v>1346.6666666666665</v>
      </c>
      <c r="AV45" s="102">
        <v>19</v>
      </c>
      <c r="AW45" s="102">
        <v>12</v>
      </c>
      <c r="AX45" s="102">
        <v>14</v>
      </c>
      <c r="AY45" s="110">
        <f t="shared" ref="AY45:AY48" si="60">AVERAGE(AV45:AX45)*40</f>
        <v>600</v>
      </c>
      <c r="AZ45" s="102">
        <v>19</v>
      </c>
      <c r="BA45" s="102">
        <v>9</v>
      </c>
      <c r="BB45" s="110">
        <f t="shared" ref="BB45:BB48" si="61">AVERAGE(AZ45:BA45)*40</f>
        <v>560</v>
      </c>
      <c r="BC45" s="102">
        <v>20</v>
      </c>
      <c r="BD45" s="102">
        <v>9</v>
      </c>
      <c r="BE45" s="102">
        <v>19</v>
      </c>
      <c r="BF45" s="110">
        <f t="shared" ref="BF45:BF48" si="62">AVERAGE(BC45:BE45)*40</f>
        <v>640</v>
      </c>
      <c r="BG45" s="102">
        <v>19</v>
      </c>
      <c r="BH45" s="102">
        <v>26</v>
      </c>
      <c r="BI45" s="102">
        <v>38</v>
      </c>
      <c r="BJ45" s="110">
        <f t="shared" ref="BJ45:BJ48" si="63">AVERAGE(BG45:BI45)*40</f>
        <v>1106.6666666666667</v>
      </c>
      <c r="BK45" s="102">
        <v>14</v>
      </c>
      <c r="BL45" s="102">
        <v>16</v>
      </c>
      <c r="BM45" s="102">
        <v>11</v>
      </c>
      <c r="BN45" s="110">
        <f t="shared" ref="BN45:BN48" si="64">AVERAGE(BK45:BM45)*40</f>
        <v>546.66666666666663</v>
      </c>
      <c r="BO45" s="102">
        <v>8</v>
      </c>
      <c r="BP45" s="102">
        <v>8</v>
      </c>
      <c r="BQ45" s="102">
        <v>11</v>
      </c>
      <c r="BR45" s="113">
        <v>640</v>
      </c>
      <c r="BS45" s="102">
        <v>22</v>
      </c>
      <c r="BT45" s="102">
        <v>14</v>
      </c>
      <c r="BU45" s="102">
        <v>29</v>
      </c>
      <c r="BV45" s="113">
        <v>640</v>
      </c>
      <c r="BW45" s="102">
        <v>17</v>
      </c>
      <c r="BX45" s="102">
        <v>12</v>
      </c>
      <c r="BY45" s="102">
        <v>7</v>
      </c>
      <c r="BZ45" s="113">
        <v>640</v>
      </c>
    </row>
    <row r="46" spans="1:78" x14ac:dyDescent="0.2">
      <c r="B46" s="101" t="s">
        <v>2</v>
      </c>
      <c r="C46" s="102">
        <v>5</v>
      </c>
      <c r="D46" s="102">
        <v>33</v>
      </c>
      <c r="E46" s="102">
        <v>0</v>
      </c>
      <c r="F46" s="110">
        <f t="shared" si="48"/>
        <v>506.66666666666663</v>
      </c>
      <c r="G46" s="102">
        <v>3</v>
      </c>
      <c r="H46" s="102">
        <v>1</v>
      </c>
      <c r="I46" s="102">
        <v>4</v>
      </c>
      <c r="J46" s="110">
        <f t="shared" si="49"/>
        <v>106.66666666666666</v>
      </c>
      <c r="K46" s="102">
        <v>0</v>
      </c>
      <c r="L46" s="102">
        <v>0</v>
      </c>
      <c r="M46" s="110">
        <f t="shared" si="50"/>
        <v>0</v>
      </c>
      <c r="N46" s="102">
        <v>4</v>
      </c>
      <c r="O46" s="102">
        <v>2</v>
      </c>
      <c r="P46" s="102">
        <v>0</v>
      </c>
      <c r="Q46" s="110">
        <f t="shared" si="51"/>
        <v>80</v>
      </c>
      <c r="R46" s="102">
        <v>5</v>
      </c>
      <c r="S46" s="102">
        <v>6</v>
      </c>
      <c r="T46" s="102">
        <v>1</v>
      </c>
      <c r="U46" s="110">
        <f t="shared" si="52"/>
        <v>160</v>
      </c>
      <c r="V46" s="102">
        <v>0</v>
      </c>
      <c r="W46" s="102">
        <v>0</v>
      </c>
      <c r="X46" s="102">
        <v>0</v>
      </c>
      <c r="Y46" s="110">
        <f t="shared" si="53"/>
        <v>0</v>
      </c>
      <c r="Z46" s="102">
        <v>0</v>
      </c>
      <c r="AA46" s="102">
        <v>0</v>
      </c>
      <c r="AB46" s="102">
        <v>2</v>
      </c>
      <c r="AC46" s="110">
        <f t="shared" si="54"/>
        <v>26.666666666666664</v>
      </c>
      <c r="AD46" s="102">
        <v>6</v>
      </c>
      <c r="AE46" s="102">
        <v>18</v>
      </c>
      <c r="AF46" s="110">
        <f t="shared" si="55"/>
        <v>480</v>
      </c>
      <c r="AG46" s="102">
        <v>0</v>
      </c>
      <c r="AH46" s="102">
        <v>0</v>
      </c>
      <c r="AI46" s="110">
        <f t="shared" si="56"/>
        <v>0</v>
      </c>
      <c r="AJ46" s="102">
        <v>0</v>
      </c>
      <c r="AK46" s="102">
        <v>0</v>
      </c>
      <c r="AL46" s="102">
        <v>1</v>
      </c>
      <c r="AM46" s="110">
        <f t="shared" si="57"/>
        <v>13.333333333333332</v>
      </c>
      <c r="AN46" s="102">
        <v>4</v>
      </c>
      <c r="AO46" s="102">
        <v>2</v>
      </c>
      <c r="AP46" s="102">
        <v>5</v>
      </c>
      <c r="AQ46" s="110">
        <f t="shared" si="58"/>
        <v>146.66666666666666</v>
      </c>
      <c r="AR46" s="102">
        <v>0</v>
      </c>
      <c r="AS46" s="102">
        <v>1</v>
      </c>
      <c r="AT46" s="102">
        <v>0</v>
      </c>
      <c r="AU46" s="110">
        <f t="shared" si="59"/>
        <v>13.333333333333332</v>
      </c>
      <c r="AV46" s="102">
        <v>1</v>
      </c>
      <c r="AW46" s="102">
        <v>1</v>
      </c>
      <c r="AX46" s="102">
        <v>0</v>
      </c>
      <c r="AY46" s="110">
        <f t="shared" si="60"/>
        <v>26.666666666666664</v>
      </c>
      <c r="AZ46" s="102">
        <v>0</v>
      </c>
      <c r="BA46" s="102">
        <v>0</v>
      </c>
      <c r="BB46" s="110">
        <f t="shared" si="61"/>
        <v>0</v>
      </c>
      <c r="BC46" s="102">
        <v>2</v>
      </c>
      <c r="BD46" s="102">
        <v>3</v>
      </c>
      <c r="BE46" s="102">
        <v>2</v>
      </c>
      <c r="BF46" s="110">
        <f t="shared" si="62"/>
        <v>93.333333333333343</v>
      </c>
      <c r="BG46" s="102">
        <v>2</v>
      </c>
      <c r="BH46" s="102">
        <v>0</v>
      </c>
      <c r="BI46" s="102">
        <v>2</v>
      </c>
      <c r="BJ46" s="110">
        <f t="shared" si="63"/>
        <v>53.333333333333329</v>
      </c>
      <c r="BK46" s="102">
        <v>2</v>
      </c>
      <c r="BL46" s="102">
        <v>2</v>
      </c>
      <c r="BM46" s="102">
        <v>2</v>
      </c>
      <c r="BN46" s="110">
        <f t="shared" si="64"/>
        <v>80</v>
      </c>
      <c r="BO46" s="102">
        <v>1</v>
      </c>
      <c r="BP46" s="102">
        <v>0</v>
      </c>
      <c r="BQ46" s="102">
        <v>0</v>
      </c>
      <c r="BR46" s="113">
        <v>93.333333330000002</v>
      </c>
      <c r="BS46" s="102">
        <v>3</v>
      </c>
      <c r="BT46" s="102">
        <v>1</v>
      </c>
      <c r="BU46" s="102">
        <v>0</v>
      </c>
      <c r="BV46" s="113">
        <v>93.333333330000002</v>
      </c>
      <c r="BW46" s="102">
        <v>1</v>
      </c>
      <c r="BX46" s="102">
        <v>1</v>
      </c>
      <c r="BY46" s="102">
        <v>1</v>
      </c>
      <c r="BZ46" s="113">
        <v>93.333333330000002</v>
      </c>
    </row>
    <row r="47" spans="1:78" x14ac:dyDescent="0.2">
      <c r="B47" s="101" t="s">
        <v>3</v>
      </c>
      <c r="C47" s="102">
        <v>17</v>
      </c>
      <c r="D47" s="102">
        <v>33</v>
      </c>
      <c r="E47" s="102">
        <v>6</v>
      </c>
      <c r="F47" s="110">
        <f t="shared" si="48"/>
        <v>746.66666666666674</v>
      </c>
      <c r="G47" s="102">
        <v>31</v>
      </c>
      <c r="H47" s="102">
        <v>3</v>
      </c>
      <c r="I47" s="102">
        <v>31</v>
      </c>
      <c r="J47" s="110">
        <f t="shared" si="49"/>
        <v>866.66666666666674</v>
      </c>
      <c r="K47" s="102">
        <v>19</v>
      </c>
      <c r="L47" s="102">
        <v>16</v>
      </c>
      <c r="M47" s="110">
        <f t="shared" si="50"/>
        <v>700</v>
      </c>
      <c r="N47" s="102">
        <v>24</v>
      </c>
      <c r="O47" s="102">
        <v>30</v>
      </c>
      <c r="P47" s="102">
        <v>6</v>
      </c>
      <c r="Q47" s="110">
        <f t="shared" si="51"/>
        <v>800</v>
      </c>
      <c r="R47" s="102">
        <v>18</v>
      </c>
      <c r="S47" s="102">
        <v>35</v>
      </c>
      <c r="T47" s="102">
        <v>32</v>
      </c>
      <c r="U47" s="110">
        <f t="shared" si="52"/>
        <v>1133.3333333333333</v>
      </c>
      <c r="V47" s="102">
        <v>22</v>
      </c>
      <c r="W47" s="102">
        <v>10</v>
      </c>
      <c r="X47" s="102">
        <v>5</v>
      </c>
      <c r="Y47" s="110">
        <f t="shared" si="53"/>
        <v>493.33333333333337</v>
      </c>
      <c r="Z47" s="102">
        <v>23</v>
      </c>
      <c r="AA47" s="102">
        <v>19</v>
      </c>
      <c r="AB47" s="102">
        <v>52</v>
      </c>
      <c r="AC47" s="110">
        <f t="shared" si="54"/>
        <v>1253.3333333333333</v>
      </c>
      <c r="AD47" s="102">
        <v>3</v>
      </c>
      <c r="AE47" s="102">
        <v>7</v>
      </c>
      <c r="AF47" s="110">
        <f t="shared" si="55"/>
        <v>200</v>
      </c>
      <c r="AG47" s="102">
        <v>19</v>
      </c>
      <c r="AH47" s="102">
        <v>6</v>
      </c>
      <c r="AI47" s="110">
        <f t="shared" si="56"/>
        <v>500</v>
      </c>
      <c r="AJ47" s="102">
        <v>12</v>
      </c>
      <c r="AK47" s="102">
        <v>15</v>
      </c>
      <c r="AL47" s="102">
        <v>4</v>
      </c>
      <c r="AM47" s="110">
        <f t="shared" si="57"/>
        <v>413.33333333333337</v>
      </c>
      <c r="AN47" s="102">
        <v>12</v>
      </c>
      <c r="AO47" s="102">
        <v>16</v>
      </c>
      <c r="AP47" s="102">
        <v>14</v>
      </c>
      <c r="AQ47" s="110">
        <f t="shared" si="58"/>
        <v>560</v>
      </c>
      <c r="AR47" s="102">
        <v>18</v>
      </c>
      <c r="AS47" s="102">
        <v>4</v>
      </c>
      <c r="AT47" s="102">
        <v>20</v>
      </c>
      <c r="AU47" s="110">
        <f t="shared" si="59"/>
        <v>560</v>
      </c>
      <c r="AV47" s="102">
        <v>13</v>
      </c>
      <c r="AW47" s="102">
        <v>17</v>
      </c>
      <c r="AX47" s="102">
        <v>9</v>
      </c>
      <c r="AY47" s="110">
        <f t="shared" si="60"/>
        <v>520</v>
      </c>
      <c r="AZ47" s="102">
        <v>24</v>
      </c>
      <c r="BA47" s="102">
        <v>28</v>
      </c>
      <c r="BB47" s="110">
        <f t="shared" si="61"/>
        <v>1040</v>
      </c>
      <c r="BC47" s="102">
        <v>8</v>
      </c>
      <c r="BD47" s="102">
        <v>5</v>
      </c>
      <c r="BE47" s="102">
        <v>0</v>
      </c>
      <c r="BF47" s="110">
        <f t="shared" si="62"/>
        <v>173.33333333333331</v>
      </c>
      <c r="BG47" s="102">
        <v>23</v>
      </c>
      <c r="BH47" s="102">
        <v>22</v>
      </c>
      <c r="BI47" s="102">
        <v>8</v>
      </c>
      <c r="BJ47" s="110">
        <f t="shared" si="63"/>
        <v>706.66666666666674</v>
      </c>
      <c r="BK47" s="102">
        <v>13</v>
      </c>
      <c r="BL47" s="102">
        <v>18</v>
      </c>
      <c r="BM47" s="102">
        <v>18</v>
      </c>
      <c r="BN47" s="110">
        <f t="shared" si="64"/>
        <v>653.33333333333326</v>
      </c>
      <c r="BO47" s="102">
        <v>11</v>
      </c>
      <c r="BP47" s="102">
        <v>2</v>
      </c>
      <c r="BQ47" s="102">
        <v>12</v>
      </c>
      <c r="BR47" s="113">
        <v>173.33333329999999</v>
      </c>
      <c r="BS47" s="102">
        <v>3</v>
      </c>
      <c r="BT47" s="102">
        <v>3</v>
      </c>
      <c r="BU47" s="102">
        <v>0</v>
      </c>
      <c r="BV47" s="113">
        <v>173.33333329999999</v>
      </c>
      <c r="BW47" s="102">
        <v>9</v>
      </c>
      <c r="BX47" s="102">
        <v>4</v>
      </c>
      <c r="BY47" s="102">
        <v>1</v>
      </c>
      <c r="BZ47" s="113">
        <v>173.33333329999999</v>
      </c>
    </row>
    <row r="48" spans="1:78" x14ac:dyDescent="0.2">
      <c r="B48" s="101" t="s">
        <v>4</v>
      </c>
      <c r="C48" s="102">
        <v>7</v>
      </c>
      <c r="D48" s="102">
        <v>7</v>
      </c>
      <c r="E48" s="102">
        <v>1</v>
      </c>
      <c r="F48" s="110">
        <f t="shared" si="48"/>
        <v>200</v>
      </c>
      <c r="G48" s="102">
        <v>10</v>
      </c>
      <c r="H48" s="102">
        <v>7</v>
      </c>
      <c r="I48" s="102">
        <v>8</v>
      </c>
      <c r="J48" s="110">
        <f t="shared" si="49"/>
        <v>333.33333333333337</v>
      </c>
      <c r="K48" s="102">
        <v>1</v>
      </c>
      <c r="L48" s="102">
        <v>4</v>
      </c>
      <c r="M48" s="110">
        <f t="shared" si="50"/>
        <v>100</v>
      </c>
      <c r="N48" s="102">
        <v>1</v>
      </c>
      <c r="O48" s="102">
        <v>1</v>
      </c>
      <c r="P48" s="102">
        <v>0</v>
      </c>
      <c r="Q48" s="110">
        <f t="shared" si="51"/>
        <v>26.666666666666664</v>
      </c>
      <c r="R48" s="102">
        <v>8</v>
      </c>
      <c r="S48" s="102">
        <v>17</v>
      </c>
      <c r="T48" s="102">
        <v>6</v>
      </c>
      <c r="U48" s="110">
        <f t="shared" si="52"/>
        <v>413.33333333333337</v>
      </c>
      <c r="V48" s="102">
        <v>9</v>
      </c>
      <c r="W48" s="102">
        <v>6</v>
      </c>
      <c r="X48" s="102">
        <v>9</v>
      </c>
      <c r="Y48" s="110">
        <f t="shared" si="53"/>
        <v>320</v>
      </c>
      <c r="Z48" s="102">
        <v>1</v>
      </c>
      <c r="AA48" s="102">
        <v>1</v>
      </c>
      <c r="AB48" s="102">
        <v>0</v>
      </c>
      <c r="AC48" s="110">
        <f t="shared" si="54"/>
        <v>26.666666666666664</v>
      </c>
      <c r="AD48" s="102">
        <v>0</v>
      </c>
      <c r="AE48" s="102">
        <v>5</v>
      </c>
      <c r="AF48" s="110">
        <f t="shared" si="55"/>
        <v>100</v>
      </c>
      <c r="AG48" s="102">
        <v>92</v>
      </c>
      <c r="AH48" s="102">
        <v>105</v>
      </c>
      <c r="AI48" s="110">
        <f t="shared" si="56"/>
        <v>3940</v>
      </c>
      <c r="AJ48" s="102">
        <v>37</v>
      </c>
      <c r="AK48" s="102">
        <v>7</v>
      </c>
      <c r="AL48" s="102">
        <v>8</v>
      </c>
      <c r="AM48" s="110">
        <f t="shared" si="57"/>
        <v>693.33333333333326</v>
      </c>
      <c r="AN48" s="102">
        <v>7</v>
      </c>
      <c r="AO48" s="102">
        <v>73</v>
      </c>
      <c r="AP48" s="102">
        <v>112</v>
      </c>
      <c r="AQ48" s="110">
        <f t="shared" si="58"/>
        <v>2560</v>
      </c>
      <c r="AR48" s="102">
        <v>8</v>
      </c>
      <c r="AS48" s="102">
        <v>4</v>
      </c>
      <c r="AT48" s="102">
        <v>79</v>
      </c>
      <c r="AU48" s="110">
        <f t="shared" si="59"/>
        <v>1213.3333333333333</v>
      </c>
      <c r="AV48" s="102">
        <v>5</v>
      </c>
      <c r="AW48" s="102">
        <v>2</v>
      </c>
      <c r="AX48" s="102">
        <v>8</v>
      </c>
      <c r="AY48" s="110">
        <f t="shared" si="60"/>
        <v>200</v>
      </c>
      <c r="AZ48" s="102">
        <v>3</v>
      </c>
      <c r="BA48" s="102">
        <v>4</v>
      </c>
      <c r="BB48" s="110">
        <f t="shared" si="61"/>
        <v>140</v>
      </c>
      <c r="BC48" s="102">
        <v>28</v>
      </c>
      <c r="BD48" s="102">
        <v>5</v>
      </c>
      <c r="BE48" s="102">
        <v>43</v>
      </c>
      <c r="BF48" s="110">
        <f t="shared" si="62"/>
        <v>1013.3333333333333</v>
      </c>
      <c r="BG48" s="102">
        <v>2</v>
      </c>
      <c r="BH48" s="102">
        <v>2</v>
      </c>
      <c r="BI48" s="102">
        <v>1</v>
      </c>
      <c r="BJ48" s="110">
        <f t="shared" si="63"/>
        <v>66.666666666666671</v>
      </c>
      <c r="BK48" s="102">
        <v>6</v>
      </c>
      <c r="BL48" s="102">
        <v>6</v>
      </c>
      <c r="BM48" s="102">
        <v>5</v>
      </c>
      <c r="BN48" s="110">
        <f t="shared" si="64"/>
        <v>226.66666666666669</v>
      </c>
      <c r="BO48" s="102">
        <v>1</v>
      </c>
      <c r="BP48" s="102">
        <v>3</v>
      </c>
      <c r="BQ48" s="102">
        <v>5</v>
      </c>
      <c r="BR48" s="113">
        <v>1013.333333</v>
      </c>
      <c r="BS48" s="102">
        <v>33</v>
      </c>
      <c r="BT48" s="102">
        <v>0</v>
      </c>
      <c r="BU48" s="102">
        <v>0</v>
      </c>
      <c r="BV48" s="113">
        <v>1013.333333</v>
      </c>
      <c r="BW48" s="102">
        <v>11</v>
      </c>
      <c r="BX48" s="102">
        <v>6</v>
      </c>
      <c r="BY48" s="102">
        <v>10</v>
      </c>
      <c r="BZ48" s="113">
        <v>1013.333333</v>
      </c>
    </row>
    <row r="51" spans="1:53" x14ac:dyDescent="0.2">
      <c r="B51" s="95" t="s">
        <v>200</v>
      </c>
      <c r="C51" s="96" t="s">
        <v>201</v>
      </c>
      <c r="D51" s="96"/>
      <c r="E51" s="96"/>
      <c r="F51" s="96"/>
      <c r="G51" s="96"/>
      <c r="H51" s="96"/>
      <c r="I51" s="96"/>
      <c r="J51" s="96"/>
      <c r="K51" s="96"/>
      <c r="L51" s="96"/>
      <c r="M51" s="96"/>
      <c r="N51" s="96"/>
      <c r="O51" s="96"/>
      <c r="P51" s="96"/>
      <c r="Q51" s="96"/>
      <c r="R51" s="96"/>
      <c r="S51" s="96"/>
      <c r="T51" s="96"/>
    </row>
    <row r="52" spans="1:53" x14ac:dyDescent="0.2">
      <c r="B52" s="97"/>
      <c r="C52" s="98" t="s">
        <v>216</v>
      </c>
      <c r="D52" s="98"/>
      <c r="E52" s="98" t="s">
        <v>217</v>
      </c>
      <c r="F52" s="98" t="s">
        <v>218</v>
      </c>
      <c r="G52" s="98"/>
      <c r="H52" s="98" t="s">
        <v>219</v>
      </c>
      <c r="I52" s="98" t="s">
        <v>224</v>
      </c>
      <c r="J52" s="98"/>
      <c r="K52" s="98" t="s">
        <v>225</v>
      </c>
      <c r="L52" s="98" t="s">
        <v>226</v>
      </c>
      <c r="M52" s="98"/>
      <c r="N52" s="98" t="s">
        <v>227</v>
      </c>
      <c r="O52" s="98" t="s">
        <v>228</v>
      </c>
      <c r="P52" s="98"/>
      <c r="Q52" s="98" t="s">
        <v>229</v>
      </c>
      <c r="R52" s="98" t="s">
        <v>230</v>
      </c>
      <c r="S52" s="98"/>
      <c r="T52" s="98" t="s">
        <v>231</v>
      </c>
    </row>
    <row r="53" spans="1:53" x14ac:dyDescent="0.2">
      <c r="A53">
        <v>2013</v>
      </c>
      <c r="B53" s="100" t="s">
        <v>5</v>
      </c>
      <c r="C53" s="100">
        <v>1</v>
      </c>
      <c r="D53" s="100">
        <v>2</v>
      </c>
      <c r="E53" s="98"/>
      <c r="F53" s="100">
        <v>1</v>
      </c>
      <c r="G53" s="100">
        <v>2</v>
      </c>
      <c r="H53" s="98"/>
      <c r="I53" s="100">
        <v>1</v>
      </c>
      <c r="J53" s="100">
        <v>2</v>
      </c>
      <c r="K53" s="98"/>
      <c r="L53" s="100">
        <v>1</v>
      </c>
      <c r="M53" s="100">
        <v>2</v>
      </c>
      <c r="N53" s="98"/>
      <c r="O53" s="100">
        <v>1</v>
      </c>
      <c r="P53" s="100">
        <v>2</v>
      </c>
      <c r="Q53" s="98"/>
      <c r="R53" s="100">
        <v>1</v>
      </c>
      <c r="S53" s="100">
        <v>2</v>
      </c>
      <c r="T53" s="98"/>
    </row>
    <row r="54" spans="1:53" x14ac:dyDescent="0.2">
      <c r="B54" s="101" t="s">
        <v>0</v>
      </c>
      <c r="C54" s="102">
        <v>55</v>
      </c>
      <c r="D54" s="102">
        <v>63</v>
      </c>
      <c r="E54" s="110">
        <f>AVERAGE(C54:D54)*40</f>
        <v>2360</v>
      </c>
      <c r="F54" s="102">
        <v>151</v>
      </c>
      <c r="G54" s="102">
        <v>64</v>
      </c>
      <c r="H54" s="110">
        <f>AVERAGE(F54:G54)*40</f>
        <v>4300</v>
      </c>
      <c r="I54" s="102">
        <v>17</v>
      </c>
      <c r="J54" s="102">
        <v>30</v>
      </c>
      <c r="K54" s="110">
        <f>AVERAGE(I54:J54)*40</f>
        <v>940</v>
      </c>
      <c r="L54" s="102">
        <v>87</v>
      </c>
      <c r="M54" s="102">
        <v>70</v>
      </c>
      <c r="N54" s="110">
        <f>AVERAGE(L54:M54)*40</f>
        <v>3140</v>
      </c>
      <c r="O54" s="102">
        <v>85</v>
      </c>
      <c r="P54" s="102">
        <v>57</v>
      </c>
      <c r="Q54" s="110">
        <f>AVERAGE(O54:P54)*40</f>
        <v>2840</v>
      </c>
      <c r="R54" s="102">
        <v>52</v>
      </c>
      <c r="S54" s="102">
        <v>64</v>
      </c>
      <c r="T54" s="110">
        <f>AVERAGE(R54:S54)*40</f>
        <v>2320</v>
      </c>
    </row>
    <row r="55" spans="1:53" x14ac:dyDescent="0.2">
      <c r="B55" s="101" t="s">
        <v>1</v>
      </c>
      <c r="C55" s="102">
        <v>11</v>
      </c>
      <c r="D55" s="102">
        <v>5</v>
      </c>
      <c r="E55" s="110">
        <f t="shared" ref="E55:E58" si="65">AVERAGE(C55:D55)*40</f>
        <v>320</v>
      </c>
      <c r="F55" s="102">
        <v>12</v>
      </c>
      <c r="G55" s="102">
        <v>6</v>
      </c>
      <c r="H55" s="110">
        <f t="shared" ref="H55:H58" si="66">AVERAGE(F55:G55)*40</f>
        <v>360</v>
      </c>
      <c r="I55" s="102">
        <v>11</v>
      </c>
      <c r="J55" s="102">
        <v>7</v>
      </c>
      <c r="K55" s="110">
        <f t="shared" ref="K55:K58" si="67">AVERAGE(I55:J55)*40</f>
        <v>360</v>
      </c>
      <c r="L55" s="102">
        <v>19</v>
      </c>
      <c r="M55" s="102">
        <v>13</v>
      </c>
      <c r="N55" s="110">
        <f t="shared" ref="N55:N58" si="68">AVERAGE(L55:M55)*40</f>
        <v>640</v>
      </c>
      <c r="O55" s="102">
        <v>27</v>
      </c>
      <c r="P55" s="102">
        <v>10</v>
      </c>
      <c r="Q55" s="110">
        <f t="shared" ref="Q55:Q58" si="69">AVERAGE(O55:P55)*40</f>
        <v>740</v>
      </c>
      <c r="R55" s="102">
        <v>18</v>
      </c>
      <c r="S55" s="102">
        <v>9</v>
      </c>
      <c r="T55" s="110">
        <f t="shared" ref="T55:T58" si="70">AVERAGE(R55:S55)*40</f>
        <v>540</v>
      </c>
    </row>
    <row r="56" spans="1:53" x14ac:dyDescent="0.2">
      <c r="B56" s="101" t="s">
        <v>2</v>
      </c>
      <c r="C56" s="102">
        <v>0</v>
      </c>
      <c r="D56" s="102">
        <v>3</v>
      </c>
      <c r="E56" s="110">
        <f t="shared" si="65"/>
        <v>60</v>
      </c>
      <c r="F56" s="102">
        <v>6</v>
      </c>
      <c r="G56" s="102">
        <v>1</v>
      </c>
      <c r="H56" s="110">
        <f t="shared" si="66"/>
        <v>140</v>
      </c>
      <c r="I56" s="102">
        <v>0</v>
      </c>
      <c r="J56" s="102">
        <v>1</v>
      </c>
      <c r="K56" s="110">
        <f t="shared" si="67"/>
        <v>20</v>
      </c>
      <c r="L56" s="102">
        <v>3</v>
      </c>
      <c r="M56" s="102">
        <v>0</v>
      </c>
      <c r="N56" s="110">
        <f t="shared" si="68"/>
        <v>60</v>
      </c>
      <c r="O56" s="102">
        <v>4</v>
      </c>
      <c r="P56" s="102">
        <v>6</v>
      </c>
      <c r="Q56" s="110">
        <f t="shared" si="69"/>
        <v>200</v>
      </c>
      <c r="R56" s="102">
        <v>3</v>
      </c>
      <c r="S56" s="102">
        <v>2</v>
      </c>
      <c r="T56" s="110">
        <f t="shared" si="70"/>
        <v>100</v>
      </c>
    </row>
    <row r="57" spans="1:53" x14ac:dyDescent="0.2">
      <c r="B57" s="101" t="s">
        <v>3</v>
      </c>
      <c r="C57" s="102">
        <v>11</v>
      </c>
      <c r="D57" s="102">
        <v>14</v>
      </c>
      <c r="E57" s="110">
        <f t="shared" si="65"/>
        <v>500</v>
      </c>
      <c r="F57" s="102">
        <v>27</v>
      </c>
      <c r="G57" s="102">
        <v>3</v>
      </c>
      <c r="H57" s="110">
        <f t="shared" si="66"/>
        <v>600</v>
      </c>
      <c r="I57" s="102">
        <v>1</v>
      </c>
      <c r="J57" s="102">
        <v>3</v>
      </c>
      <c r="K57" s="110">
        <f t="shared" si="67"/>
        <v>80</v>
      </c>
      <c r="L57" s="102">
        <v>10</v>
      </c>
      <c r="M57" s="102">
        <v>11</v>
      </c>
      <c r="N57" s="110">
        <f t="shared" si="68"/>
        <v>420</v>
      </c>
      <c r="O57" s="102">
        <v>6</v>
      </c>
      <c r="P57" s="102">
        <v>6</v>
      </c>
      <c r="Q57" s="110">
        <f t="shared" si="69"/>
        <v>240</v>
      </c>
      <c r="R57" s="102">
        <v>25</v>
      </c>
      <c r="S57" s="102">
        <v>15</v>
      </c>
      <c r="T57" s="110">
        <f t="shared" si="70"/>
        <v>800</v>
      </c>
    </row>
    <row r="58" spans="1:53" x14ac:dyDescent="0.2">
      <c r="B58" s="101" t="s">
        <v>4</v>
      </c>
      <c r="C58" s="102">
        <v>7</v>
      </c>
      <c r="D58" s="102">
        <v>37</v>
      </c>
      <c r="E58" s="110">
        <f t="shared" si="65"/>
        <v>880</v>
      </c>
      <c r="F58" s="102">
        <v>9</v>
      </c>
      <c r="G58" s="102">
        <v>70</v>
      </c>
      <c r="H58" s="110">
        <f t="shared" si="66"/>
        <v>1580</v>
      </c>
      <c r="I58" s="102">
        <v>20</v>
      </c>
      <c r="J58" s="102">
        <v>20</v>
      </c>
      <c r="K58" s="110">
        <f t="shared" si="67"/>
        <v>800</v>
      </c>
      <c r="L58" s="102">
        <v>2</v>
      </c>
      <c r="M58" s="102">
        <v>1</v>
      </c>
      <c r="N58" s="110">
        <f t="shared" si="68"/>
        <v>60</v>
      </c>
      <c r="O58" s="102">
        <v>5</v>
      </c>
      <c r="P58" s="102">
        <v>6</v>
      </c>
      <c r="Q58" s="110">
        <f t="shared" si="69"/>
        <v>220</v>
      </c>
      <c r="R58" s="102">
        <v>5</v>
      </c>
      <c r="S58" s="102">
        <v>4</v>
      </c>
      <c r="T58" s="110">
        <f t="shared" si="70"/>
        <v>180</v>
      </c>
    </row>
    <row r="59" spans="1:53" x14ac:dyDescent="0.2">
      <c r="B59" s="119"/>
      <c r="C59" s="120"/>
      <c r="D59" s="120"/>
      <c r="E59" s="121"/>
      <c r="F59" s="120"/>
      <c r="G59" s="120"/>
      <c r="H59" s="121"/>
      <c r="I59" s="120"/>
      <c r="J59" s="120"/>
      <c r="K59" s="121"/>
      <c r="L59" s="120"/>
      <c r="M59" s="120"/>
      <c r="N59" s="121"/>
      <c r="O59" s="120"/>
      <c r="P59" s="120"/>
      <c r="Q59" s="121"/>
      <c r="R59" s="120"/>
      <c r="S59" s="120"/>
      <c r="T59" s="121"/>
    </row>
    <row r="61" spans="1:53" x14ac:dyDescent="0.2">
      <c r="B61" s="97"/>
      <c r="C61" s="98" t="s">
        <v>202</v>
      </c>
      <c r="D61" s="98"/>
      <c r="E61" s="98" t="s">
        <v>203</v>
      </c>
      <c r="F61" s="98" t="s">
        <v>204</v>
      </c>
      <c r="G61" s="98"/>
      <c r="H61" s="98" t="s">
        <v>205</v>
      </c>
      <c r="I61" s="98" t="s">
        <v>242</v>
      </c>
      <c r="J61" s="98"/>
      <c r="K61" s="98" t="s">
        <v>243</v>
      </c>
      <c r="L61" s="98" t="s">
        <v>244</v>
      </c>
      <c r="M61" s="98"/>
      <c r="N61" s="98" t="s">
        <v>245</v>
      </c>
      <c r="O61" s="98" t="s">
        <v>208</v>
      </c>
      <c r="P61" s="98"/>
      <c r="Q61" s="98" t="s">
        <v>209</v>
      </c>
      <c r="R61" s="98" t="s">
        <v>248</v>
      </c>
      <c r="S61" s="98"/>
      <c r="T61" s="98" t="s">
        <v>249</v>
      </c>
      <c r="U61" s="98" t="s">
        <v>210</v>
      </c>
      <c r="V61" s="98"/>
      <c r="W61" s="98" t="s">
        <v>211</v>
      </c>
      <c r="X61" s="98" t="s">
        <v>214</v>
      </c>
      <c r="Y61" s="98"/>
      <c r="Z61" s="98" t="s">
        <v>215</v>
      </c>
      <c r="AA61" s="98" t="s">
        <v>218</v>
      </c>
      <c r="AB61" s="98"/>
      <c r="AC61" s="98" t="s">
        <v>219</v>
      </c>
      <c r="AD61" s="98" t="s">
        <v>238</v>
      </c>
      <c r="AE61" s="98"/>
      <c r="AF61" s="98" t="s">
        <v>239</v>
      </c>
      <c r="AG61" s="98" t="s">
        <v>222</v>
      </c>
      <c r="AH61" s="98"/>
      <c r="AI61" s="98" t="s">
        <v>223</v>
      </c>
      <c r="AJ61" s="98" t="s">
        <v>224</v>
      </c>
      <c r="AK61" s="98"/>
      <c r="AL61" s="98" t="s">
        <v>225</v>
      </c>
      <c r="AM61" s="98" t="s">
        <v>226</v>
      </c>
      <c r="AN61" s="98"/>
      <c r="AO61" s="98" t="s">
        <v>227</v>
      </c>
      <c r="AP61" s="98" t="s">
        <v>240</v>
      </c>
      <c r="AQ61" s="98"/>
      <c r="AR61" s="98" t="s">
        <v>241</v>
      </c>
      <c r="AS61" s="98" t="s">
        <v>230</v>
      </c>
      <c r="AT61" s="98"/>
      <c r="AU61" s="98" t="s">
        <v>231</v>
      </c>
      <c r="AV61" s="98" t="s">
        <v>232</v>
      </c>
      <c r="AW61" s="98"/>
      <c r="AX61" s="98" t="s">
        <v>233</v>
      </c>
      <c r="AY61" s="98" t="s">
        <v>234</v>
      </c>
      <c r="AZ61" s="98"/>
      <c r="BA61" s="98" t="s">
        <v>235</v>
      </c>
    </row>
    <row r="62" spans="1:53" x14ac:dyDescent="0.2">
      <c r="B62" s="100" t="s">
        <v>5</v>
      </c>
      <c r="C62" s="100">
        <v>1</v>
      </c>
      <c r="D62" s="100">
        <v>2</v>
      </c>
      <c r="E62" s="98"/>
      <c r="F62" s="100">
        <v>1</v>
      </c>
      <c r="G62" s="100">
        <v>2</v>
      </c>
      <c r="H62" s="98"/>
      <c r="I62" s="100">
        <v>1</v>
      </c>
      <c r="J62" s="100">
        <v>2</v>
      </c>
      <c r="K62" s="98"/>
      <c r="L62" s="100">
        <v>1</v>
      </c>
      <c r="M62" s="100">
        <v>2</v>
      </c>
      <c r="N62" s="98"/>
      <c r="O62" s="100">
        <v>1</v>
      </c>
      <c r="P62" s="100">
        <v>2</v>
      </c>
      <c r="Q62" s="98"/>
      <c r="R62" s="100">
        <v>1</v>
      </c>
      <c r="S62" s="100">
        <v>2</v>
      </c>
      <c r="T62" s="98"/>
      <c r="U62" s="100">
        <v>1</v>
      </c>
      <c r="V62" s="100">
        <v>2</v>
      </c>
      <c r="W62" s="98"/>
      <c r="X62" s="100">
        <v>1</v>
      </c>
      <c r="Y62" s="100">
        <v>2</v>
      </c>
      <c r="Z62" s="98"/>
      <c r="AA62" s="100">
        <v>1</v>
      </c>
      <c r="AB62" s="100">
        <v>2</v>
      </c>
      <c r="AC62" s="98"/>
      <c r="AD62" s="100">
        <v>1</v>
      </c>
      <c r="AE62" s="100">
        <v>2</v>
      </c>
      <c r="AF62" s="98"/>
      <c r="AG62" s="100">
        <v>1</v>
      </c>
      <c r="AH62" s="100">
        <v>2</v>
      </c>
      <c r="AI62" s="98"/>
      <c r="AJ62" s="100">
        <v>1</v>
      </c>
      <c r="AK62" s="100">
        <v>2</v>
      </c>
      <c r="AL62" s="98"/>
      <c r="AM62" s="100">
        <v>1</v>
      </c>
      <c r="AN62" s="100">
        <v>2</v>
      </c>
      <c r="AO62" s="98"/>
      <c r="AP62" s="100">
        <v>1</v>
      </c>
      <c r="AQ62" s="100">
        <v>2</v>
      </c>
      <c r="AR62" s="98"/>
      <c r="AS62" s="100">
        <v>1</v>
      </c>
      <c r="AT62" s="100">
        <v>2</v>
      </c>
      <c r="AU62" s="98"/>
      <c r="AV62" s="100">
        <v>1</v>
      </c>
      <c r="AW62" s="100">
        <v>2</v>
      </c>
      <c r="AX62" s="98"/>
      <c r="AY62" s="100">
        <v>1</v>
      </c>
      <c r="AZ62" s="100">
        <v>2</v>
      </c>
      <c r="BA62" s="98"/>
    </row>
    <row r="63" spans="1:53" x14ac:dyDescent="0.2">
      <c r="B63" s="101" t="s">
        <v>0</v>
      </c>
      <c r="C63" s="102">
        <v>91</v>
      </c>
      <c r="D63" s="102">
        <v>79</v>
      </c>
      <c r="E63" s="110">
        <f>AVERAGE(C63:D63)*40</f>
        <v>3400</v>
      </c>
      <c r="F63" s="102">
        <v>155</v>
      </c>
      <c r="G63" s="102">
        <v>124</v>
      </c>
      <c r="H63" s="110">
        <f>AVERAGE(F63:G63)*40</f>
        <v>5580</v>
      </c>
      <c r="I63" s="102">
        <v>33</v>
      </c>
      <c r="J63" s="102">
        <v>8</v>
      </c>
      <c r="K63" s="110">
        <f>AVERAGE(I63:J63)*40</f>
        <v>820</v>
      </c>
      <c r="L63" s="102">
        <v>106</v>
      </c>
      <c r="M63" s="102">
        <v>127</v>
      </c>
      <c r="N63" s="110">
        <f>AVERAGE(L63:M63)*40</f>
        <v>4660</v>
      </c>
      <c r="O63" s="102">
        <v>186</v>
      </c>
      <c r="P63" s="102">
        <v>136</v>
      </c>
      <c r="Q63" s="110">
        <f>AVERAGE(O63:P63)*40</f>
        <v>6440</v>
      </c>
      <c r="R63" s="102">
        <v>20</v>
      </c>
      <c r="S63" s="102">
        <v>24</v>
      </c>
      <c r="T63" s="110">
        <f>AVERAGE(R63:S63)*40</f>
        <v>880</v>
      </c>
      <c r="U63" s="102">
        <v>90</v>
      </c>
      <c r="V63" s="102">
        <v>86</v>
      </c>
      <c r="W63" s="110">
        <f>AVERAGE(U63:V63)*40</f>
        <v>3520</v>
      </c>
      <c r="X63" s="102">
        <v>185</v>
      </c>
      <c r="Y63" s="102">
        <v>150</v>
      </c>
      <c r="Z63" s="110">
        <f>AVERAGE(X63:Y63)*40</f>
        <v>6700</v>
      </c>
      <c r="AA63" s="102">
        <v>78</v>
      </c>
      <c r="AB63" s="102">
        <v>116</v>
      </c>
      <c r="AC63" s="110">
        <f>AVERAGE(AA63:AB63)*40</f>
        <v>3880</v>
      </c>
      <c r="AD63" s="102">
        <v>22</v>
      </c>
      <c r="AE63" s="102">
        <v>36</v>
      </c>
      <c r="AF63" s="110">
        <f>AVERAGE(AD63:AE63)*40</f>
        <v>1160</v>
      </c>
      <c r="AG63" s="102">
        <v>10</v>
      </c>
      <c r="AH63" s="102">
        <v>9</v>
      </c>
      <c r="AI63" s="110">
        <f>AVERAGE(AG63:AH63)*40</f>
        <v>380</v>
      </c>
      <c r="AJ63" s="102">
        <v>40</v>
      </c>
      <c r="AK63" s="102">
        <v>32</v>
      </c>
      <c r="AL63" s="110">
        <f>AVERAGE(AJ63:AK63)*40</f>
        <v>1440</v>
      </c>
      <c r="AM63" s="102">
        <v>47</v>
      </c>
      <c r="AN63" s="102">
        <v>70</v>
      </c>
      <c r="AO63" s="110">
        <f>AVERAGE(AM63:AN63)*40</f>
        <v>2340</v>
      </c>
      <c r="AP63" s="102">
        <v>14</v>
      </c>
      <c r="AQ63" s="102">
        <v>18</v>
      </c>
      <c r="AR63" s="110">
        <f>AVERAGE(AP63:AQ63)*40</f>
        <v>640</v>
      </c>
      <c r="AS63" s="102">
        <v>84</v>
      </c>
      <c r="AT63" s="102">
        <v>247</v>
      </c>
      <c r="AU63" s="110">
        <f>AVERAGE(AS63:AT63)*40</f>
        <v>6620</v>
      </c>
      <c r="AV63" s="102">
        <v>31</v>
      </c>
      <c r="AW63" s="102">
        <v>33</v>
      </c>
      <c r="AX63" s="110">
        <f>AVERAGE(AV63:AW63)*40</f>
        <v>1280</v>
      </c>
      <c r="AY63" s="102">
        <v>107</v>
      </c>
      <c r="AZ63" s="102">
        <v>111</v>
      </c>
      <c r="BA63" s="110">
        <f>AVERAGE(AY63:AZ63)*40</f>
        <v>4360</v>
      </c>
    </row>
    <row r="64" spans="1:53" x14ac:dyDescent="0.2">
      <c r="B64" s="101" t="s">
        <v>1</v>
      </c>
      <c r="C64" s="102">
        <v>16</v>
      </c>
      <c r="D64" s="102">
        <v>21</v>
      </c>
      <c r="E64" s="110">
        <f t="shared" ref="E64:E67" si="71">AVERAGE(C64:D64)*40</f>
        <v>740</v>
      </c>
      <c r="F64" s="102">
        <v>5</v>
      </c>
      <c r="G64" s="102">
        <v>7</v>
      </c>
      <c r="H64" s="110">
        <f t="shared" ref="H64:H67" si="72">AVERAGE(F64:G64)*40</f>
        <v>240</v>
      </c>
      <c r="I64" s="102">
        <v>1</v>
      </c>
      <c r="J64" s="102">
        <v>4</v>
      </c>
      <c r="K64" s="110">
        <f t="shared" ref="K64:K67" si="73">AVERAGE(I64:J64)*40</f>
        <v>100</v>
      </c>
      <c r="L64" s="102">
        <v>7</v>
      </c>
      <c r="M64" s="102">
        <v>7</v>
      </c>
      <c r="N64" s="110">
        <f t="shared" ref="N64:N67" si="74">AVERAGE(L64:M64)*40</f>
        <v>280</v>
      </c>
      <c r="O64" s="102">
        <v>11</v>
      </c>
      <c r="P64" s="102">
        <v>9</v>
      </c>
      <c r="Q64" s="110">
        <f t="shared" ref="Q64:Q67" si="75">AVERAGE(O64:P64)*40</f>
        <v>400</v>
      </c>
      <c r="R64" s="102">
        <v>1</v>
      </c>
      <c r="S64" s="102">
        <v>5</v>
      </c>
      <c r="T64" s="110">
        <f t="shared" ref="T64:T67" si="76">AVERAGE(R64:S64)*40</f>
        <v>120</v>
      </c>
      <c r="U64" s="102">
        <v>5</v>
      </c>
      <c r="V64" s="102">
        <v>4</v>
      </c>
      <c r="W64" s="110">
        <f t="shared" ref="W64:W67" si="77">AVERAGE(U64:V64)*40</f>
        <v>180</v>
      </c>
      <c r="X64" s="102">
        <v>4</v>
      </c>
      <c r="Y64" s="102">
        <v>11</v>
      </c>
      <c r="Z64" s="110">
        <f t="shared" ref="Z64:Z67" si="78">AVERAGE(X64:Y64)*40</f>
        <v>300</v>
      </c>
      <c r="AA64" s="102">
        <v>8</v>
      </c>
      <c r="AB64" s="102">
        <v>11</v>
      </c>
      <c r="AC64" s="110">
        <f t="shared" ref="AC64:AC67" si="79">AVERAGE(AA64:AB64)*40</f>
        <v>380</v>
      </c>
      <c r="AD64" s="102">
        <v>2</v>
      </c>
      <c r="AE64" s="102">
        <v>5</v>
      </c>
      <c r="AF64" s="110">
        <f t="shared" ref="AF64:AF67" si="80">AVERAGE(AD64:AE64)*40</f>
        <v>140</v>
      </c>
      <c r="AG64" s="102">
        <v>2</v>
      </c>
      <c r="AH64" s="102">
        <v>3</v>
      </c>
      <c r="AI64" s="110">
        <f t="shared" ref="AI64:AI67" si="81">AVERAGE(AG64:AH64)*40</f>
        <v>100</v>
      </c>
      <c r="AJ64" s="102">
        <v>7</v>
      </c>
      <c r="AK64" s="102">
        <v>9</v>
      </c>
      <c r="AL64" s="110">
        <f t="shared" ref="AL64:AL67" si="82">AVERAGE(AJ64:AK64)*40</f>
        <v>320</v>
      </c>
      <c r="AM64" s="102">
        <v>3</v>
      </c>
      <c r="AN64" s="102">
        <v>7</v>
      </c>
      <c r="AO64" s="110">
        <f t="shared" ref="AO64:AO67" si="83">AVERAGE(AM64:AN64)*40</f>
        <v>200</v>
      </c>
      <c r="AP64" s="102">
        <v>14</v>
      </c>
      <c r="AQ64" s="102">
        <v>4</v>
      </c>
      <c r="AR64" s="110">
        <f t="shared" ref="AR64:AR67" si="84">AVERAGE(AP64:AQ64)*40</f>
        <v>360</v>
      </c>
      <c r="AS64" s="102">
        <v>10</v>
      </c>
      <c r="AT64" s="102">
        <v>9</v>
      </c>
      <c r="AU64" s="110">
        <f t="shared" ref="AU64:AU67" si="85">AVERAGE(AS64:AT64)*40</f>
        <v>380</v>
      </c>
      <c r="AV64" s="102">
        <v>5</v>
      </c>
      <c r="AW64" s="102">
        <v>4</v>
      </c>
      <c r="AX64" s="110">
        <f t="shared" ref="AX64:AX67" si="86">AVERAGE(AV64:AW64)*40</f>
        <v>180</v>
      </c>
      <c r="AY64" s="102">
        <v>4</v>
      </c>
      <c r="AZ64" s="102">
        <v>6</v>
      </c>
      <c r="BA64" s="110">
        <f t="shared" ref="BA64:BA67" si="87">AVERAGE(AY64:AZ64)*40</f>
        <v>200</v>
      </c>
    </row>
    <row r="65" spans="2:53" x14ac:dyDescent="0.2">
      <c r="B65" s="101" t="s">
        <v>2</v>
      </c>
      <c r="C65" s="102">
        <v>32</v>
      </c>
      <c r="D65" s="102">
        <v>44</v>
      </c>
      <c r="E65" s="110">
        <f t="shared" si="71"/>
        <v>1520</v>
      </c>
      <c r="F65" s="102">
        <v>0</v>
      </c>
      <c r="G65" s="102">
        <v>0</v>
      </c>
      <c r="H65" s="110">
        <f t="shared" si="72"/>
        <v>0</v>
      </c>
      <c r="I65" s="102">
        <v>1</v>
      </c>
      <c r="J65" s="102">
        <v>1</v>
      </c>
      <c r="K65" s="110">
        <f t="shared" si="73"/>
        <v>40</v>
      </c>
      <c r="L65" s="102">
        <v>0</v>
      </c>
      <c r="M65" s="102">
        <v>1</v>
      </c>
      <c r="N65" s="110">
        <f t="shared" si="74"/>
        <v>20</v>
      </c>
      <c r="O65" s="102">
        <v>0</v>
      </c>
      <c r="P65" s="102">
        <v>0</v>
      </c>
      <c r="Q65" s="110">
        <f t="shared" si="75"/>
        <v>0</v>
      </c>
      <c r="R65" s="102">
        <v>0</v>
      </c>
      <c r="S65" s="102">
        <v>1</v>
      </c>
      <c r="T65" s="110">
        <f t="shared" si="76"/>
        <v>20</v>
      </c>
      <c r="U65" s="102">
        <v>0</v>
      </c>
      <c r="V65" s="102">
        <v>0</v>
      </c>
      <c r="W65" s="110">
        <f t="shared" si="77"/>
        <v>0</v>
      </c>
      <c r="X65" s="102">
        <v>0</v>
      </c>
      <c r="Y65" s="102">
        <v>1</v>
      </c>
      <c r="Z65" s="110">
        <f t="shared" si="78"/>
        <v>20</v>
      </c>
      <c r="AA65" s="102">
        <v>2</v>
      </c>
      <c r="AB65" s="102">
        <v>1</v>
      </c>
      <c r="AC65" s="110">
        <f t="shared" si="79"/>
        <v>60</v>
      </c>
      <c r="AD65" s="102">
        <v>1</v>
      </c>
      <c r="AE65" s="102">
        <v>2</v>
      </c>
      <c r="AF65" s="110">
        <f t="shared" si="80"/>
        <v>60</v>
      </c>
      <c r="AG65" s="102">
        <v>0</v>
      </c>
      <c r="AH65" s="102">
        <v>0</v>
      </c>
      <c r="AI65" s="110">
        <f t="shared" si="81"/>
        <v>0</v>
      </c>
      <c r="AJ65" s="102">
        <v>16</v>
      </c>
      <c r="AK65" s="102">
        <v>6</v>
      </c>
      <c r="AL65" s="110">
        <f t="shared" si="82"/>
        <v>440</v>
      </c>
      <c r="AM65" s="102">
        <v>0</v>
      </c>
      <c r="AN65" s="102">
        <v>0</v>
      </c>
      <c r="AO65" s="110">
        <f t="shared" si="83"/>
        <v>0</v>
      </c>
      <c r="AP65" s="102">
        <v>1</v>
      </c>
      <c r="AQ65" s="102">
        <v>1</v>
      </c>
      <c r="AR65" s="110">
        <f t="shared" si="84"/>
        <v>40</v>
      </c>
      <c r="AS65" s="102">
        <v>1</v>
      </c>
      <c r="AT65" s="102">
        <v>1</v>
      </c>
      <c r="AU65" s="110">
        <f t="shared" si="85"/>
        <v>40</v>
      </c>
      <c r="AV65" s="102">
        <v>0</v>
      </c>
      <c r="AW65" s="102">
        <v>8</v>
      </c>
      <c r="AX65" s="110">
        <f t="shared" si="86"/>
        <v>160</v>
      </c>
      <c r="AY65" s="102">
        <v>0</v>
      </c>
      <c r="AZ65" s="102">
        <v>0</v>
      </c>
      <c r="BA65" s="110">
        <f t="shared" si="87"/>
        <v>0</v>
      </c>
    </row>
    <row r="66" spans="2:53" x14ac:dyDescent="0.2">
      <c r="B66" s="101" t="s">
        <v>3</v>
      </c>
      <c r="C66" s="102">
        <v>12</v>
      </c>
      <c r="D66" s="102">
        <v>24</v>
      </c>
      <c r="E66" s="110">
        <f t="shared" si="71"/>
        <v>720</v>
      </c>
      <c r="F66" s="102">
        <v>5</v>
      </c>
      <c r="G66" s="102">
        <v>7</v>
      </c>
      <c r="H66" s="110">
        <f t="shared" si="72"/>
        <v>240</v>
      </c>
      <c r="I66" s="102">
        <v>7</v>
      </c>
      <c r="J66" s="102">
        <v>12</v>
      </c>
      <c r="K66" s="110">
        <f t="shared" si="73"/>
        <v>380</v>
      </c>
      <c r="L66" s="102">
        <v>14</v>
      </c>
      <c r="M66" s="102">
        <v>1</v>
      </c>
      <c r="N66" s="110">
        <f t="shared" si="74"/>
        <v>300</v>
      </c>
      <c r="O66" s="102">
        <v>35</v>
      </c>
      <c r="P66" s="102">
        <v>25</v>
      </c>
      <c r="Q66" s="110">
        <f t="shared" si="75"/>
        <v>1200</v>
      </c>
      <c r="R66" s="102">
        <v>0</v>
      </c>
      <c r="S66" s="102">
        <v>10</v>
      </c>
      <c r="T66" s="110">
        <f t="shared" si="76"/>
        <v>200</v>
      </c>
      <c r="U66" s="102">
        <v>0</v>
      </c>
      <c r="V66" s="102">
        <v>5</v>
      </c>
      <c r="W66" s="110">
        <f t="shared" si="77"/>
        <v>100</v>
      </c>
      <c r="X66" s="102">
        <v>17</v>
      </c>
      <c r="Y66" s="102">
        <v>23</v>
      </c>
      <c r="Z66" s="110">
        <f t="shared" si="78"/>
        <v>800</v>
      </c>
      <c r="AA66" s="102">
        <v>2</v>
      </c>
      <c r="AB66" s="102">
        <v>24</v>
      </c>
      <c r="AC66" s="110">
        <f t="shared" si="79"/>
        <v>520</v>
      </c>
      <c r="AD66" s="102">
        <v>0</v>
      </c>
      <c r="AE66" s="102">
        <v>0</v>
      </c>
      <c r="AF66" s="110">
        <f t="shared" si="80"/>
        <v>0</v>
      </c>
      <c r="AG66" s="102">
        <v>27</v>
      </c>
      <c r="AH66" s="102">
        <v>23</v>
      </c>
      <c r="AI66" s="110">
        <f t="shared" si="81"/>
        <v>1000</v>
      </c>
      <c r="AJ66" s="102">
        <v>0</v>
      </c>
      <c r="AK66" s="102">
        <v>10</v>
      </c>
      <c r="AL66" s="110">
        <f t="shared" si="82"/>
        <v>200</v>
      </c>
      <c r="AM66" s="102">
        <v>0</v>
      </c>
      <c r="AN66" s="102">
        <v>0</v>
      </c>
      <c r="AO66" s="110">
        <f t="shared" si="83"/>
        <v>0</v>
      </c>
      <c r="AP66" s="102">
        <v>26</v>
      </c>
      <c r="AQ66" s="102">
        <v>3</v>
      </c>
      <c r="AR66" s="110">
        <f t="shared" si="84"/>
        <v>580</v>
      </c>
      <c r="AS66" s="102">
        <v>17</v>
      </c>
      <c r="AT66" s="102">
        <v>19</v>
      </c>
      <c r="AU66" s="110">
        <f t="shared" si="85"/>
        <v>720</v>
      </c>
      <c r="AV66" s="102">
        <v>0</v>
      </c>
      <c r="AW66" s="102">
        <v>0</v>
      </c>
      <c r="AX66" s="110">
        <f t="shared" si="86"/>
        <v>0</v>
      </c>
      <c r="AY66" s="102">
        <v>0</v>
      </c>
      <c r="AZ66" s="102">
        <v>0</v>
      </c>
      <c r="BA66" s="110">
        <f t="shared" si="87"/>
        <v>0</v>
      </c>
    </row>
    <row r="67" spans="2:53" x14ac:dyDescent="0.2">
      <c r="B67" s="101" t="s">
        <v>4</v>
      </c>
      <c r="C67" s="102">
        <v>3</v>
      </c>
      <c r="D67" s="102">
        <v>7</v>
      </c>
      <c r="E67" s="110">
        <f t="shared" si="71"/>
        <v>200</v>
      </c>
      <c r="F67" s="102">
        <v>6</v>
      </c>
      <c r="G67" s="102">
        <v>4</v>
      </c>
      <c r="H67" s="110">
        <f t="shared" si="72"/>
        <v>200</v>
      </c>
      <c r="I67" s="102">
        <v>2</v>
      </c>
      <c r="J67" s="102">
        <v>1</v>
      </c>
      <c r="K67" s="110">
        <f t="shared" si="73"/>
        <v>60</v>
      </c>
      <c r="L67" s="102">
        <v>1</v>
      </c>
      <c r="M67" s="102">
        <v>1</v>
      </c>
      <c r="N67" s="110">
        <f t="shared" si="74"/>
        <v>40</v>
      </c>
      <c r="O67" s="102">
        <v>5</v>
      </c>
      <c r="P67" s="102">
        <v>1</v>
      </c>
      <c r="Q67" s="110">
        <f t="shared" si="75"/>
        <v>120</v>
      </c>
      <c r="R67" s="102">
        <v>1</v>
      </c>
      <c r="S67" s="102">
        <v>0</v>
      </c>
      <c r="T67" s="110">
        <f t="shared" si="76"/>
        <v>20</v>
      </c>
      <c r="U67" s="102">
        <v>0</v>
      </c>
      <c r="V67" s="102">
        <v>0</v>
      </c>
      <c r="W67" s="110">
        <f t="shared" si="77"/>
        <v>0</v>
      </c>
      <c r="X67" s="102">
        <v>60</v>
      </c>
      <c r="Y67" s="102">
        <v>82</v>
      </c>
      <c r="Z67" s="110">
        <f t="shared" si="78"/>
        <v>2840</v>
      </c>
      <c r="AA67" s="102">
        <v>420</v>
      </c>
      <c r="AB67" s="102">
        <v>50</v>
      </c>
      <c r="AC67" s="110">
        <f t="shared" si="79"/>
        <v>9400</v>
      </c>
      <c r="AD67" s="102">
        <v>2</v>
      </c>
      <c r="AE67" s="102">
        <v>5</v>
      </c>
      <c r="AF67" s="110">
        <f t="shared" si="80"/>
        <v>140</v>
      </c>
      <c r="AG67" s="102">
        <v>1</v>
      </c>
      <c r="AH67" s="102">
        <v>0</v>
      </c>
      <c r="AI67" s="110">
        <f t="shared" si="81"/>
        <v>20</v>
      </c>
      <c r="AJ67" s="102">
        <v>1</v>
      </c>
      <c r="AK67" s="102">
        <v>1</v>
      </c>
      <c r="AL67" s="110">
        <f t="shared" si="82"/>
        <v>40</v>
      </c>
      <c r="AM67" s="102">
        <v>0</v>
      </c>
      <c r="AN67" s="102">
        <v>0</v>
      </c>
      <c r="AO67" s="110">
        <f t="shared" si="83"/>
        <v>0</v>
      </c>
      <c r="AP67" s="102">
        <v>5</v>
      </c>
      <c r="AQ67" s="102">
        <v>2</v>
      </c>
      <c r="AR67" s="110">
        <f t="shared" si="84"/>
        <v>140</v>
      </c>
      <c r="AS67" s="102">
        <v>1</v>
      </c>
      <c r="AT67" s="102">
        <v>2</v>
      </c>
      <c r="AU67" s="110">
        <f t="shared" si="85"/>
        <v>60</v>
      </c>
      <c r="AV67" s="102">
        <v>2</v>
      </c>
      <c r="AW67" s="102">
        <v>2</v>
      </c>
      <c r="AX67" s="110">
        <f t="shared" si="86"/>
        <v>80</v>
      </c>
      <c r="AY67" s="102">
        <v>20</v>
      </c>
      <c r="AZ67" s="102">
        <v>24</v>
      </c>
      <c r="BA67" s="110">
        <f t="shared" si="87"/>
        <v>880</v>
      </c>
    </row>
    <row r="68" spans="2:53" x14ac:dyDescent="0.2">
      <c r="B68" s="119"/>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row>
    <row r="69" spans="2:53" x14ac:dyDescent="0.2">
      <c r="B69" s="119"/>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row>
    <row r="70" spans="2:53" x14ac:dyDescent="0.2">
      <c r="B70" s="119"/>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row>
    <row r="71" spans="2:53" x14ac:dyDescent="0.2">
      <c r="D71" s="98" t="s">
        <v>0</v>
      </c>
      <c r="E71" s="98" t="s">
        <v>1</v>
      </c>
      <c r="F71" s="98" t="s">
        <v>2</v>
      </c>
      <c r="G71" s="98" t="s">
        <v>3</v>
      </c>
      <c r="H71" s="98" t="s">
        <v>4</v>
      </c>
      <c r="L71" s="114" t="s">
        <v>253</v>
      </c>
      <c r="M71" s="98" t="s">
        <v>0</v>
      </c>
      <c r="N71" s="98" t="s">
        <v>1</v>
      </c>
      <c r="O71" s="98" t="s">
        <v>2</v>
      </c>
      <c r="P71" s="98" t="s">
        <v>3</v>
      </c>
      <c r="Q71" s="98" t="s">
        <v>4</v>
      </c>
    </row>
    <row r="72" spans="2:53" x14ac:dyDescent="0.2">
      <c r="B72" s="114" t="s">
        <v>224</v>
      </c>
      <c r="C72" s="115">
        <v>3</v>
      </c>
      <c r="D72" s="115">
        <v>585</v>
      </c>
      <c r="E72" s="115">
        <v>251</v>
      </c>
      <c r="F72" s="115">
        <v>39</v>
      </c>
      <c r="G72" s="115">
        <v>118</v>
      </c>
      <c r="H72" s="115">
        <v>823</v>
      </c>
      <c r="K72" s="115"/>
      <c r="L72" t="s">
        <v>158</v>
      </c>
      <c r="M72" s="115"/>
      <c r="N72" s="115"/>
      <c r="O72" s="115"/>
      <c r="P72" s="115"/>
      <c r="Q72" s="115"/>
    </row>
    <row r="73" spans="2:53" x14ac:dyDescent="0.2">
      <c r="B73" s="116">
        <v>36843</v>
      </c>
      <c r="C73" s="102">
        <v>3</v>
      </c>
      <c r="D73" s="102">
        <v>131</v>
      </c>
      <c r="E73" s="102">
        <v>45</v>
      </c>
      <c r="F73" s="102">
        <v>7</v>
      </c>
      <c r="G73" s="102">
        <v>28</v>
      </c>
      <c r="H73" s="102">
        <v>6</v>
      </c>
      <c r="K73" s="102">
        <f>C73+C81</f>
        <v>6</v>
      </c>
      <c r="L73" s="117">
        <v>2000</v>
      </c>
      <c r="M73" s="102">
        <f t="shared" ref="M73:Q74" si="88">D73+D81</f>
        <v>449</v>
      </c>
      <c r="N73" s="102">
        <f t="shared" si="88"/>
        <v>76</v>
      </c>
      <c r="O73" s="102">
        <f t="shared" si="88"/>
        <v>9</v>
      </c>
      <c r="P73" s="102">
        <f t="shared" si="88"/>
        <v>68</v>
      </c>
      <c r="Q73" s="102">
        <f t="shared" si="88"/>
        <v>7</v>
      </c>
    </row>
    <row r="74" spans="2:53" x14ac:dyDescent="0.2">
      <c r="B74" s="116">
        <v>37197</v>
      </c>
      <c r="C74" s="102">
        <v>2</v>
      </c>
      <c r="D74" s="102">
        <v>128</v>
      </c>
      <c r="E74" s="102">
        <v>48</v>
      </c>
      <c r="F74" s="102">
        <v>10</v>
      </c>
      <c r="G74" s="102">
        <v>34</v>
      </c>
      <c r="H74" s="102">
        <v>29</v>
      </c>
      <c r="K74" s="102">
        <f>C74+C82</f>
        <v>4</v>
      </c>
      <c r="L74" s="117">
        <v>2001</v>
      </c>
      <c r="M74" s="102">
        <f t="shared" si="88"/>
        <v>321</v>
      </c>
      <c r="N74" s="102">
        <f t="shared" si="88"/>
        <v>75</v>
      </c>
      <c r="O74" s="102">
        <f t="shared" si="88"/>
        <v>10</v>
      </c>
      <c r="P74" s="102">
        <f t="shared" si="88"/>
        <v>122</v>
      </c>
      <c r="Q74" s="102">
        <f t="shared" si="88"/>
        <v>32</v>
      </c>
    </row>
    <row r="75" spans="2:53" x14ac:dyDescent="0.2">
      <c r="B75" s="116">
        <v>38404</v>
      </c>
      <c r="C75" s="102">
        <v>2</v>
      </c>
      <c r="D75" s="102">
        <v>124</v>
      </c>
      <c r="E75" s="102">
        <v>39</v>
      </c>
      <c r="F75" s="102">
        <v>6</v>
      </c>
      <c r="G75" s="102">
        <v>18</v>
      </c>
      <c r="H75" s="102">
        <v>10</v>
      </c>
      <c r="K75" s="102">
        <v>2</v>
      </c>
      <c r="L75" s="117">
        <v>2005</v>
      </c>
      <c r="M75" s="102">
        <v>3</v>
      </c>
      <c r="N75" s="102">
        <v>4</v>
      </c>
      <c r="O75" s="102">
        <v>5</v>
      </c>
      <c r="P75" s="102">
        <v>6</v>
      </c>
      <c r="Q75" s="102">
        <v>7</v>
      </c>
    </row>
    <row r="76" spans="2:53" x14ac:dyDescent="0.2">
      <c r="B76" s="116">
        <v>39493</v>
      </c>
      <c r="C76" s="102">
        <v>3</v>
      </c>
      <c r="D76" s="102">
        <v>67</v>
      </c>
      <c r="E76" s="102">
        <v>53</v>
      </c>
      <c r="F76" s="102">
        <v>8</v>
      </c>
      <c r="G76" s="102">
        <v>21</v>
      </c>
      <c r="H76" s="102">
        <v>662</v>
      </c>
      <c r="K76" s="102">
        <f>C76+C83</f>
        <v>6</v>
      </c>
      <c r="L76" s="117">
        <v>2008</v>
      </c>
      <c r="M76" s="102">
        <f t="shared" ref="M76:Q78" si="89">D76+D83</f>
        <v>387</v>
      </c>
      <c r="N76" s="102">
        <f t="shared" si="89"/>
        <v>128</v>
      </c>
      <c r="O76" s="102">
        <f t="shared" si="89"/>
        <v>8</v>
      </c>
      <c r="P76" s="102">
        <f t="shared" si="89"/>
        <v>75</v>
      </c>
      <c r="Q76" s="102">
        <f t="shared" si="89"/>
        <v>672</v>
      </c>
    </row>
    <row r="77" spans="2:53" x14ac:dyDescent="0.2">
      <c r="B77" s="116">
        <v>40721</v>
      </c>
      <c r="C77" s="102">
        <v>3</v>
      </c>
      <c r="D77" s="102">
        <v>88</v>
      </c>
      <c r="E77" s="102">
        <v>48</v>
      </c>
      <c r="F77" s="102">
        <v>7</v>
      </c>
      <c r="G77" s="102">
        <v>13</v>
      </c>
      <c r="H77" s="102">
        <v>76</v>
      </c>
      <c r="K77" s="102">
        <f>C77+C84</f>
        <v>6</v>
      </c>
      <c r="L77" s="117">
        <v>2011</v>
      </c>
      <c r="M77" s="102">
        <f t="shared" si="89"/>
        <v>417</v>
      </c>
      <c r="N77" s="102">
        <f t="shared" si="89"/>
        <v>131</v>
      </c>
      <c r="O77" s="102">
        <f t="shared" si="89"/>
        <v>11</v>
      </c>
      <c r="P77" s="102">
        <f t="shared" si="89"/>
        <v>66</v>
      </c>
      <c r="Q77" s="102">
        <f t="shared" si="89"/>
        <v>81</v>
      </c>
    </row>
    <row r="78" spans="2:53" x14ac:dyDescent="0.2">
      <c r="B78" s="116">
        <v>41307</v>
      </c>
      <c r="C78" s="102">
        <v>2</v>
      </c>
      <c r="D78" s="102">
        <v>47</v>
      </c>
      <c r="E78" s="102">
        <v>18</v>
      </c>
      <c r="F78" s="102">
        <v>1</v>
      </c>
      <c r="G78" s="102">
        <v>4</v>
      </c>
      <c r="H78" s="102">
        <v>40</v>
      </c>
      <c r="K78" s="102">
        <f>C78+C85</f>
        <v>4</v>
      </c>
      <c r="L78" s="117">
        <v>2013</v>
      </c>
      <c r="M78" s="102">
        <f t="shared" si="89"/>
        <v>204</v>
      </c>
      <c r="N78" s="102">
        <f t="shared" si="89"/>
        <v>50</v>
      </c>
      <c r="O78" s="102">
        <f t="shared" si="89"/>
        <v>4</v>
      </c>
      <c r="P78" s="102">
        <f t="shared" si="89"/>
        <v>25</v>
      </c>
      <c r="Q78" s="102">
        <f t="shared" si="89"/>
        <v>43</v>
      </c>
    </row>
    <row r="79" spans="2:53" x14ac:dyDescent="0.2">
      <c r="B79" s="116">
        <v>43223</v>
      </c>
      <c r="C79" s="122">
        <v>2</v>
      </c>
      <c r="D79" s="102">
        <v>72</v>
      </c>
      <c r="E79" s="102">
        <v>16</v>
      </c>
      <c r="F79" s="102">
        <v>22</v>
      </c>
      <c r="G79" s="102">
        <v>10</v>
      </c>
      <c r="H79" s="102">
        <v>2</v>
      </c>
      <c r="K79" s="102">
        <f>C79+C86</f>
        <v>4</v>
      </c>
      <c r="L79" s="123">
        <v>2018</v>
      </c>
      <c r="M79" s="102">
        <f t="shared" ref="M79:Q79" si="90">D79+D86</f>
        <v>189</v>
      </c>
      <c r="N79" s="102">
        <f t="shared" si="90"/>
        <v>26</v>
      </c>
      <c r="O79" s="102">
        <f t="shared" si="90"/>
        <v>22</v>
      </c>
      <c r="P79" s="102">
        <f t="shared" si="90"/>
        <v>10</v>
      </c>
      <c r="Q79" s="102">
        <f t="shared" si="90"/>
        <v>2</v>
      </c>
    </row>
    <row r="80" spans="2:53" x14ac:dyDescent="0.2">
      <c r="B80" s="114" t="s">
        <v>226</v>
      </c>
      <c r="C80" s="115">
        <v>3</v>
      </c>
      <c r="D80" s="115">
        <v>1317</v>
      </c>
      <c r="E80" s="115">
        <v>248</v>
      </c>
      <c r="F80" s="115">
        <v>9</v>
      </c>
      <c r="G80" s="115">
        <v>256</v>
      </c>
      <c r="H80" s="115">
        <v>22</v>
      </c>
    </row>
    <row r="81" spans="2:18" x14ac:dyDescent="0.2">
      <c r="B81" s="116">
        <v>36843</v>
      </c>
      <c r="C81" s="102">
        <v>3</v>
      </c>
      <c r="D81" s="102">
        <v>318</v>
      </c>
      <c r="E81" s="102">
        <v>31</v>
      </c>
      <c r="F81" s="102">
        <v>2</v>
      </c>
      <c r="G81" s="102">
        <v>40</v>
      </c>
      <c r="H81" s="102">
        <v>1</v>
      </c>
      <c r="L81" s="114" t="s">
        <v>253</v>
      </c>
      <c r="M81" s="98" t="s">
        <v>0</v>
      </c>
      <c r="N81" s="98" t="s">
        <v>1</v>
      </c>
      <c r="O81" s="98" t="s">
        <v>2</v>
      </c>
      <c r="P81" s="98" t="s">
        <v>3</v>
      </c>
      <c r="Q81" s="98" t="s">
        <v>4</v>
      </c>
    </row>
    <row r="82" spans="2:18" x14ac:dyDescent="0.2">
      <c r="B82" s="116">
        <v>37197</v>
      </c>
      <c r="C82" s="102">
        <v>2</v>
      </c>
      <c r="D82" s="102">
        <v>193</v>
      </c>
      <c r="E82" s="102">
        <v>27</v>
      </c>
      <c r="F82" s="102">
        <v>0</v>
      </c>
      <c r="G82" s="102">
        <v>88</v>
      </c>
      <c r="H82" s="102">
        <v>3</v>
      </c>
      <c r="L82" s="124">
        <v>2000</v>
      </c>
      <c r="M82" s="118">
        <f t="shared" ref="M82:Q88" si="91">M73/$K73*40</f>
        <v>2993.333333333333</v>
      </c>
      <c r="N82" s="118">
        <f t="shared" si="91"/>
        <v>506.66666666666663</v>
      </c>
      <c r="O82" s="118">
        <f t="shared" si="91"/>
        <v>60</v>
      </c>
      <c r="P82" s="118">
        <f t="shared" si="91"/>
        <v>453.33333333333337</v>
      </c>
      <c r="Q82" s="118">
        <f t="shared" si="91"/>
        <v>46.666666666666671</v>
      </c>
      <c r="R82" t="s">
        <v>400</v>
      </c>
    </row>
    <row r="83" spans="2:18" x14ac:dyDescent="0.2">
      <c r="B83" s="116">
        <v>39493</v>
      </c>
      <c r="C83" s="102">
        <v>3</v>
      </c>
      <c r="D83" s="102">
        <v>320</v>
      </c>
      <c r="E83" s="102">
        <v>75</v>
      </c>
      <c r="F83" s="102">
        <v>0</v>
      </c>
      <c r="G83" s="102">
        <v>54</v>
      </c>
      <c r="H83" s="102">
        <v>10</v>
      </c>
      <c r="L83" s="124">
        <v>2001</v>
      </c>
      <c r="M83" s="118">
        <f t="shared" si="91"/>
        <v>3210</v>
      </c>
      <c r="N83" s="118">
        <f t="shared" si="91"/>
        <v>750</v>
      </c>
      <c r="O83" s="118">
        <f t="shared" si="91"/>
        <v>100</v>
      </c>
      <c r="P83" s="118">
        <f t="shared" si="91"/>
        <v>1220</v>
      </c>
      <c r="Q83" s="118">
        <f t="shared" si="91"/>
        <v>320</v>
      </c>
      <c r="R83" t="s">
        <v>402</v>
      </c>
    </row>
    <row r="84" spans="2:18" x14ac:dyDescent="0.2">
      <c r="B84" s="116">
        <v>40720</v>
      </c>
      <c r="C84" s="102">
        <v>3</v>
      </c>
      <c r="D84" s="102">
        <v>329</v>
      </c>
      <c r="E84" s="102">
        <v>83</v>
      </c>
      <c r="F84" s="102">
        <v>4</v>
      </c>
      <c r="G84" s="102">
        <v>53</v>
      </c>
      <c r="H84" s="102">
        <v>5</v>
      </c>
      <c r="L84" s="124">
        <v>2005</v>
      </c>
      <c r="M84" s="118">
        <f t="shared" si="91"/>
        <v>60</v>
      </c>
      <c r="N84" s="118">
        <f t="shared" si="91"/>
        <v>80</v>
      </c>
      <c r="O84" s="118">
        <f t="shared" si="91"/>
        <v>100</v>
      </c>
      <c r="P84" s="118">
        <f t="shared" si="91"/>
        <v>120</v>
      </c>
      <c r="Q84" s="118">
        <f t="shared" si="91"/>
        <v>140</v>
      </c>
    </row>
    <row r="85" spans="2:18" x14ac:dyDescent="0.2">
      <c r="B85" s="116">
        <v>41307</v>
      </c>
      <c r="C85" s="102">
        <v>2</v>
      </c>
      <c r="D85" s="102">
        <v>157</v>
      </c>
      <c r="E85" s="102">
        <v>32</v>
      </c>
      <c r="F85" s="102">
        <v>3</v>
      </c>
      <c r="G85" s="102">
        <v>21</v>
      </c>
      <c r="H85" s="102">
        <v>3</v>
      </c>
      <c r="L85" s="124">
        <v>2008</v>
      </c>
      <c r="M85" s="118">
        <f t="shared" si="91"/>
        <v>2580</v>
      </c>
      <c r="N85" s="118">
        <f t="shared" si="91"/>
        <v>853.33333333333326</v>
      </c>
      <c r="O85" s="118">
        <f t="shared" si="91"/>
        <v>53.333333333333329</v>
      </c>
      <c r="P85" s="118">
        <f t="shared" si="91"/>
        <v>500</v>
      </c>
      <c r="Q85" s="118">
        <f>Q76/$K76*40</f>
        <v>4480</v>
      </c>
    </row>
    <row r="86" spans="2:18" x14ac:dyDescent="0.2">
      <c r="B86" s="116">
        <v>43223</v>
      </c>
      <c r="C86" s="122">
        <v>2</v>
      </c>
      <c r="D86" s="102">
        <v>117</v>
      </c>
      <c r="E86" s="102">
        <v>10</v>
      </c>
      <c r="F86" s="102">
        <v>0</v>
      </c>
      <c r="G86" s="102">
        <v>0</v>
      </c>
      <c r="H86" s="102">
        <v>0</v>
      </c>
      <c r="L86" s="124">
        <v>2011</v>
      </c>
      <c r="M86" s="118">
        <f t="shared" si="91"/>
        <v>2780</v>
      </c>
      <c r="N86" s="118">
        <f t="shared" si="91"/>
        <v>873.33333333333326</v>
      </c>
      <c r="O86" s="118">
        <f t="shared" si="91"/>
        <v>73.333333333333329</v>
      </c>
      <c r="P86" s="118">
        <f t="shared" si="91"/>
        <v>440</v>
      </c>
      <c r="Q86" s="118">
        <f t="shared" si="91"/>
        <v>540</v>
      </c>
      <c r="R86" t="s">
        <v>403</v>
      </c>
    </row>
    <row r="87" spans="2:18" x14ac:dyDescent="0.2">
      <c r="L87" s="124">
        <v>2013</v>
      </c>
      <c r="M87" s="118">
        <f t="shared" si="91"/>
        <v>2040</v>
      </c>
      <c r="N87" s="118">
        <f t="shared" si="91"/>
        <v>500</v>
      </c>
      <c r="O87" s="118">
        <f t="shared" si="91"/>
        <v>40</v>
      </c>
      <c r="P87" s="118">
        <f t="shared" si="91"/>
        <v>250</v>
      </c>
      <c r="Q87" s="118">
        <f t="shared" si="91"/>
        <v>430</v>
      </c>
    </row>
    <row r="88" spans="2:18" x14ac:dyDescent="0.2">
      <c r="L88" s="125">
        <v>2018</v>
      </c>
      <c r="M88" s="118">
        <f t="shared" si="91"/>
        <v>1890</v>
      </c>
      <c r="N88" s="118">
        <f t="shared" si="91"/>
        <v>260</v>
      </c>
      <c r="O88" s="118">
        <f t="shared" si="91"/>
        <v>220</v>
      </c>
      <c r="P88" s="118">
        <f t="shared" si="91"/>
        <v>100</v>
      </c>
      <c r="Q88" s="118">
        <f t="shared" si="91"/>
        <v>20</v>
      </c>
      <c r="R88" t="s">
        <v>401</v>
      </c>
    </row>
    <row r="92" spans="2:18" x14ac:dyDescent="0.2">
      <c r="L92" t="s">
        <v>253</v>
      </c>
      <c r="M92" t="s">
        <v>0</v>
      </c>
      <c r="N92" t="s">
        <v>1</v>
      </c>
      <c r="O92" t="s">
        <v>2</v>
      </c>
      <c r="P92" t="s">
        <v>3</v>
      </c>
      <c r="Q92" t="s">
        <v>4</v>
      </c>
    </row>
    <row r="93" spans="2:18" x14ac:dyDescent="0.2">
      <c r="L93">
        <v>2000</v>
      </c>
      <c r="M93">
        <v>2993.333333333333</v>
      </c>
      <c r="N93">
        <v>506.66666666666663</v>
      </c>
      <c r="O93">
        <v>60</v>
      </c>
      <c r="P93">
        <v>453.33333333333337</v>
      </c>
      <c r="Q93">
        <v>46.666666666666671</v>
      </c>
    </row>
    <row r="94" spans="2:18" x14ac:dyDescent="0.2">
      <c r="L94">
        <v>2001</v>
      </c>
      <c r="M94">
        <v>3210</v>
      </c>
      <c r="N94">
        <v>750</v>
      </c>
      <c r="O94">
        <v>100</v>
      </c>
      <c r="Q94">
        <v>320</v>
      </c>
    </row>
    <row r="95" spans="2:18" x14ac:dyDescent="0.2">
      <c r="L95">
        <v>2005</v>
      </c>
      <c r="N95">
        <v>80</v>
      </c>
      <c r="O95">
        <v>100</v>
      </c>
      <c r="Q95">
        <v>140</v>
      </c>
    </row>
    <row r="96" spans="2:18" x14ac:dyDescent="0.2">
      <c r="L96">
        <v>2008</v>
      </c>
      <c r="M96">
        <v>2580</v>
      </c>
      <c r="N96">
        <v>853.33333333333326</v>
      </c>
      <c r="O96">
        <v>53.333333333333329</v>
      </c>
      <c r="P96">
        <v>500</v>
      </c>
      <c r="Q96">
        <v>4480</v>
      </c>
    </row>
    <row r="97" spans="12:17" x14ac:dyDescent="0.2">
      <c r="L97">
        <v>2011</v>
      </c>
      <c r="M97">
        <v>2780</v>
      </c>
      <c r="N97">
        <v>873.33333333333326</v>
      </c>
      <c r="O97">
        <v>73.333333333333329</v>
      </c>
      <c r="P97">
        <v>440</v>
      </c>
      <c r="Q97">
        <v>540</v>
      </c>
    </row>
    <row r="98" spans="12:17" x14ac:dyDescent="0.2">
      <c r="L98">
        <v>2013</v>
      </c>
      <c r="M98">
        <v>2040</v>
      </c>
      <c r="N98">
        <v>500</v>
      </c>
      <c r="O98">
        <v>40</v>
      </c>
      <c r="P98">
        <v>250</v>
      </c>
      <c r="Q98">
        <v>430</v>
      </c>
    </row>
    <row r="99" spans="12:17" x14ac:dyDescent="0.2">
      <c r="L99">
        <v>2018</v>
      </c>
      <c r="M99">
        <v>1890</v>
      </c>
      <c r="N99">
        <v>260</v>
      </c>
      <c r="O99">
        <v>220</v>
      </c>
      <c r="P99">
        <v>100</v>
      </c>
      <c r="Q99">
        <v>20</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topLeftCell="A23" workbookViewId="0">
      <selection activeCell="H25" sqref="H25"/>
    </sheetView>
  </sheetViews>
  <sheetFormatPr baseColWidth="10" defaultRowHeight="16" x14ac:dyDescent="0.2"/>
  <sheetData>
    <row r="1" spans="3:12" x14ac:dyDescent="0.2">
      <c r="C1" s="186" t="s">
        <v>158</v>
      </c>
      <c r="D1" s="4" t="s">
        <v>4</v>
      </c>
      <c r="E1" s="4" t="s">
        <v>4</v>
      </c>
      <c r="I1" s="186" t="s">
        <v>158</v>
      </c>
      <c r="J1" s="186" t="s">
        <v>4</v>
      </c>
      <c r="K1" s="186" t="s">
        <v>4</v>
      </c>
    </row>
    <row r="2" spans="3:12" x14ac:dyDescent="0.2">
      <c r="C2" s="186">
        <v>1999</v>
      </c>
      <c r="D2" s="3">
        <v>0</v>
      </c>
      <c r="E2" s="3">
        <v>0</v>
      </c>
      <c r="I2" s="186">
        <v>1999</v>
      </c>
      <c r="J2" s="3">
        <v>4.4000000000000004</v>
      </c>
      <c r="K2" s="3">
        <v>4.4000000000000004</v>
      </c>
      <c r="L2" s="3">
        <v>4.4000000000000004</v>
      </c>
    </row>
    <row r="3" spans="3:12" x14ac:dyDescent="0.2">
      <c r="C3" s="186">
        <v>2000</v>
      </c>
      <c r="D3" s="3">
        <v>0</v>
      </c>
      <c r="E3" s="3">
        <v>0</v>
      </c>
      <c r="I3" s="186">
        <v>2000</v>
      </c>
      <c r="J3" s="3">
        <v>8.9</v>
      </c>
      <c r="K3" s="3">
        <v>8.9</v>
      </c>
      <c r="L3" s="3">
        <v>17.8</v>
      </c>
    </row>
    <row r="4" spans="3:12" x14ac:dyDescent="0.2">
      <c r="C4" s="186">
        <v>2001</v>
      </c>
      <c r="D4" s="3">
        <v>0</v>
      </c>
      <c r="E4" s="3">
        <v>0</v>
      </c>
      <c r="I4" s="186">
        <v>2001</v>
      </c>
      <c r="J4" s="3">
        <v>46.650000000000006</v>
      </c>
      <c r="K4" s="3">
        <v>46.650000000000006</v>
      </c>
      <c r="L4" s="3">
        <v>46.650000000000006</v>
      </c>
    </row>
    <row r="5" spans="3:12" x14ac:dyDescent="0.2">
      <c r="C5" s="186">
        <v>2002</v>
      </c>
      <c r="D5" s="3">
        <v>0</v>
      </c>
      <c r="E5" s="3"/>
      <c r="I5" s="186">
        <v>2002</v>
      </c>
      <c r="J5" s="3">
        <v>55.550000000000004</v>
      </c>
      <c r="K5" s="3">
        <v>55.550000000000004</v>
      </c>
      <c r="L5" s="3">
        <v>55.550000000000004</v>
      </c>
    </row>
    <row r="6" spans="3:12" x14ac:dyDescent="0.2">
      <c r="C6" s="186">
        <v>2003</v>
      </c>
      <c r="D6" s="3">
        <v>2.15</v>
      </c>
      <c r="E6" s="3">
        <v>2.15</v>
      </c>
      <c r="I6" s="186">
        <v>2003</v>
      </c>
      <c r="J6" s="3">
        <v>59.05</v>
      </c>
      <c r="K6" s="3">
        <v>59.05</v>
      </c>
      <c r="L6" s="3">
        <v>118.1</v>
      </c>
    </row>
    <row r="7" spans="3:12" x14ac:dyDescent="0.2">
      <c r="C7" s="186">
        <v>2004</v>
      </c>
      <c r="D7" s="3">
        <v>8.1</v>
      </c>
      <c r="E7" s="3"/>
      <c r="I7" s="186">
        <v>2004</v>
      </c>
      <c r="J7" s="3">
        <v>480</v>
      </c>
      <c r="K7" s="3"/>
      <c r="L7" s="3">
        <v>480</v>
      </c>
    </row>
    <row r="8" spans="3:12" x14ac:dyDescent="0.2">
      <c r="C8" s="186">
        <v>2005</v>
      </c>
      <c r="D8" s="3">
        <v>3.8</v>
      </c>
      <c r="E8" s="3"/>
      <c r="I8" s="186">
        <v>2005</v>
      </c>
      <c r="J8" s="3">
        <v>277.8</v>
      </c>
      <c r="K8" s="3"/>
      <c r="L8" s="3">
        <v>555.6</v>
      </c>
    </row>
    <row r="9" spans="3:12" x14ac:dyDescent="0.2">
      <c r="C9" s="186">
        <v>2006</v>
      </c>
      <c r="D9" s="3">
        <v>2.35</v>
      </c>
      <c r="E9" s="3">
        <v>2.35</v>
      </c>
      <c r="I9" s="186">
        <v>2006</v>
      </c>
      <c r="J9" s="3">
        <v>171.1</v>
      </c>
      <c r="K9" s="3"/>
      <c r="L9" s="3">
        <v>171.1</v>
      </c>
    </row>
    <row r="10" spans="3:12" x14ac:dyDescent="0.2">
      <c r="C10" s="186">
        <v>2007</v>
      </c>
      <c r="D10" s="3">
        <v>6</v>
      </c>
      <c r="E10" s="3"/>
      <c r="I10" s="186">
        <v>2007</v>
      </c>
      <c r="J10" s="3">
        <v>126.65</v>
      </c>
      <c r="K10" s="3">
        <v>126.65</v>
      </c>
      <c r="L10" s="3">
        <v>126.65</v>
      </c>
    </row>
    <row r="11" spans="3:12" x14ac:dyDescent="0.2">
      <c r="C11" s="186">
        <v>2008</v>
      </c>
      <c r="D11" s="3">
        <v>0.25</v>
      </c>
      <c r="E11" s="3"/>
      <c r="I11" s="186">
        <v>2008</v>
      </c>
      <c r="J11" s="3">
        <v>20</v>
      </c>
      <c r="K11" s="3">
        <v>20</v>
      </c>
      <c r="L11" s="3">
        <v>40</v>
      </c>
    </row>
    <row r="12" spans="3:12" x14ac:dyDescent="0.2">
      <c r="C12" s="186">
        <v>2009</v>
      </c>
      <c r="D12" s="3">
        <v>3.05</v>
      </c>
      <c r="E12" s="3">
        <v>3.05</v>
      </c>
      <c r="I12" s="186">
        <v>2009</v>
      </c>
      <c r="J12" s="3">
        <v>80</v>
      </c>
      <c r="K12" s="3">
        <v>80</v>
      </c>
      <c r="L12" s="3">
        <v>160</v>
      </c>
    </row>
    <row r="13" spans="3:12" x14ac:dyDescent="0.2">
      <c r="C13" s="186">
        <v>2010</v>
      </c>
      <c r="D13" s="3">
        <v>0.5</v>
      </c>
      <c r="E13" s="3">
        <v>0.5</v>
      </c>
      <c r="I13" s="186">
        <v>2010</v>
      </c>
      <c r="J13" s="3">
        <v>15.55</v>
      </c>
      <c r="K13" s="3">
        <v>15.55</v>
      </c>
      <c r="L13" s="3">
        <v>31.1</v>
      </c>
    </row>
    <row r="14" spans="3:12" x14ac:dyDescent="0.2">
      <c r="C14" s="186">
        <v>2011</v>
      </c>
      <c r="D14" s="3">
        <v>0.45</v>
      </c>
      <c r="E14" s="3">
        <v>0.45</v>
      </c>
      <c r="I14" s="186">
        <v>2011</v>
      </c>
      <c r="J14" s="3">
        <v>22.2</v>
      </c>
      <c r="K14" s="3">
        <v>22.2</v>
      </c>
      <c r="L14" s="3">
        <v>44.4</v>
      </c>
    </row>
    <row r="15" spans="3:12" x14ac:dyDescent="0.2">
      <c r="C15" s="186">
        <v>2012</v>
      </c>
      <c r="D15" s="3">
        <v>0.85</v>
      </c>
      <c r="E15" s="3">
        <v>0.85</v>
      </c>
      <c r="I15" s="186">
        <v>2012</v>
      </c>
      <c r="J15" s="3">
        <v>20</v>
      </c>
      <c r="K15" s="3">
        <v>20</v>
      </c>
      <c r="L15" s="3">
        <v>20</v>
      </c>
    </row>
    <row r="16" spans="3:12" x14ac:dyDescent="0.2">
      <c r="C16" s="186">
        <v>2013</v>
      </c>
      <c r="D16" s="3">
        <v>0.5</v>
      </c>
      <c r="E16" s="3">
        <v>0.5</v>
      </c>
      <c r="I16" s="186">
        <v>2013</v>
      </c>
      <c r="J16" s="3">
        <v>20</v>
      </c>
      <c r="K16" s="3">
        <v>20</v>
      </c>
      <c r="L16" s="3">
        <v>40</v>
      </c>
    </row>
    <row r="17" spans="1:12" x14ac:dyDescent="0.2">
      <c r="C17" s="186">
        <v>2014</v>
      </c>
      <c r="D17" s="3">
        <v>2.95</v>
      </c>
      <c r="E17" s="3">
        <v>2.95</v>
      </c>
      <c r="I17" s="186">
        <v>2014</v>
      </c>
      <c r="J17" s="3">
        <v>22.2</v>
      </c>
      <c r="K17" s="3">
        <v>22.2</v>
      </c>
      <c r="L17" s="3">
        <v>22.2</v>
      </c>
    </row>
    <row r="18" spans="1:12" x14ac:dyDescent="0.2">
      <c r="C18" s="186">
        <v>2015</v>
      </c>
      <c r="D18" s="3">
        <v>0.4</v>
      </c>
      <c r="E18" s="3">
        <v>0.4</v>
      </c>
      <c r="I18" s="186">
        <v>2015</v>
      </c>
      <c r="J18" s="3">
        <v>22.2</v>
      </c>
      <c r="K18" s="3">
        <v>22.2</v>
      </c>
      <c r="L18" s="3">
        <v>44.4</v>
      </c>
    </row>
    <row r="20" spans="1:12" x14ac:dyDescent="0.2">
      <c r="A20" t="s">
        <v>382</v>
      </c>
      <c r="C20" s="186" t="s">
        <v>158</v>
      </c>
      <c r="D20" s="4" t="s">
        <v>4</v>
      </c>
      <c r="E20" s="4" t="s">
        <v>4</v>
      </c>
    </row>
    <row r="21" spans="1:12" x14ac:dyDescent="0.2">
      <c r="C21" s="4">
        <v>2003</v>
      </c>
      <c r="D21" s="3">
        <v>2.15</v>
      </c>
      <c r="E21" s="3">
        <v>2.15</v>
      </c>
    </row>
    <row r="22" spans="1:12" x14ac:dyDescent="0.2">
      <c r="C22" s="4">
        <v>2004</v>
      </c>
      <c r="D22" s="3">
        <v>8.1</v>
      </c>
      <c r="E22" s="3"/>
    </row>
    <row r="23" spans="1:12" x14ac:dyDescent="0.2">
      <c r="C23" s="4">
        <v>2005</v>
      </c>
      <c r="D23" s="3">
        <v>3.8</v>
      </c>
      <c r="E23" s="3">
        <v>3.8</v>
      </c>
    </row>
    <row r="24" spans="1:12" x14ac:dyDescent="0.2">
      <c r="C24" s="4">
        <v>2006</v>
      </c>
      <c r="D24" s="3">
        <v>2.35</v>
      </c>
      <c r="E24" s="3">
        <v>2.35</v>
      </c>
    </row>
    <row r="25" spans="1:12" x14ac:dyDescent="0.2">
      <c r="C25" s="4">
        <v>2007</v>
      </c>
      <c r="D25" s="3">
        <v>6</v>
      </c>
      <c r="E25" s="3"/>
    </row>
    <row r="26" spans="1:12" x14ac:dyDescent="0.2">
      <c r="C26" s="4">
        <v>2008</v>
      </c>
      <c r="D26" s="3">
        <v>0.25</v>
      </c>
      <c r="E26" s="3"/>
    </row>
    <row r="27" spans="1:12" x14ac:dyDescent="0.2">
      <c r="C27" s="4">
        <v>2009</v>
      </c>
      <c r="D27" s="3">
        <v>3.05</v>
      </c>
      <c r="E27" s="3">
        <v>3.05</v>
      </c>
    </row>
    <row r="28" spans="1:12" x14ac:dyDescent="0.2">
      <c r="C28" s="4">
        <v>2010</v>
      </c>
      <c r="D28" s="3">
        <v>0.5</v>
      </c>
      <c r="E28" s="3"/>
    </row>
    <row r="29" spans="1:12" x14ac:dyDescent="0.2">
      <c r="C29" s="4">
        <v>2011</v>
      </c>
      <c r="D29" s="3">
        <v>0.45</v>
      </c>
      <c r="E29" s="3">
        <v>0.45</v>
      </c>
    </row>
    <row r="30" spans="1:12" x14ac:dyDescent="0.2">
      <c r="C30" s="4">
        <v>2012</v>
      </c>
      <c r="D30" s="3">
        <v>0.85</v>
      </c>
      <c r="E30" s="3">
        <v>0.85</v>
      </c>
    </row>
    <row r="31" spans="1:12" x14ac:dyDescent="0.2">
      <c r="C31" s="4">
        <v>2013</v>
      </c>
      <c r="D31" s="3">
        <v>0.5</v>
      </c>
      <c r="E31" s="3">
        <v>0.5</v>
      </c>
    </row>
    <row r="32" spans="1:12" x14ac:dyDescent="0.2">
      <c r="C32" s="4">
        <v>2014</v>
      </c>
      <c r="D32" s="3">
        <v>2.95</v>
      </c>
      <c r="E32" s="3"/>
    </row>
    <row r="33" spans="3:5" x14ac:dyDescent="0.2">
      <c r="C33" s="4">
        <v>2015</v>
      </c>
      <c r="D33" s="3">
        <v>0.4</v>
      </c>
      <c r="E33" s="3">
        <v>0.4</v>
      </c>
    </row>
  </sheetData>
  <autoFilter ref="C20:E33" xr:uid="{00000000-0009-0000-0000-000005000000}"/>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A69"/>
  <sheetViews>
    <sheetView topLeftCell="H16" workbookViewId="0">
      <selection activeCell="H17" sqref="H17"/>
    </sheetView>
  </sheetViews>
  <sheetFormatPr baseColWidth="10" defaultRowHeight="16" x14ac:dyDescent="0.2"/>
  <cols>
    <col min="1" max="1" width="22.1640625" bestFit="1" customWidth="1"/>
    <col min="2" max="2" width="19.1640625" bestFit="1" customWidth="1"/>
  </cols>
  <sheetData>
    <row r="2" spans="1:13" x14ac:dyDescent="0.2">
      <c r="A2" s="100" t="s">
        <v>5</v>
      </c>
      <c r="B2" s="98" t="s">
        <v>384</v>
      </c>
      <c r="E2" s="100" t="s">
        <v>158</v>
      </c>
      <c r="F2" s="209" t="s">
        <v>389</v>
      </c>
      <c r="G2" s="209" t="s">
        <v>390</v>
      </c>
      <c r="I2" t="s">
        <v>4</v>
      </c>
    </row>
    <row r="3" spans="1:13" x14ac:dyDescent="0.2">
      <c r="A3" s="114">
        <v>2005</v>
      </c>
      <c r="B3" s="207">
        <v>1.325</v>
      </c>
      <c r="E3" s="101">
        <v>2005</v>
      </c>
      <c r="F3" s="193">
        <f>AVERAGE(B4:B7)*10000/154</f>
        <v>86.038961038961034</v>
      </c>
      <c r="G3" s="193">
        <f>STDEV(B4:B7)*10000/154</f>
        <v>32.413374744311547</v>
      </c>
      <c r="I3">
        <v>86.038961038961034</v>
      </c>
    </row>
    <row r="4" spans="1:13" x14ac:dyDescent="0.2">
      <c r="A4" s="134" t="s">
        <v>385</v>
      </c>
      <c r="B4" s="208">
        <v>1.7</v>
      </c>
      <c r="E4" s="101">
        <v>2006</v>
      </c>
      <c r="F4" s="193">
        <f>AVERAGE(B9:B11)*10000/154</f>
        <v>123.37662337662337</v>
      </c>
      <c r="G4" s="193">
        <f>STDEV(B9:B11)*10000/154</f>
        <v>32.95094663990988</v>
      </c>
      <c r="I4">
        <v>123.37662337662337</v>
      </c>
    </row>
    <row r="5" spans="1:13" x14ac:dyDescent="0.2">
      <c r="A5" s="134" t="s">
        <v>386</v>
      </c>
      <c r="B5" s="208">
        <v>0.8</v>
      </c>
      <c r="E5" s="101">
        <v>2007</v>
      </c>
      <c r="F5" s="193">
        <f>AVERAGE(B13:B15)*10000/154</f>
        <v>110.93073593073592</v>
      </c>
      <c r="G5" s="193">
        <f>STDEV(B13:B15)*10000/154</f>
        <v>55.250481213912707</v>
      </c>
      <c r="I5">
        <v>110.93073593073592</v>
      </c>
      <c r="M5">
        <f>10000/154</f>
        <v>64.935064935064929</v>
      </c>
    </row>
    <row r="6" spans="1:13" x14ac:dyDescent="0.2">
      <c r="A6" s="134" t="s">
        <v>387</v>
      </c>
      <c r="B6" s="208">
        <v>1.8</v>
      </c>
      <c r="E6" s="101">
        <v>2008</v>
      </c>
      <c r="F6" s="193">
        <f>AVERAGE(B17:B20)*10000/154</f>
        <v>141.36904761904765</v>
      </c>
      <c r="G6" s="193">
        <f>STDEV(B17:B20)*10000/154</f>
        <v>75.382206254085645</v>
      </c>
      <c r="I6">
        <v>141.36904761904765</v>
      </c>
    </row>
    <row r="7" spans="1:13" x14ac:dyDescent="0.2">
      <c r="A7" s="134" t="s">
        <v>388</v>
      </c>
      <c r="B7" s="208">
        <v>1</v>
      </c>
      <c r="E7" s="101">
        <v>2009</v>
      </c>
      <c r="F7" s="193">
        <f>AVERAGE(B22:B24)*10000/154</f>
        <v>149.96907854050713</v>
      </c>
      <c r="G7" s="193">
        <f>STDEV(B22:B24)*10000/154</f>
        <v>71.904860570398739</v>
      </c>
      <c r="I7">
        <v>149.96907854050713</v>
      </c>
    </row>
    <row r="8" spans="1:13" x14ac:dyDescent="0.2">
      <c r="A8" s="114">
        <v>2006</v>
      </c>
      <c r="B8" s="207">
        <v>1.9</v>
      </c>
      <c r="E8" s="101">
        <v>2010</v>
      </c>
      <c r="F8" s="193">
        <f>AVERAGE(B26:B29)*10000/154</f>
        <v>168.16516816516815</v>
      </c>
      <c r="G8" s="193">
        <f>STDEV(B26:B29)*10000/154</f>
        <v>101.75598794936751</v>
      </c>
      <c r="I8">
        <v>168.16516816516815</v>
      </c>
    </row>
    <row r="9" spans="1:13" x14ac:dyDescent="0.2">
      <c r="A9" s="134" t="s">
        <v>385</v>
      </c>
      <c r="B9" s="208">
        <v>1.8</v>
      </c>
      <c r="E9" s="101">
        <v>2011</v>
      </c>
      <c r="F9" s="193">
        <f>AVERAGE(B31:B34)*10000/154</f>
        <v>145.42748917748921</v>
      </c>
      <c r="G9" s="193">
        <f>STDEV(B31:B34)*10000/154</f>
        <v>95.565870391727373</v>
      </c>
      <c r="I9">
        <v>145.42748917748921</v>
      </c>
    </row>
    <row r="10" spans="1:13" x14ac:dyDescent="0.2">
      <c r="A10" s="134" t="s">
        <v>387</v>
      </c>
      <c r="B10" s="208">
        <v>2.4500000000000002</v>
      </c>
      <c r="E10" s="101">
        <v>2012</v>
      </c>
      <c r="F10" s="193">
        <f>AVERAGE(B36:B39)*10000/154</f>
        <v>110.25432900432901</v>
      </c>
      <c r="G10" s="193">
        <f>STDEV(B36:B39)*10000/154</f>
        <v>74.043132731583739</v>
      </c>
    </row>
    <row r="11" spans="1:13" x14ac:dyDescent="0.2">
      <c r="A11" s="134" t="s">
        <v>388</v>
      </c>
      <c r="B11" s="208">
        <v>1.45</v>
      </c>
      <c r="E11" s="101">
        <v>2013</v>
      </c>
      <c r="F11" s="193">
        <f>AVERAGE(B41:B44)*10000/154</f>
        <v>174.51298701298703</v>
      </c>
      <c r="G11" s="193">
        <f>STDEV(B41:B44)*10000/154</f>
        <v>41.299614508857381</v>
      </c>
      <c r="I11">
        <v>174.51298701298703</v>
      </c>
    </row>
    <row r="12" spans="1:13" x14ac:dyDescent="0.2">
      <c r="A12" s="114">
        <v>2007</v>
      </c>
      <c r="B12" s="207">
        <v>1.7083333333333333</v>
      </c>
      <c r="E12" s="101">
        <v>2014</v>
      </c>
      <c r="F12" s="193">
        <f>AVERAGE(B46:B49)*10000/154</f>
        <v>172.48376623376623</v>
      </c>
      <c r="G12" s="193">
        <f>STDEV(B46:B49)*10000/154</f>
        <v>64.458894749564848</v>
      </c>
    </row>
    <row r="13" spans="1:13" x14ac:dyDescent="0.2">
      <c r="A13" s="134" t="s">
        <v>385</v>
      </c>
      <c r="B13" s="208">
        <v>2.6666666666666665</v>
      </c>
      <c r="E13" s="101">
        <v>2015</v>
      </c>
      <c r="F13" s="193">
        <f>AVERAGE(B51:B54)*10000/154</f>
        <v>198.86363636363635</v>
      </c>
      <c r="G13" s="193">
        <f>STDEV(B51:B54)*10000/154</f>
        <v>55.821674334212922</v>
      </c>
      <c r="I13">
        <v>198.86363636363635</v>
      </c>
    </row>
    <row r="14" spans="1:13" x14ac:dyDescent="0.2">
      <c r="A14" s="134" t="s">
        <v>387</v>
      </c>
      <c r="B14" s="208">
        <v>1.4166666666666667</v>
      </c>
      <c r="E14" s="101">
        <v>2016</v>
      </c>
      <c r="F14" s="193">
        <f>AVERAGE(B56:B59)*10000/154</f>
        <v>292.88419913419915</v>
      </c>
      <c r="G14" s="193">
        <f>STDEV(B56:B59)*10000/154</f>
        <v>91.148604593545855</v>
      </c>
    </row>
    <row r="15" spans="1:13" x14ac:dyDescent="0.2">
      <c r="A15" s="134" t="s">
        <v>388</v>
      </c>
      <c r="B15" s="208">
        <v>1.0416666666666667</v>
      </c>
      <c r="E15" s="101">
        <v>2017</v>
      </c>
      <c r="F15" s="193">
        <f>AVERAGE(B61:B64)*10000/154</f>
        <v>260.47815820543093</v>
      </c>
      <c r="G15" s="193">
        <f>STDEV(B61:B64)*10000/154</f>
        <v>69.233538042060275</v>
      </c>
      <c r="I15">
        <v>260.47815820543093</v>
      </c>
    </row>
    <row r="16" spans="1:13" x14ac:dyDescent="0.2">
      <c r="A16" s="114">
        <v>2008</v>
      </c>
      <c r="B16" s="207">
        <v>2.1770833333333335</v>
      </c>
      <c r="E16" s="101">
        <v>2018</v>
      </c>
      <c r="F16" s="193">
        <f>AVERAGE(B66:B69)*10000/154</f>
        <v>231.33116883116884</v>
      </c>
      <c r="G16" s="193">
        <f>STDEV(B66:B69)*10000/154</f>
        <v>126.52968561785633</v>
      </c>
      <c r="I16">
        <v>231.33116883116884</v>
      </c>
    </row>
    <row r="17" spans="1:27" x14ac:dyDescent="0.2">
      <c r="A17" s="134" t="s">
        <v>385</v>
      </c>
      <c r="B17" s="208">
        <v>3.75</v>
      </c>
    </row>
    <row r="18" spans="1:27" x14ac:dyDescent="0.2">
      <c r="A18" s="134" t="s">
        <v>386</v>
      </c>
      <c r="B18" s="208">
        <v>1</v>
      </c>
    </row>
    <row r="19" spans="1:27" x14ac:dyDescent="0.2">
      <c r="A19" s="134" t="s">
        <v>387</v>
      </c>
      <c r="B19" s="208">
        <v>1.75</v>
      </c>
    </row>
    <row r="20" spans="1:27" x14ac:dyDescent="0.2">
      <c r="A20" s="134" t="s">
        <v>388</v>
      </c>
      <c r="B20" s="208">
        <v>2.2083333333333335</v>
      </c>
    </row>
    <row r="21" spans="1:27" x14ac:dyDescent="0.2">
      <c r="A21" s="114">
        <v>2009</v>
      </c>
      <c r="B21" s="207">
        <v>2.3095238095238093</v>
      </c>
    </row>
    <row r="22" spans="1:27" x14ac:dyDescent="0.2">
      <c r="A22" s="134" t="s">
        <v>385</v>
      </c>
      <c r="B22" s="208">
        <v>1.8571428571428572</v>
      </c>
    </row>
    <row r="23" spans="1:27" x14ac:dyDescent="0.2">
      <c r="A23" s="134" t="s">
        <v>387</v>
      </c>
      <c r="B23" s="208">
        <v>1.5</v>
      </c>
      <c r="AA23">
        <f>0.6068*1969^2-2429.2*1969+2000000</f>
        <v>-430554.86519999988</v>
      </c>
    </row>
    <row r="24" spans="1:27" x14ac:dyDescent="0.2">
      <c r="A24" s="134" t="s">
        <v>388</v>
      </c>
      <c r="B24" s="208">
        <v>3.5714285714285716</v>
      </c>
    </row>
    <row r="25" spans="1:27" x14ac:dyDescent="0.2">
      <c r="A25" s="114">
        <v>2010</v>
      </c>
      <c r="B25" s="207">
        <v>2.8111111111111109</v>
      </c>
    </row>
    <row r="26" spans="1:27" x14ac:dyDescent="0.2">
      <c r="A26" s="134" t="s">
        <v>385</v>
      </c>
      <c r="B26" s="208">
        <v>4.7307692307692308</v>
      </c>
    </row>
    <row r="27" spans="1:27" x14ac:dyDescent="0.2">
      <c r="A27" s="134" t="s">
        <v>386</v>
      </c>
      <c r="B27" s="208">
        <v>1.1666666666666667</v>
      </c>
    </row>
    <row r="28" spans="1:27" x14ac:dyDescent="0.2">
      <c r="A28" s="134" t="s">
        <v>387</v>
      </c>
      <c r="B28" s="208">
        <v>2.7307692307692308</v>
      </c>
    </row>
    <row r="29" spans="1:27" x14ac:dyDescent="0.2">
      <c r="A29" s="134" t="s">
        <v>388</v>
      </c>
      <c r="B29" s="208">
        <v>1.7307692307692308</v>
      </c>
    </row>
    <row r="30" spans="1:27" x14ac:dyDescent="0.2">
      <c r="A30" s="114">
        <v>2011</v>
      </c>
      <c r="B30" s="207">
        <v>2.2395833333333335</v>
      </c>
    </row>
    <row r="31" spans="1:27" x14ac:dyDescent="0.2">
      <c r="A31" s="134" t="s">
        <v>385</v>
      </c>
      <c r="B31" s="208">
        <v>4.291666666666667</v>
      </c>
    </row>
    <row r="32" spans="1:27" x14ac:dyDescent="0.2">
      <c r="A32" s="134" t="s">
        <v>386</v>
      </c>
      <c r="B32" s="208">
        <v>1</v>
      </c>
    </row>
    <row r="33" spans="1:2" x14ac:dyDescent="0.2">
      <c r="A33" s="134" t="s">
        <v>387</v>
      </c>
      <c r="B33" s="208">
        <v>2.2916666666666665</v>
      </c>
    </row>
    <row r="34" spans="1:2" x14ac:dyDescent="0.2">
      <c r="A34" s="134" t="s">
        <v>388</v>
      </c>
      <c r="B34" s="208">
        <v>1.375</v>
      </c>
    </row>
    <row r="35" spans="1:2" x14ac:dyDescent="0.2">
      <c r="A35" s="114">
        <v>2012</v>
      </c>
      <c r="B35" s="207">
        <v>1.7037037037037037</v>
      </c>
    </row>
    <row r="36" spans="1:2" x14ac:dyDescent="0.2">
      <c r="A36" s="134" t="s">
        <v>385</v>
      </c>
      <c r="B36" s="208">
        <v>3.2916666666666665</v>
      </c>
    </row>
    <row r="37" spans="1:2" x14ac:dyDescent="0.2">
      <c r="A37" s="134" t="s">
        <v>386</v>
      </c>
      <c r="B37" s="208">
        <v>0.83333333333333337</v>
      </c>
    </row>
    <row r="38" spans="1:2" x14ac:dyDescent="0.2">
      <c r="A38" s="134" t="s">
        <v>387</v>
      </c>
      <c r="B38" s="208">
        <v>1.75</v>
      </c>
    </row>
    <row r="39" spans="1:2" x14ac:dyDescent="0.2">
      <c r="A39" s="134" t="s">
        <v>388</v>
      </c>
      <c r="B39" s="208">
        <v>0.91666666666666663</v>
      </c>
    </row>
    <row r="40" spans="1:2" x14ac:dyDescent="0.2">
      <c r="A40" s="114">
        <v>2013</v>
      </c>
      <c r="B40" s="207">
        <v>2.6875</v>
      </c>
    </row>
    <row r="41" spans="1:2" x14ac:dyDescent="0.2">
      <c r="A41" s="134" t="s">
        <v>385</v>
      </c>
      <c r="B41" s="208">
        <v>3.5833333333333335</v>
      </c>
    </row>
    <row r="42" spans="1:2" x14ac:dyDescent="0.2">
      <c r="A42" s="134" t="s">
        <v>386</v>
      </c>
      <c r="B42" s="208">
        <v>2.0833333333333335</v>
      </c>
    </row>
    <row r="43" spans="1:2" x14ac:dyDescent="0.2">
      <c r="A43" s="134" t="s">
        <v>387</v>
      </c>
      <c r="B43" s="208">
        <v>2.5</v>
      </c>
    </row>
    <row r="44" spans="1:2" x14ac:dyDescent="0.2">
      <c r="A44" s="134" t="s">
        <v>388</v>
      </c>
      <c r="B44" s="208">
        <v>2.5833333333333335</v>
      </c>
    </row>
    <row r="45" spans="1:2" x14ac:dyDescent="0.2">
      <c r="A45" s="114">
        <v>2014</v>
      </c>
      <c r="B45" s="207">
        <v>2.65625</v>
      </c>
    </row>
    <row r="46" spans="1:2" x14ac:dyDescent="0.2">
      <c r="A46" s="134" t="s">
        <v>385</v>
      </c>
      <c r="B46" s="208">
        <v>4.041666666666667</v>
      </c>
    </row>
    <row r="47" spans="1:2" x14ac:dyDescent="0.2">
      <c r="A47" s="134" t="s">
        <v>386</v>
      </c>
      <c r="B47" s="208">
        <v>1.7083333333333333</v>
      </c>
    </row>
    <row r="48" spans="1:2" x14ac:dyDescent="0.2">
      <c r="A48" s="134" t="s">
        <v>387</v>
      </c>
      <c r="B48" s="208">
        <v>2.2916666666666665</v>
      </c>
    </row>
    <row r="49" spans="1:2" x14ac:dyDescent="0.2">
      <c r="A49" s="134" t="s">
        <v>388</v>
      </c>
      <c r="B49" s="208">
        <v>2.5833333333333335</v>
      </c>
    </row>
    <row r="50" spans="1:2" x14ac:dyDescent="0.2">
      <c r="A50" s="114">
        <v>2015</v>
      </c>
      <c r="B50" s="207">
        <v>3.0625</v>
      </c>
    </row>
    <row r="51" spans="1:2" x14ac:dyDescent="0.2">
      <c r="A51" s="134" t="s">
        <v>385</v>
      </c>
      <c r="B51" s="208">
        <v>4.208333333333333</v>
      </c>
    </row>
    <row r="52" spans="1:2" x14ac:dyDescent="0.2">
      <c r="A52" s="134" t="s">
        <v>386</v>
      </c>
      <c r="B52" s="208">
        <v>2.125</v>
      </c>
    </row>
    <row r="53" spans="1:2" x14ac:dyDescent="0.2">
      <c r="A53" s="134" t="s">
        <v>387</v>
      </c>
      <c r="B53" s="208">
        <v>3</v>
      </c>
    </row>
    <row r="54" spans="1:2" x14ac:dyDescent="0.2">
      <c r="A54" s="134" t="s">
        <v>388</v>
      </c>
      <c r="B54" s="208">
        <v>2.9166666666666665</v>
      </c>
    </row>
    <row r="55" spans="1:2" x14ac:dyDescent="0.2">
      <c r="A55" s="114">
        <v>2016</v>
      </c>
      <c r="B55" s="207">
        <v>4.5119047619047619</v>
      </c>
    </row>
    <row r="56" spans="1:2" x14ac:dyDescent="0.2">
      <c r="A56" s="134" t="s">
        <v>385</v>
      </c>
      <c r="B56" s="208">
        <v>6.333333333333333</v>
      </c>
    </row>
    <row r="57" spans="1:2" x14ac:dyDescent="0.2">
      <c r="A57" s="134" t="s">
        <v>386</v>
      </c>
      <c r="B57" s="208">
        <v>4.5</v>
      </c>
    </row>
    <row r="58" spans="1:2" x14ac:dyDescent="0.2">
      <c r="A58" s="134" t="s">
        <v>387</v>
      </c>
      <c r="B58" s="208">
        <v>4.291666666666667</v>
      </c>
    </row>
    <row r="59" spans="1:2" x14ac:dyDescent="0.2">
      <c r="A59" s="134" t="s">
        <v>388</v>
      </c>
      <c r="B59" s="208">
        <v>2.9166666666666665</v>
      </c>
    </row>
    <row r="60" spans="1:2" x14ac:dyDescent="0.2">
      <c r="A60" s="114">
        <v>2017</v>
      </c>
      <c r="B60" s="207">
        <v>4.2409638554216871</v>
      </c>
    </row>
    <row r="61" spans="1:2" x14ac:dyDescent="0.2">
      <c r="A61" s="134" t="s">
        <v>385</v>
      </c>
      <c r="B61" s="208">
        <v>5</v>
      </c>
    </row>
    <row r="62" spans="1:2" x14ac:dyDescent="0.2">
      <c r="A62" s="134" t="s">
        <v>386</v>
      </c>
      <c r="B62" s="208">
        <v>2.5454545454545454</v>
      </c>
    </row>
    <row r="63" spans="1:2" x14ac:dyDescent="0.2">
      <c r="A63" s="134" t="s">
        <v>387</v>
      </c>
      <c r="B63" s="208">
        <v>4.541666666666667</v>
      </c>
    </row>
    <row r="64" spans="1:2" x14ac:dyDescent="0.2">
      <c r="A64" s="134" t="s">
        <v>388</v>
      </c>
      <c r="B64" s="208">
        <v>3.9583333333333335</v>
      </c>
    </row>
    <row r="65" spans="1:2" x14ac:dyDescent="0.2">
      <c r="A65" s="114">
        <v>2018</v>
      </c>
      <c r="B65" s="207">
        <v>3.8333333333333335</v>
      </c>
    </row>
    <row r="66" spans="1:2" x14ac:dyDescent="0.2">
      <c r="A66" s="134" t="s">
        <v>385</v>
      </c>
      <c r="B66" s="208">
        <v>6.291666666666667</v>
      </c>
    </row>
    <row r="67" spans="1:2" x14ac:dyDescent="0.2">
      <c r="A67" s="134" t="s">
        <v>386</v>
      </c>
      <c r="B67" s="208">
        <v>1.6666666666666667</v>
      </c>
    </row>
    <row r="68" spans="1:2" x14ac:dyDescent="0.2">
      <c r="A68" s="134" t="s">
        <v>387</v>
      </c>
      <c r="B68" s="208">
        <v>3.1666666666666665</v>
      </c>
    </row>
    <row r="69" spans="1:2" x14ac:dyDescent="0.2">
      <c r="A69" s="134" t="s">
        <v>388</v>
      </c>
      <c r="B69" s="208">
        <v>3.125</v>
      </c>
    </row>
  </sheetData>
  <autoFilter ref="E2:I16" xr:uid="{00000000-0009-0000-0000-000006000000}"/>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24"/>
  <sheetViews>
    <sheetView workbookViewId="0">
      <selection activeCell="O24" sqref="O24"/>
    </sheetView>
  </sheetViews>
  <sheetFormatPr baseColWidth="10" defaultRowHeight="16" x14ac:dyDescent="0.2"/>
  <sheetData>
    <row r="1" spans="2:15" x14ac:dyDescent="0.2">
      <c r="C1" s="2" t="s">
        <v>159</v>
      </c>
    </row>
    <row r="2" spans="2:15" x14ac:dyDescent="0.2">
      <c r="K2" s="190" t="s">
        <v>156</v>
      </c>
    </row>
    <row r="3" spans="2:15" x14ac:dyDescent="0.2">
      <c r="B3" s="2" t="s">
        <v>5</v>
      </c>
      <c r="C3" s="2" t="s">
        <v>364</v>
      </c>
      <c r="D3" s="2" t="s">
        <v>0</v>
      </c>
      <c r="E3" s="2" t="s">
        <v>1</v>
      </c>
      <c r="F3" s="2" t="s">
        <v>2</v>
      </c>
      <c r="G3" s="2" t="s">
        <v>3</v>
      </c>
      <c r="H3" s="2" t="s">
        <v>4</v>
      </c>
      <c r="I3" s="2"/>
      <c r="J3" s="2" t="s">
        <v>323</v>
      </c>
      <c r="K3" s="2" t="s">
        <v>0</v>
      </c>
      <c r="L3" s="2" t="s">
        <v>1</v>
      </c>
      <c r="M3" s="2" t="s">
        <v>2</v>
      </c>
      <c r="N3" s="2" t="s">
        <v>3</v>
      </c>
      <c r="O3" s="2" t="s">
        <v>4</v>
      </c>
    </row>
    <row r="4" spans="2:15" x14ac:dyDescent="0.2">
      <c r="B4" s="189" t="s">
        <v>366</v>
      </c>
      <c r="C4" s="3">
        <v>5</v>
      </c>
      <c r="D4" s="3">
        <v>103</v>
      </c>
      <c r="E4" s="3">
        <v>46</v>
      </c>
      <c r="F4" s="3">
        <v>49</v>
      </c>
      <c r="G4" s="3">
        <v>10</v>
      </c>
      <c r="H4" s="3">
        <v>12</v>
      </c>
      <c r="I4" s="3"/>
      <c r="J4" s="189" t="s">
        <v>366</v>
      </c>
      <c r="K4">
        <f>D4/$C4*40</f>
        <v>824</v>
      </c>
      <c r="L4">
        <f>E4/$C4*40</f>
        <v>368</v>
      </c>
      <c r="M4">
        <f>F4/$C4*40</f>
        <v>392</v>
      </c>
      <c r="N4">
        <f>G4/$C4*40</f>
        <v>80</v>
      </c>
      <c r="O4">
        <f>H4/$C4*40</f>
        <v>96</v>
      </c>
    </row>
    <row r="5" spans="2:15" x14ac:dyDescent="0.2">
      <c r="B5" s="189" t="s">
        <v>367</v>
      </c>
      <c r="C5" s="3">
        <v>5</v>
      </c>
      <c r="D5" s="3">
        <v>72</v>
      </c>
      <c r="E5" s="3">
        <v>32</v>
      </c>
      <c r="F5" s="3">
        <v>523</v>
      </c>
      <c r="G5" s="3">
        <v>35</v>
      </c>
      <c r="H5" s="3">
        <v>10</v>
      </c>
      <c r="I5" s="3"/>
      <c r="J5" s="189" t="s">
        <v>367</v>
      </c>
      <c r="K5">
        <f t="shared" ref="K5:K10" si="0">D5/$C5*40</f>
        <v>576</v>
      </c>
      <c r="L5">
        <f t="shared" ref="L5:O10" si="1">E5/$C5*40</f>
        <v>256</v>
      </c>
      <c r="M5">
        <f t="shared" si="1"/>
        <v>4184</v>
      </c>
      <c r="N5">
        <f t="shared" si="1"/>
        <v>280</v>
      </c>
      <c r="O5">
        <f t="shared" si="1"/>
        <v>80</v>
      </c>
    </row>
    <row r="6" spans="2:15" x14ac:dyDescent="0.2">
      <c r="B6" s="189" t="s">
        <v>368</v>
      </c>
      <c r="C6" s="3">
        <v>5</v>
      </c>
      <c r="D6" s="3">
        <v>114</v>
      </c>
      <c r="E6" s="3">
        <v>33</v>
      </c>
      <c r="F6" s="3">
        <v>139</v>
      </c>
      <c r="G6" s="3">
        <v>160</v>
      </c>
      <c r="H6" s="3">
        <v>8</v>
      </c>
      <c r="I6" s="3"/>
      <c r="J6" s="189" t="s">
        <v>368</v>
      </c>
      <c r="K6">
        <f t="shared" si="0"/>
        <v>912</v>
      </c>
      <c r="L6">
        <f t="shared" si="1"/>
        <v>264</v>
      </c>
      <c r="M6">
        <f t="shared" si="1"/>
        <v>1112</v>
      </c>
      <c r="N6">
        <f t="shared" si="1"/>
        <v>1280</v>
      </c>
      <c r="O6">
        <f t="shared" si="1"/>
        <v>64</v>
      </c>
    </row>
    <row r="7" spans="2:15" x14ac:dyDescent="0.2">
      <c r="B7" s="189" t="s">
        <v>369</v>
      </c>
      <c r="C7" s="3">
        <v>5</v>
      </c>
      <c r="D7" s="3">
        <v>228</v>
      </c>
      <c r="E7" s="3">
        <v>45</v>
      </c>
      <c r="F7" s="3">
        <v>2</v>
      </c>
      <c r="G7" s="3">
        <v>48</v>
      </c>
      <c r="H7" s="3">
        <v>11</v>
      </c>
      <c r="I7" s="3"/>
      <c r="J7" s="189" t="s">
        <v>369</v>
      </c>
      <c r="K7">
        <f t="shared" si="0"/>
        <v>1824</v>
      </c>
      <c r="L7">
        <f t="shared" si="1"/>
        <v>360</v>
      </c>
      <c r="M7">
        <f t="shared" si="1"/>
        <v>16</v>
      </c>
      <c r="N7">
        <f t="shared" si="1"/>
        <v>384</v>
      </c>
      <c r="O7">
        <f t="shared" si="1"/>
        <v>88</v>
      </c>
    </row>
    <row r="8" spans="2:15" x14ac:dyDescent="0.2">
      <c r="B8" s="189" t="s">
        <v>370</v>
      </c>
      <c r="C8" s="3">
        <v>5</v>
      </c>
      <c r="D8" s="3">
        <v>71</v>
      </c>
      <c r="E8" s="3">
        <v>58</v>
      </c>
      <c r="F8" s="3">
        <v>33</v>
      </c>
      <c r="G8" s="3">
        <v>70</v>
      </c>
      <c r="H8" s="3">
        <v>2</v>
      </c>
      <c r="I8" s="3"/>
      <c r="J8" s="189" t="s">
        <v>370</v>
      </c>
      <c r="K8">
        <f t="shared" si="0"/>
        <v>568</v>
      </c>
      <c r="L8">
        <f t="shared" si="1"/>
        <v>464</v>
      </c>
      <c r="M8">
        <f t="shared" si="1"/>
        <v>264</v>
      </c>
      <c r="N8">
        <f t="shared" si="1"/>
        <v>560</v>
      </c>
      <c r="O8">
        <f t="shared" si="1"/>
        <v>16</v>
      </c>
    </row>
    <row r="9" spans="2:15" x14ac:dyDescent="0.2">
      <c r="B9" s="189" t="s">
        <v>371</v>
      </c>
      <c r="C9" s="3">
        <v>5</v>
      </c>
      <c r="D9" s="3">
        <v>232</v>
      </c>
      <c r="E9" s="3">
        <v>38</v>
      </c>
      <c r="F9" s="3">
        <v>23</v>
      </c>
      <c r="G9" s="3">
        <v>337</v>
      </c>
      <c r="H9" s="3">
        <v>10</v>
      </c>
      <c r="I9" s="3"/>
      <c r="J9" s="189" t="s">
        <v>371</v>
      </c>
      <c r="K9">
        <f t="shared" si="0"/>
        <v>1856</v>
      </c>
      <c r="L9">
        <f t="shared" si="1"/>
        <v>304</v>
      </c>
      <c r="M9">
        <f t="shared" si="1"/>
        <v>184</v>
      </c>
      <c r="N9">
        <f t="shared" si="1"/>
        <v>2696</v>
      </c>
      <c r="O9">
        <f t="shared" si="1"/>
        <v>80</v>
      </c>
    </row>
    <row r="10" spans="2:15" x14ac:dyDescent="0.2">
      <c r="B10" s="189" t="s">
        <v>372</v>
      </c>
      <c r="C10" s="3">
        <v>5</v>
      </c>
      <c r="D10" s="3">
        <v>200</v>
      </c>
      <c r="E10" s="3">
        <v>34</v>
      </c>
      <c r="F10" s="3">
        <v>115</v>
      </c>
      <c r="G10" s="3">
        <v>36</v>
      </c>
      <c r="H10" s="3">
        <v>18</v>
      </c>
      <c r="I10" s="3"/>
      <c r="J10" s="189" t="s">
        <v>372</v>
      </c>
      <c r="K10">
        <f t="shared" si="0"/>
        <v>1600</v>
      </c>
      <c r="L10">
        <f t="shared" si="1"/>
        <v>272</v>
      </c>
      <c r="M10">
        <f t="shared" si="1"/>
        <v>920</v>
      </c>
      <c r="N10">
        <f t="shared" si="1"/>
        <v>288</v>
      </c>
      <c r="O10">
        <f t="shared" si="1"/>
        <v>144</v>
      </c>
    </row>
    <row r="11" spans="2:15" x14ac:dyDescent="0.2">
      <c r="B11" s="189"/>
      <c r="C11" s="3"/>
      <c r="D11" s="3"/>
      <c r="E11" s="3"/>
      <c r="F11" s="3"/>
      <c r="G11" s="3"/>
      <c r="H11" s="3"/>
      <c r="I11" s="3"/>
      <c r="J11" s="189"/>
    </row>
    <row r="12" spans="2:15" x14ac:dyDescent="0.2">
      <c r="B12" s="189" t="s">
        <v>365</v>
      </c>
      <c r="C12" s="3"/>
      <c r="D12" s="3"/>
      <c r="E12" s="3"/>
      <c r="F12" s="3"/>
      <c r="G12" s="3"/>
      <c r="H12" s="3"/>
      <c r="I12" s="3"/>
      <c r="J12" s="192" t="s">
        <v>365</v>
      </c>
      <c r="K12" s="191">
        <f>AVERAGE(K4:K10)</f>
        <v>1165.7142857142858</v>
      </c>
      <c r="L12" s="191">
        <f t="shared" ref="L12:O12" si="2">AVERAGE(L4:L10)</f>
        <v>326.85714285714283</v>
      </c>
      <c r="M12" s="191">
        <f t="shared" si="2"/>
        <v>1010.2857142857143</v>
      </c>
      <c r="N12" s="191">
        <f t="shared" si="2"/>
        <v>795.42857142857144</v>
      </c>
      <c r="O12" s="191">
        <f t="shared" si="2"/>
        <v>81.142857142857139</v>
      </c>
    </row>
    <row r="14" spans="2:15" x14ac:dyDescent="0.2">
      <c r="C14" s="2" t="s">
        <v>373</v>
      </c>
      <c r="K14" s="190" t="s">
        <v>157</v>
      </c>
    </row>
    <row r="15" spans="2:15" x14ac:dyDescent="0.2">
      <c r="C15" s="2" t="s">
        <v>364</v>
      </c>
      <c r="D15" s="2" t="s">
        <v>0</v>
      </c>
      <c r="E15" s="2" t="s">
        <v>1</v>
      </c>
      <c r="F15" s="2" t="s">
        <v>2</v>
      </c>
      <c r="G15" s="2" t="s">
        <v>3</v>
      </c>
      <c r="H15" s="2" t="s">
        <v>4</v>
      </c>
      <c r="I15" s="2"/>
      <c r="J15" s="2" t="s">
        <v>323</v>
      </c>
      <c r="K15" s="2" t="s">
        <v>0</v>
      </c>
      <c r="L15" s="2" t="s">
        <v>1</v>
      </c>
      <c r="M15" s="2" t="s">
        <v>2</v>
      </c>
      <c r="N15" s="2" t="s">
        <v>3</v>
      </c>
      <c r="O15" s="2" t="s">
        <v>4</v>
      </c>
    </row>
    <row r="16" spans="2:15" x14ac:dyDescent="0.2">
      <c r="B16" s="189" t="s">
        <v>366</v>
      </c>
      <c r="C16" s="3">
        <v>5</v>
      </c>
      <c r="D16" s="3">
        <v>88737.132179581546</v>
      </c>
      <c r="E16" s="3">
        <v>1034.2626553797834</v>
      </c>
      <c r="F16" s="3">
        <v>25785.237617984181</v>
      </c>
      <c r="G16" s="3">
        <v>5967.9701458200898</v>
      </c>
      <c r="H16" s="3">
        <v>20636.145185741359</v>
      </c>
      <c r="I16" s="3"/>
      <c r="J16" s="189" t="s">
        <v>366</v>
      </c>
      <c r="K16" s="193">
        <f>(D16/$C16)/1000*40</f>
        <v>709.8970574366524</v>
      </c>
      <c r="L16" s="193">
        <f>(E16/$C16)/1000*40</f>
        <v>8.2741012430382668</v>
      </c>
      <c r="M16" s="193">
        <f>(F16/$C16)/1000*40</f>
        <v>206.28190094387347</v>
      </c>
      <c r="N16" s="193">
        <f>(G16/$C16)/1000*40</f>
        <v>47.743761166560716</v>
      </c>
      <c r="O16" s="193">
        <f>(H16/$C16)/1000*40</f>
        <v>165.08916148593087</v>
      </c>
    </row>
    <row r="17" spans="2:15" x14ac:dyDescent="0.2">
      <c r="B17" s="189" t="s">
        <v>367</v>
      </c>
      <c r="C17" s="3">
        <v>5</v>
      </c>
      <c r="D17" s="3">
        <v>13921.563170950714</v>
      </c>
      <c r="E17" s="3">
        <v>498.2044531930074</v>
      </c>
      <c r="F17" s="3">
        <v>174986.18997535863</v>
      </c>
      <c r="G17" s="3">
        <v>56002.300428934766</v>
      </c>
      <c r="H17" s="3">
        <v>7430.9953253584572</v>
      </c>
      <c r="I17" s="3"/>
      <c r="J17" s="189" t="s">
        <v>367</v>
      </c>
      <c r="K17" s="193">
        <f t="shared" ref="K17:K22" si="3">(D17/$C17)/1000*40</f>
        <v>111.37250536760573</v>
      </c>
      <c r="L17" s="193">
        <f t="shared" ref="L17:L22" si="4">(E17/$C17)/1000*40</f>
        <v>3.985635625544059</v>
      </c>
      <c r="M17" s="193">
        <f t="shared" ref="M17:M22" si="5">(F17/$C17)/1000*40</f>
        <v>1399.889519802869</v>
      </c>
      <c r="N17" s="193">
        <f t="shared" ref="N17:N22" si="6">(G17/$C17)/1000*40</f>
        <v>448.01840343147819</v>
      </c>
      <c r="O17" s="193">
        <f t="shared" ref="O17:O22" si="7">(H17/$C17)/1000*40</f>
        <v>59.447962602867655</v>
      </c>
    </row>
    <row r="18" spans="2:15" x14ac:dyDescent="0.2">
      <c r="B18" s="189" t="s">
        <v>368</v>
      </c>
      <c r="C18" s="3">
        <v>5</v>
      </c>
      <c r="D18" s="3">
        <v>8989.2959071891546</v>
      </c>
      <c r="E18" s="3">
        <v>458.19885143838621</v>
      </c>
      <c r="F18" s="3">
        <v>45460.223607426742</v>
      </c>
      <c r="G18" s="3">
        <v>15483.309583998276</v>
      </c>
      <c r="H18" s="3">
        <v>1461.5736650415101</v>
      </c>
      <c r="I18" s="3"/>
      <c r="J18" s="189" t="s">
        <v>368</v>
      </c>
      <c r="K18" s="193">
        <f t="shared" si="3"/>
        <v>71.914367257513248</v>
      </c>
      <c r="L18" s="193">
        <f t="shared" si="4"/>
        <v>3.6655908115070894</v>
      </c>
      <c r="M18" s="193">
        <f t="shared" si="5"/>
        <v>363.68178885941398</v>
      </c>
      <c r="N18" s="193">
        <f t="shared" si="6"/>
        <v>123.86647667198619</v>
      </c>
      <c r="O18" s="193">
        <f t="shared" si="7"/>
        <v>11.692589320332081</v>
      </c>
    </row>
    <row r="19" spans="2:15" x14ac:dyDescent="0.2">
      <c r="B19" s="189" t="s">
        <v>369</v>
      </c>
      <c r="C19" s="3">
        <v>5</v>
      </c>
      <c r="D19" s="3">
        <v>32500.760957756505</v>
      </c>
      <c r="E19" s="3">
        <v>659.7903834143558</v>
      </c>
      <c r="F19" s="3">
        <v>1067.3181833905001</v>
      </c>
      <c r="G19" s="3">
        <v>16794.108083202438</v>
      </c>
      <c r="H19" s="3">
        <v>7526.8022877932708</v>
      </c>
      <c r="I19" s="3"/>
      <c r="J19" s="189" t="s">
        <v>369</v>
      </c>
      <c r="K19" s="193">
        <f t="shared" si="3"/>
        <v>260.00608766205204</v>
      </c>
      <c r="L19" s="193">
        <f t="shared" si="4"/>
        <v>5.2783230673148465</v>
      </c>
      <c r="M19" s="193">
        <f t="shared" si="5"/>
        <v>8.5385454671240009</v>
      </c>
      <c r="N19" s="193">
        <f t="shared" si="6"/>
        <v>134.35286466561951</v>
      </c>
      <c r="O19" s="193">
        <f t="shared" si="7"/>
        <v>60.214418302346161</v>
      </c>
    </row>
    <row r="20" spans="2:15" x14ac:dyDescent="0.2">
      <c r="B20" s="189" t="s">
        <v>370</v>
      </c>
      <c r="C20" s="3">
        <v>5</v>
      </c>
      <c r="D20" s="3">
        <v>9371.5688739510861</v>
      </c>
      <c r="E20" s="3">
        <v>828.61453107931197</v>
      </c>
      <c r="F20" s="3">
        <v>15009.964817536678</v>
      </c>
      <c r="G20" s="3">
        <v>25110.887853615022</v>
      </c>
      <c r="H20" s="3">
        <v>302.80060623793287</v>
      </c>
      <c r="I20" s="3"/>
      <c r="J20" s="189" t="s">
        <v>370</v>
      </c>
      <c r="K20" s="193">
        <f t="shared" si="3"/>
        <v>74.972550991608685</v>
      </c>
      <c r="L20" s="193">
        <f t="shared" si="4"/>
        <v>6.6289162486344955</v>
      </c>
      <c r="M20" s="193">
        <f t="shared" si="5"/>
        <v>120.07971854029343</v>
      </c>
      <c r="N20" s="193">
        <f t="shared" si="6"/>
        <v>200.88710282892015</v>
      </c>
      <c r="O20" s="193">
        <f t="shared" si="7"/>
        <v>2.4224048499034629</v>
      </c>
    </row>
    <row r="21" spans="2:15" x14ac:dyDescent="0.2">
      <c r="B21" s="189" t="s">
        <v>371</v>
      </c>
      <c r="C21" s="3">
        <v>5</v>
      </c>
      <c r="D21" s="3">
        <v>34147.890732333159</v>
      </c>
      <c r="E21" s="3">
        <v>524.64640032933801</v>
      </c>
      <c r="F21" s="3">
        <v>13824.968585965387</v>
      </c>
      <c r="G21" s="3">
        <v>53435.332058471133</v>
      </c>
      <c r="H21" s="3">
        <v>10529.408233748272</v>
      </c>
      <c r="I21" s="3"/>
      <c r="J21" s="189" t="s">
        <v>371</v>
      </c>
      <c r="K21" s="193">
        <f t="shared" si="3"/>
        <v>273.18312585866528</v>
      </c>
      <c r="L21" s="193">
        <f t="shared" si="4"/>
        <v>4.1971712026347046</v>
      </c>
      <c r="M21" s="193">
        <f t="shared" si="5"/>
        <v>110.59974868772309</v>
      </c>
      <c r="N21" s="193">
        <f t="shared" si="6"/>
        <v>427.48265646776906</v>
      </c>
      <c r="O21" s="193">
        <f t="shared" si="7"/>
        <v>84.235265869986179</v>
      </c>
    </row>
    <row r="22" spans="2:15" x14ac:dyDescent="0.2">
      <c r="B22" s="189" t="s">
        <v>372</v>
      </c>
      <c r="C22" s="3">
        <v>5</v>
      </c>
      <c r="D22" s="3">
        <v>57868.506075770914</v>
      </c>
      <c r="E22" s="3">
        <v>553.34537183670409</v>
      </c>
      <c r="F22" s="3">
        <v>41671.074244450567</v>
      </c>
      <c r="G22" s="3">
        <v>22033.92974867301</v>
      </c>
      <c r="H22" s="3">
        <v>5199.4295919582546</v>
      </c>
      <c r="I22" s="3"/>
      <c r="J22" s="189" t="s">
        <v>372</v>
      </c>
      <c r="K22" s="193">
        <f t="shared" si="3"/>
        <v>462.94804860616728</v>
      </c>
      <c r="L22" s="193">
        <f t="shared" si="4"/>
        <v>4.4267629746936326</v>
      </c>
      <c r="M22" s="193">
        <f t="shared" si="5"/>
        <v>333.36859395560452</v>
      </c>
      <c r="N22" s="193">
        <f t="shared" si="6"/>
        <v>176.27143798938405</v>
      </c>
      <c r="O22" s="193">
        <f t="shared" si="7"/>
        <v>41.595436735666034</v>
      </c>
    </row>
    <row r="23" spans="2:15" x14ac:dyDescent="0.2">
      <c r="J23" s="189"/>
    </row>
    <row r="24" spans="2:15" x14ac:dyDescent="0.2">
      <c r="J24" s="192" t="s">
        <v>365</v>
      </c>
      <c r="K24" s="191">
        <f>AVERAGE(K16:K22)</f>
        <v>280.61339188289497</v>
      </c>
      <c r="L24" s="191">
        <f t="shared" ref="L24:O24" si="8">AVERAGE(L16:L22)</f>
        <v>5.2080715961952988</v>
      </c>
      <c r="M24" s="191">
        <f t="shared" si="8"/>
        <v>363.20568803670022</v>
      </c>
      <c r="N24" s="191">
        <f t="shared" si="8"/>
        <v>222.66038617453114</v>
      </c>
      <c r="O24" s="191">
        <f t="shared" si="8"/>
        <v>60.671034166718918</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7"/>
  <sheetViews>
    <sheetView topLeftCell="A15" workbookViewId="0">
      <selection activeCell="O20" sqref="O20"/>
    </sheetView>
  </sheetViews>
  <sheetFormatPr baseColWidth="10" defaultRowHeight="16" x14ac:dyDescent="0.2"/>
  <cols>
    <col min="1" max="1" width="16.1640625" bestFit="1" customWidth="1"/>
  </cols>
  <sheetData>
    <row r="1" spans="1:12" x14ac:dyDescent="0.2">
      <c r="A1" s="62" t="s">
        <v>21</v>
      </c>
    </row>
    <row r="2" spans="1:12" x14ac:dyDescent="0.2">
      <c r="A2" s="62" t="s">
        <v>22</v>
      </c>
    </row>
    <row r="3" spans="1:12" x14ac:dyDescent="0.2">
      <c r="C3" s="1" t="s">
        <v>0</v>
      </c>
      <c r="D3" s="1"/>
      <c r="E3" s="1" t="s">
        <v>1</v>
      </c>
      <c r="F3" s="1"/>
      <c r="G3" s="1" t="s">
        <v>2</v>
      </c>
      <c r="H3" s="1"/>
      <c r="I3" s="1" t="s">
        <v>3</v>
      </c>
      <c r="J3" s="1"/>
      <c r="K3" s="1" t="s">
        <v>4</v>
      </c>
      <c r="L3" s="1"/>
    </row>
    <row r="4" spans="1:12" x14ac:dyDescent="0.2">
      <c r="A4" s="2" t="s">
        <v>5</v>
      </c>
      <c r="C4" s="2" t="s">
        <v>19</v>
      </c>
      <c r="D4" s="2" t="s">
        <v>20</v>
      </c>
      <c r="E4" s="2" t="s">
        <v>19</v>
      </c>
      <c r="F4" s="2" t="s">
        <v>20</v>
      </c>
      <c r="G4" s="2" t="s">
        <v>19</v>
      </c>
      <c r="H4" s="2" t="s">
        <v>20</v>
      </c>
      <c r="I4" s="2" t="s">
        <v>19</v>
      </c>
      <c r="J4" s="2" t="s">
        <v>20</v>
      </c>
      <c r="K4" s="2" t="s">
        <v>19</v>
      </c>
      <c r="L4" s="2" t="s">
        <v>20</v>
      </c>
    </row>
    <row r="5" spans="1:12" x14ac:dyDescent="0.2">
      <c r="A5" s="4" t="s">
        <v>6</v>
      </c>
      <c r="B5" s="3">
        <v>5</v>
      </c>
      <c r="C5" s="64">
        <v>496</v>
      </c>
      <c r="D5" s="64">
        <v>46810.152604046547</v>
      </c>
      <c r="E5" s="64">
        <v>89</v>
      </c>
      <c r="F5" s="64">
        <v>1422.3310120892245</v>
      </c>
      <c r="G5" s="64">
        <v>37</v>
      </c>
      <c r="H5" s="64">
        <v>147671.37899298841</v>
      </c>
      <c r="I5" s="64">
        <v>57</v>
      </c>
      <c r="J5" s="64">
        <v>60595.785563783262</v>
      </c>
      <c r="K5" s="64">
        <v>10</v>
      </c>
      <c r="L5" s="64">
        <v>38542.523089990413</v>
      </c>
    </row>
    <row r="6" spans="1:12" x14ac:dyDescent="0.2">
      <c r="A6" s="4" t="s">
        <v>7</v>
      </c>
      <c r="B6" s="3">
        <v>6</v>
      </c>
      <c r="C6" s="64">
        <v>430</v>
      </c>
      <c r="D6" s="64">
        <v>49991.628847657201</v>
      </c>
      <c r="E6" s="64">
        <v>76</v>
      </c>
      <c r="F6" s="64">
        <v>1396.5529500575626</v>
      </c>
      <c r="G6" s="64">
        <v>26</v>
      </c>
      <c r="H6" s="64">
        <v>71614.054223742292</v>
      </c>
      <c r="I6" s="64">
        <v>127</v>
      </c>
      <c r="J6" s="64">
        <v>25168.347196505722</v>
      </c>
      <c r="K6" s="64">
        <v>21</v>
      </c>
      <c r="L6" s="64">
        <v>16804.105149365922</v>
      </c>
    </row>
    <row r="7" spans="1:12" x14ac:dyDescent="0.2">
      <c r="A7" s="4" t="s">
        <v>8</v>
      </c>
      <c r="B7" s="3">
        <v>4</v>
      </c>
      <c r="C7" s="64">
        <v>298</v>
      </c>
      <c r="D7" s="64">
        <v>45847.687673639484</v>
      </c>
      <c r="E7" s="64">
        <v>35</v>
      </c>
      <c r="F7" s="64">
        <v>934.39634107340123</v>
      </c>
      <c r="G7" s="64">
        <v>21</v>
      </c>
      <c r="H7" s="64">
        <v>39041.515713041452</v>
      </c>
      <c r="I7" s="64">
        <v>30</v>
      </c>
      <c r="J7" s="64">
        <v>19301.348030093126</v>
      </c>
      <c r="K7" s="64">
        <v>74</v>
      </c>
      <c r="L7" s="64">
        <v>54710.839975814917</v>
      </c>
    </row>
    <row r="8" spans="1:12" x14ac:dyDescent="0.2">
      <c r="A8" s="4" t="s">
        <v>9</v>
      </c>
      <c r="B8" s="3">
        <v>5</v>
      </c>
      <c r="C8" s="64">
        <v>367</v>
      </c>
      <c r="D8" s="64">
        <v>42212.333141453848</v>
      </c>
      <c r="E8" s="64">
        <v>33</v>
      </c>
      <c r="F8" s="64">
        <v>504.87280253697554</v>
      </c>
      <c r="G8" s="64">
        <v>48</v>
      </c>
      <c r="H8" s="64">
        <v>46877.046039634966</v>
      </c>
      <c r="I8" s="64">
        <v>122</v>
      </c>
      <c r="J8" s="64">
        <v>89942.024635422014</v>
      </c>
      <c r="K8" s="64">
        <v>14</v>
      </c>
      <c r="L8" s="64">
        <v>30101.427972131405</v>
      </c>
    </row>
    <row r="9" spans="1:12" x14ac:dyDescent="0.2">
      <c r="A9" s="4" t="s">
        <v>10</v>
      </c>
      <c r="B9" s="3">
        <v>5</v>
      </c>
      <c r="C9" s="64">
        <v>356</v>
      </c>
      <c r="D9" s="64">
        <v>131669.69827854531</v>
      </c>
      <c r="E9" s="64">
        <v>32</v>
      </c>
      <c r="F9" s="64">
        <v>802.32508966068838</v>
      </c>
      <c r="G9" s="64">
        <v>20</v>
      </c>
      <c r="H9" s="64">
        <v>45406.934938982311</v>
      </c>
      <c r="I9" s="64">
        <v>78</v>
      </c>
      <c r="J9" s="64">
        <v>103438.03241357231</v>
      </c>
      <c r="K9" s="64">
        <v>28</v>
      </c>
      <c r="L9" s="64">
        <v>45118.369953417074</v>
      </c>
    </row>
    <row r="10" spans="1:12" x14ac:dyDescent="0.2">
      <c r="A10" s="4" t="s">
        <v>11</v>
      </c>
      <c r="B10" s="3">
        <v>5</v>
      </c>
      <c r="C10" s="64">
        <v>181</v>
      </c>
      <c r="D10" s="64">
        <v>16739.964510332869</v>
      </c>
      <c r="E10" s="64">
        <v>66</v>
      </c>
      <c r="F10" s="64">
        <v>1047.4658604876581</v>
      </c>
      <c r="G10" s="64">
        <v>20</v>
      </c>
      <c r="H10" s="64">
        <v>17445.281597714104</v>
      </c>
      <c r="I10" s="64">
        <v>121</v>
      </c>
      <c r="J10" s="64">
        <v>92933.661256706677</v>
      </c>
      <c r="K10" s="64">
        <v>12</v>
      </c>
      <c r="L10" s="64">
        <v>15894.355103617196</v>
      </c>
    </row>
    <row r="11" spans="1:12" x14ac:dyDescent="0.2">
      <c r="A11" s="4" t="s">
        <v>12</v>
      </c>
      <c r="B11" s="3">
        <v>5</v>
      </c>
      <c r="C11" s="64">
        <v>252</v>
      </c>
      <c r="D11" s="64">
        <v>83399.550056651657</v>
      </c>
      <c r="E11" s="64">
        <v>79</v>
      </c>
      <c r="F11" s="64">
        <v>1181.5115720952692</v>
      </c>
      <c r="G11" s="64">
        <v>129</v>
      </c>
      <c r="H11" s="64">
        <v>198807.72566563915</v>
      </c>
      <c r="I11" s="64">
        <v>45</v>
      </c>
      <c r="J11" s="64">
        <v>77289.1677730394</v>
      </c>
      <c r="K11" s="64">
        <v>14</v>
      </c>
      <c r="L11" s="64">
        <v>39097.23690228186</v>
      </c>
    </row>
    <row r="12" spans="1:12" x14ac:dyDescent="0.2">
      <c r="A12" s="4" t="s">
        <v>13</v>
      </c>
      <c r="B12" s="3">
        <v>5</v>
      </c>
      <c r="C12" s="64">
        <v>414</v>
      </c>
      <c r="D12" s="64">
        <v>149387.26727102656</v>
      </c>
      <c r="E12" s="64">
        <v>32</v>
      </c>
      <c r="F12" s="64">
        <v>469.25805722702341</v>
      </c>
      <c r="G12" s="64">
        <v>83</v>
      </c>
      <c r="H12" s="64">
        <v>241660.5415548367</v>
      </c>
      <c r="I12" s="64">
        <v>125</v>
      </c>
      <c r="J12" s="64">
        <v>125099.84266251743</v>
      </c>
      <c r="K12" s="64">
        <v>19</v>
      </c>
      <c r="L12" s="64">
        <v>29728.057051991742</v>
      </c>
    </row>
    <row r="13" spans="1:12" x14ac:dyDescent="0.2">
      <c r="A13" s="4" t="s">
        <v>14</v>
      </c>
      <c r="B13" s="3">
        <v>5</v>
      </c>
      <c r="C13" s="64">
        <v>281</v>
      </c>
      <c r="D13" s="64">
        <v>35288.731940805905</v>
      </c>
      <c r="E13" s="64">
        <v>43</v>
      </c>
      <c r="F13" s="64">
        <v>594.08160188795705</v>
      </c>
      <c r="G13" s="64">
        <v>88</v>
      </c>
      <c r="H13" s="64">
        <v>276235.30875310261</v>
      </c>
      <c r="I13" s="64">
        <v>130</v>
      </c>
      <c r="J13" s="64">
        <v>97012.157135699934</v>
      </c>
      <c r="K13" s="64">
        <v>11</v>
      </c>
      <c r="L13" s="64">
        <v>19476.86802962629</v>
      </c>
    </row>
    <row r="14" spans="1:12" x14ac:dyDescent="0.2">
      <c r="A14" s="4" t="s">
        <v>15</v>
      </c>
      <c r="B14" s="3">
        <v>3</v>
      </c>
      <c r="C14" s="64">
        <v>309</v>
      </c>
      <c r="D14" s="64">
        <v>35099.771785470839</v>
      </c>
      <c r="E14" s="64">
        <v>55</v>
      </c>
      <c r="F14" s="64">
        <v>1621.2735144236076</v>
      </c>
      <c r="G14" s="64">
        <v>27</v>
      </c>
      <c r="H14" s="64">
        <v>90457.227771067614</v>
      </c>
      <c r="I14" s="64">
        <v>58</v>
      </c>
      <c r="J14" s="64">
        <v>25056.108370199232</v>
      </c>
      <c r="K14" s="64">
        <v>13</v>
      </c>
      <c r="L14" s="64">
        <v>27290.833222132493</v>
      </c>
    </row>
    <row r="15" spans="1:12" x14ac:dyDescent="0.2">
      <c r="A15" s="4" t="s">
        <v>16</v>
      </c>
      <c r="B15" s="3">
        <v>5</v>
      </c>
      <c r="C15" s="64">
        <v>394</v>
      </c>
      <c r="D15" s="64">
        <v>72434.470186845356</v>
      </c>
      <c r="E15" s="64">
        <v>66</v>
      </c>
      <c r="F15" s="64">
        <v>949.86993239139508</v>
      </c>
      <c r="G15" s="64">
        <v>76</v>
      </c>
      <c r="H15" s="64">
        <v>215992.43710099836</v>
      </c>
      <c r="I15" s="64">
        <v>83</v>
      </c>
      <c r="J15" s="64">
        <v>61482.685516703707</v>
      </c>
      <c r="K15" s="64">
        <v>4</v>
      </c>
      <c r="L15" s="64">
        <v>3840.8718033335181</v>
      </c>
    </row>
    <row r="16" spans="1:12" x14ac:dyDescent="0.2">
      <c r="A16" s="4" t="s">
        <v>17</v>
      </c>
      <c r="B16" s="3">
        <v>6</v>
      </c>
      <c r="C16" s="64">
        <v>210</v>
      </c>
      <c r="D16" s="64">
        <v>48860.891430828407</v>
      </c>
      <c r="E16" s="64">
        <v>46</v>
      </c>
      <c r="F16" s="64">
        <v>1038.4379251832631</v>
      </c>
      <c r="G16" s="64">
        <v>6</v>
      </c>
      <c r="H16" s="64">
        <v>9948.9955729395533</v>
      </c>
      <c r="I16" s="64">
        <v>71</v>
      </c>
      <c r="J16" s="64">
        <v>48388.597618402273</v>
      </c>
      <c r="K16" s="64">
        <v>7</v>
      </c>
      <c r="L16" s="64">
        <v>5059.1313049703485</v>
      </c>
    </row>
    <row r="17" spans="1:15" x14ac:dyDescent="0.2">
      <c r="A17" s="4" t="s">
        <v>18</v>
      </c>
      <c r="B17" s="3">
        <v>5</v>
      </c>
      <c r="C17" s="64">
        <v>508</v>
      </c>
      <c r="D17" s="64">
        <v>67778.651833943746</v>
      </c>
      <c r="E17" s="64">
        <v>98</v>
      </c>
      <c r="F17" s="64">
        <v>1471.1330316462393</v>
      </c>
      <c r="G17" s="64">
        <v>26</v>
      </c>
      <c r="H17" s="64">
        <v>48177.782103862723</v>
      </c>
      <c r="I17" s="64">
        <v>79</v>
      </c>
      <c r="J17" s="64">
        <v>69267.755060330499</v>
      </c>
      <c r="K17" s="64">
        <v>17</v>
      </c>
      <c r="L17" s="64">
        <v>17385.680447985669</v>
      </c>
    </row>
    <row r="18" spans="1:15" x14ac:dyDescent="0.2">
      <c r="L18" s="175">
        <f>AVERAGE(L5:L17)</f>
        <v>26388.484615896832</v>
      </c>
    </row>
    <row r="19" spans="1:15" x14ac:dyDescent="0.2">
      <c r="A19" s="63" t="s">
        <v>23</v>
      </c>
    </row>
    <row r="20" spans="1:15" x14ac:dyDescent="0.2">
      <c r="A20" s="63" t="s">
        <v>24</v>
      </c>
      <c r="C20" s="1" t="s">
        <v>0</v>
      </c>
      <c r="D20" s="1"/>
      <c r="E20" s="1" t="s">
        <v>1</v>
      </c>
      <c r="F20" s="1"/>
      <c r="G20" s="1" t="s">
        <v>2</v>
      </c>
      <c r="H20" s="1"/>
      <c r="I20" s="1" t="s">
        <v>3</v>
      </c>
      <c r="J20" s="1"/>
      <c r="K20" s="1" t="s">
        <v>4</v>
      </c>
      <c r="L20" s="1"/>
      <c r="O20" t="s">
        <v>356</v>
      </c>
    </row>
    <row r="21" spans="1:15" x14ac:dyDescent="0.2">
      <c r="A21" s="2" t="s">
        <v>5</v>
      </c>
      <c r="C21" s="2" t="s">
        <v>19</v>
      </c>
      <c r="D21" s="2" t="s">
        <v>20</v>
      </c>
      <c r="E21" s="2" t="s">
        <v>19</v>
      </c>
      <c r="F21" s="2" t="s">
        <v>20</v>
      </c>
      <c r="G21" s="2" t="s">
        <v>19</v>
      </c>
      <c r="H21" s="2" t="s">
        <v>20</v>
      </c>
      <c r="I21" s="2" t="s">
        <v>19</v>
      </c>
      <c r="J21" s="2" t="s">
        <v>20</v>
      </c>
      <c r="K21" s="2" t="s">
        <v>19</v>
      </c>
      <c r="L21" s="2" t="s">
        <v>20</v>
      </c>
    </row>
    <row r="22" spans="1:15" x14ac:dyDescent="0.2">
      <c r="A22" s="4" t="s">
        <v>6</v>
      </c>
      <c r="C22" s="64">
        <f>C5/$B5*40</f>
        <v>3968</v>
      </c>
      <c r="D22" s="64">
        <f>(D5/$B5)/1000*40</f>
        <v>374.4812208323724</v>
      </c>
      <c r="E22" s="64">
        <f t="shared" ref="E22" si="0">E5/$B5*40</f>
        <v>712</v>
      </c>
      <c r="F22" s="64">
        <f t="shared" ref="F22" si="1">(F5/$B5)/1000*40</f>
        <v>11.378648096713794</v>
      </c>
      <c r="G22" s="64">
        <f t="shared" ref="G22" si="2">G5/$B5*40</f>
        <v>296</v>
      </c>
      <c r="H22" s="64">
        <f t="shared" ref="H22" si="3">(H5/$B5)/1000*40</f>
        <v>1181.3710319439074</v>
      </c>
      <c r="I22" s="64">
        <f t="shared" ref="I22" si="4">I5/$B5*40</f>
        <v>456</v>
      </c>
      <c r="J22" s="64">
        <f t="shared" ref="J22" si="5">(J5/$B5)/1000*40</f>
        <v>484.76628451026613</v>
      </c>
      <c r="K22" s="64">
        <f t="shared" ref="K22" si="6">K5/$B5*40</f>
        <v>80</v>
      </c>
      <c r="L22" s="64">
        <f t="shared" ref="L22" si="7">(L5/$B5)/1000*40</f>
        <v>308.34018471992329</v>
      </c>
    </row>
    <row r="23" spans="1:15" x14ac:dyDescent="0.2">
      <c r="A23" s="4" t="s">
        <v>7</v>
      </c>
      <c r="C23" s="64">
        <f t="shared" ref="C23:K34" si="8">C6/$B6*40</f>
        <v>2866.666666666667</v>
      </c>
      <c r="D23" s="64">
        <f t="shared" ref="D23:L34" si="9">(D6/$B6)/1000*40</f>
        <v>333.27752565104794</v>
      </c>
      <c r="E23" s="64">
        <f t="shared" si="8"/>
        <v>506.66666666666663</v>
      </c>
      <c r="F23" s="64">
        <f t="shared" si="9"/>
        <v>9.3103530003837509</v>
      </c>
      <c r="G23" s="64">
        <f t="shared" si="8"/>
        <v>173.33333333333331</v>
      </c>
      <c r="H23" s="64">
        <f t="shared" si="9"/>
        <v>477.42702815828193</v>
      </c>
      <c r="I23" s="64">
        <f t="shared" si="8"/>
        <v>846.66666666666674</v>
      </c>
      <c r="J23" s="64">
        <f t="shared" si="9"/>
        <v>167.78898131003814</v>
      </c>
      <c r="K23" s="64">
        <f t="shared" si="8"/>
        <v>140</v>
      </c>
      <c r="L23" s="64">
        <f t="shared" si="9"/>
        <v>112.02736766243947</v>
      </c>
    </row>
    <row r="24" spans="1:15" x14ac:dyDescent="0.2">
      <c r="A24" s="4" t="s">
        <v>8</v>
      </c>
      <c r="C24" s="64">
        <f t="shared" si="8"/>
        <v>2980</v>
      </c>
      <c r="D24" s="64">
        <f t="shared" si="9"/>
        <v>458.47687673639484</v>
      </c>
      <c r="E24" s="64">
        <f t="shared" si="8"/>
        <v>350</v>
      </c>
      <c r="F24" s="64">
        <f t="shared" si="9"/>
        <v>9.3439634107340126</v>
      </c>
      <c r="G24" s="64">
        <f t="shared" si="8"/>
        <v>210</v>
      </c>
      <c r="H24" s="64">
        <f t="shared" si="9"/>
        <v>390.41515713041451</v>
      </c>
      <c r="I24" s="64">
        <f t="shared" si="8"/>
        <v>300</v>
      </c>
      <c r="J24" s="64">
        <f t="shared" si="9"/>
        <v>193.01348030093126</v>
      </c>
      <c r="K24" s="64">
        <f t="shared" si="8"/>
        <v>740</v>
      </c>
      <c r="L24" s="64">
        <f t="shared" si="9"/>
        <v>547.10839975814918</v>
      </c>
    </row>
    <row r="25" spans="1:15" x14ac:dyDescent="0.2">
      <c r="A25" s="4" t="s">
        <v>9</v>
      </c>
      <c r="C25" s="64">
        <f t="shared" si="8"/>
        <v>2936</v>
      </c>
      <c r="D25" s="64">
        <f t="shared" si="9"/>
        <v>337.69866513163083</v>
      </c>
      <c r="E25" s="64">
        <f t="shared" si="8"/>
        <v>264</v>
      </c>
      <c r="F25" s="64">
        <f t="shared" si="9"/>
        <v>4.0389824202958042</v>
      </c>
      <c r="G25" s="64">
        <f t="shared" si="8"/>
        <v>384</v>
      </c>
      <c r="H25" s="64">
        <f t="shared" si="9"/>
        <v>375.01636831707975</v>
      </c>
      <c r="I25" s="64">
        <f t="shared" si="8"/>
        <v>976</v>
      </c>
      <c r="J25" s="64">
        <f t="shared" si="9"/>
        <v>719.53619708337612</v>
      </c>
      <c r="K25" s="64">
        <f t="shared" si="8"/>
        <v>112</v>
      </c>
      <c r="L25" s="64">
        <f t="shared" si="9"/>
        <v>240.81142377705123</v>
      </c>
    </row>
    <row r="26" spans="1:15" x14ac:dyDescent="0.2">
      <c r="A26" s="4" t="s">
        <v>10</v>
      </c>
      <c r="C26" s="64">
        <f t="shared" si="8"/>
        <v>2848</v>
      </c>
      <c r="D26" s="64">
        <f t="shared" si="9"/>
        <v>1053.3575862283626</v>
      </c>
      <c r="E26" s="64">
        <f t="shared" si="8"/>
        <v>256</v>
      </c>
      <c r="F26" s="64">
        <f t="shared" si="9"/>
        <v>6.4186007172855062</v>
      </c>
      <c r="G26" s="64">
        <f t="shared" si="8"/>
        <v>160</v>
      </c>
      <c r="H26" s="64">
        <f t="shared" si="9"/>
        <v>363.25547951185848</v>
      </c>
      <c r="I26" s="64">
        <f t="shared" si="8"/>
        <v>624</v>
      </c>
      <c r="J26" s="64">
        <f t="shared" si="9"/>
        <v>827.50425930857841</v>
      </c>
      <c r="K26" s="64">
        <f t="shared" si="8"/>
        <v>224</v>
      </c>
      <c r="L26" s="64">
        <f t="shared" si="9"/>
        <v>360.94695962733658</v>
      </c>
    </row>
    <row r="27" spans="1:15" x14ac:dyDescent="0.2">
      <c r="A27" s="4" t="s">
        <v>11</v>
      </c>
      <c r="C27" s="64">
        <f t="shared" si="8"/>
        <v>1448</v>
      </c>
      <c r="D27" s="64">
        <f t="shared" si="9"/>
        <v>133.91971608266294</v>
      </c>
      <c r="E27" s="64">
        <f t="shared" si="8"/>
        <v>528</v>
      </c>
      <c r="F27" s="64">
        <f t="shared" si="9"/>
        <v>8.3797268839012631</v>
      </c>
      <c r="G27" s="64">
        <f t="shared" si="8"/>
        <v>160</v>
      </c>
      <c r="H27" s="64">
        <f t="shared" si="9"/>
        <v>139.56225278171283</v>
      </c>
      <c r="I27" s="64">
        <f t="shared" si="8"/>
        <v>968</v>
      </c>
      <c r="J27" s="64">
        <f t="shared" si="9"/>
        <v>743.46929005365337</v>
      </c>
      <c r="K27" s="64">
        <f t="shared" si="8"/>
        <v>96</v>
      </c>
      <c r="L27" s="64">
        <f t="shared" si="9"/>
        <v>127.15484082893755</v>
      </c>
    </row>
    <row r="28" spans="1:15" x14ac:dyDescent="0.2">
      <c r="A28" s="4" t="s">
        <v>12</v>
      </c>
      <c r="C28" s="64">
        <f t="shared" si="8"/>
        <v>2016</v>
      </c>
      <c r="D28" s="64">
        <f t="shared" si="9"/>
        <v>667.1964004532133</v>
      </c>
      <c r="E28" s="64">
        <f t="shared" si="8"/>
        <v>632</v>
      </c>
      <c r="F28" s="64">
        <f t="shared" si="9"/>
        <v>9.4520925767621549</v>
      </c>
      <c r="G28" s="64">
        <f t="shared" si="8"/>
        <v>1032</v>
      </c>
      <c r="H28" s="64">
        <f t="shared" si="9"/>
        <v>1590.4618053251133</v>
      </c>
      <c r="I28" s="64">
        <f t="shared" si="8"/>
        <v>360</v>
      </c>
      <c r="J28" s="64">
        <f t="shared" si="9"/>
        <v>618.31334218431516</v>
      </c>
      <c r="K28" s="64">
        <f t="shared" si="8"/>
        <v>112</v>
      </c>
      <c r="L28" s="64">
        <f t="shared" si="9"/>
        <v>312.77789521825491</v>
      </c>
    </row>
    <row r="29" spans="1:15" x14ac:dyDescent="0.2">
      <c r="A29" s="4" t="s">
        <v>13</v>
      </c>
      <c r="C29" s="64">
        <f t="shared" si="8"/>
        <v>3312</v>
      </c>
      <c r="D29" s="64">
        <f t="shared" si="9"/>
        <v>1195.0981381682125</v>
      </c>
      <c r="E29" s="64">
        <f t="shared" si="8"/>
        <v>256</v>
      </c>
      <c r="F29" s="64">
        <f t="shared" si="9"/>
        <v>3.7540644578161873</v>
      </c>
      <c r="G29" s="64">
        <f t="shared" si="8"/>
        <v>664</v>
      </c>
      <c r="H29" s="64">
        <f t="shared" si="9"/>
        <v>1933.2843324386936</v>
      </c>
      <c r="I29" s="64">
        <f t="shared" si="8"/>
        <v>1000</v>
      </c>
      <c r="J29" s="64">
        <f t="shared" si="9"/>
        <v>1000.7987413001395</v>
      </c>
      <c r="K29" s="64">
        <f t="shared" si="8"/>
        <v>152</v>
      </c>
      <c r="L29" s="64">
        <f t="shared" si="9"/>
        <v>237.82445641593395</v>
      </c>
    </row>
    <row r="30" spans="1:15" x14ac:dyDescent="0.2">
      <c r="A30" s="4" t="s">
        <v>14</v>
      </c>
      <c r="C30" s="64">
        <f t="shared" si="8"/>
        <v>2248</v>
      </c>
      <c r="D30" s="64">
        <f t="shared" si="9"/>
        <v>282.30985552644722</v>
      </c>
      <c r="E30" s="64">
        <f t="shared" si="8"/>
        <v>344</v>
      </c>
      <c r="F30" s="64">
        <f t="shared" si="9"/>
        <v>4.752652815103656</v>
      </c>
      <c r="G30" s="64">
        <f t="shared" si="8"/>
        <v>704</v>
      </c>
      <c r="H30" s="64">
        <f t="shared" si="9"/>
        <v>2209.882470024821</v>
      </c>
      <c r="I30" s="64">
        <f t="shared" si="8"/>
        <v>1040</v>
      </c>
      <c r="J30" s="64">
        <f t="shared" si="9"/>
        <v>776.09725708559938</v>
      </c>
      <c r="K30" s="64">
        <f t="shared" si="8"/>
        <v>88</v>
      </c>
      <c r="L30" s="64">
        <f t="shared" si="9"/>
        <v>155.81494423701031</v>
      </c>
    </row>
    <row r="31" spans="1:15" x14ac:dyDescent="0.2">
      <c r="A31" s="4" t="s">
        <v>15</v>
      </c>
      <c r="C31" s="64">
        <f t="shared" si="8"/>
        <v>4120</v>
      </c>
      <c r="D31" s="64">
        <f t="shared" si="9"/>
        <v>467.9969571396112</v>
      </c>
      <c r="E31" s="64">
        <f t="shared" si="8"/>
        <v>733.33333333333326</v>
      </c>
      <c r="F31" s="64">
        <f t="shared" si="9"/>
        <v>21.616980192314767</v>
      </c>
      <c r="G31" s="64">
        <f t="shared" si="8"/>
        <v>360</v>
      </c>
      <c r="H31" s="64">
        <f t="shared" si="9"/>
        <v>1206.0963702809015</v>
      </c>
      <c r="I31" s="64">
        <f t="shared" si="8"/>
        <v>773.33333333333326</v>
      </c>
      <c r="J31" s="64">
        <f t="shared" si="9"/>
        <v>334.08144493598974</v>
      </c>
      <c r="K31" s="64">
        <f t="shared" si="8"/>
        <v>173.33333333333331</v>
      </c>
      <c r="L31" s="64">
        <f t="shared" si="9"/>
        <v>363.87777629509992</v>
      </c>
    </row>
    <row r="32" spans="1:15" x14ac:dyDescent="0.2">
      <c r="A32" s="4" t="s">
        <v>16</v>
      </c>
      <c r="C32" s="64">
        <f t="shared" si="8"/>
        <v>3152</v>
      </c>
      <c r="D32" s="64">
        <f t="shared" si="9"/>
        <v>579.47576149476288</v>
      </c>
      <c r="E32" s="64">
        <f t="shared" si="8"/>
        <v>528</v>
      </c>
      <c r="F32" s="64">
        <f t="shared" si="9"/>
        <v>7.5989594591311604</v>
      </c>
      <c r="G32" s="64">
        <f t="shared" si="8"/>
        <v>608</v>
      </c>
      <c r="H32" s="64">
        <f t="shared" si="9"/>
        <v>1727.9394968079869</v>
      </c>
      <c r="I32" s="64">
        <f t="shared" si="8"/>
        <v>664</v>
      </c>
      <c r="J32" s="64">
        <f t="shared" si="9"/>
        <v>491.86148413362963</v>
      </c>
      <c r="K32" s="64">
        <f t="shared" si="8"/>
        <v>32</v>
      </c>
      <c r="L32" s="64">
        <f t="shared" si="9"/>
        <v>30.726974426668146</v>
      </c>
    </row>
    <row r="33" spans="1:12" x14ac:dyDescent="0.2">
      <c r="A33" s="4" t="s">
        <v>17</v>
      </c>
      <c r="C33" s="64">
        <f t="shared" si="8"/>
        <v>1400</v>
      </c>
      <c r="D33" s="64">
        <f t="shared" si="9"/>
        <v>325.73927620552274</v>
      </c>
      <c r="E33" s="64">
        <f t="shared" si="8"/>
        <v>306.66666666666669</v>
      </c>
      <c r="F33" s="64">
        <f t="shared" si="9"/>
        <v>6.9229195012217541</v>
      </c>
      <c r="G33" s="64">
        <f t="shared" si="8"/>
        <v>40</v>
      </c>
      <c r="H33" s="64">
        <f t="shared" si="9"/>
        <v>66.32663715293036</v>
      </c>
      <c r="I33" s="64">
        <f t="shared" si="8"/>
        <v>473.33333333333337</v>
      </c>
      <c r="J33" s="64">
        <f t="shared" si="9"/>
        <v>322.59065078934844</v>
      </c>
      <c r="K33" s="64">
        <f t="shared" si="8"/>
        <v>46.666666666666671</v>
      </c>
      <c r="L33" s="64">
        <f t="shared" si="9"/>
        <v>33.727542033135656</v>
      </c>
    </row>
    <row r="34" spans="1:12" x14ac:dyDescent="0.2">
      <c r="A34" s="4" t="s">
        <v>18</v>
      </c>
      <c r="C34" s="64">
        <f t="shared" si="8"/>
        <v>4064</v>
      </c>
      <c r="D34" s="64">
        <f t="shared" si="9"/>
        <v>542.22921467154993</v>
      </c>
      <c r="E34" s="64">
        <f t="shared" si="8"/>
        <v>784</v>
      </c>
      <c r="F34" s="64">
        <f t="shared" si="9"/>
        <v>11.769064253169914</v>
      </c>
      <c r="G34" s="64">
        <f t="shared" si="8"/>
        <v>208</v>
      </c>
      <c r="H34" s="64">
        <f t="shared" si="9"/>
        <v>385.42225683090174</v>
      </c>
      <c r="I34" s="64">
        <f t="shared" si="8"/>
        <v>632</v>
      </c>
      <c r="J34" s="64">
        <f t="shared" si="9"/>
        <v>554.14204048264401</v>
      </c>
      <c r="K34" s="64">
        <f t="shared" si="8"/>
        <v>136</v>
      </c>
      <c r="L34" s="64">
        <f t="shared" si="9"/>
        <v>139.08544358388536</v>
      </c>
    </row>
    <row r="35" spans="1:12" x14ac:dyDescent="0.2">
      <c r="C35" s="64"/>
      <c r="D35" s="64"/>
      <c r="E35" s="64"/>
      <c r="F35" s="64"/>
      <c r="G35" s="64"/>
      <c r="H35" s="64"/>
      <c r="I35" s="64"/>
      <c r="J35" s="64"/>
      <c r="K35" s="64"/>
      <c r="L35" s="64"/>
    </row>
    <row r="36" spans="1:12" x14ac:dyDescent="0.2">
      <c r="A36" s="66" t="s">
        <v>25</v>
      </c>
      <c r="B36" s="60"/>
      <c r="C36" s="83">
        <f>AVERAGE(C22:C34)</f>
        <v>2873.7435897435903</v>
      </c>
      <c r="D36" s="65">
        <f t="shared" ref="D36:L36" si="10">AVERAGE(D22:D34)</f>
        <v>519.32747648629163</v>
      </c>
      <c r="E36" s="83">
        <f t="shared" si="10"/>
        <v>476.97435897435901</v>
      </c>
      <c r="F36" s="65">
        <f t="shared" si="10"/>
        <v>8.8259236757564405</v>
      </c>
      <c r="G36" s="65">
        <f t="shared" si="10"/>
        <v>384.56410256410254</v>
      </c>
      <c r="H36" s="83">
        <f t="shared" si="10"/>
        <v>926.65082205420015</v>
      </c>
      <c r="I36" s="83">
        <f t="shared" si="10"/>
        <v>701.02564102564111</v>
      </c>
      <c r="J36" s="65">
        <f t="shared" si="10"/>
        <v>556.4587271906546</v>
      </c>
      <c r="K36" s="65">
        <f t="shared" si="10"/>
        <v>164</v>
      </c>
      <c r="L36" s="83">
        <f t="shared" si="10"/>
        <v>228.47878527567894</v>
      </c>
    </row>
    <row r="37" spans="1:12" x14ac:dyDescent="0.2">
      <c r="A37" s="66" t="s">
        <v>26</v>
      </c>
      <c r="B37" s="60"/>
      <c r="C37" s="65">
        <f>STDEV(C22:C34)</f>
        <v>902.98490773087758</v>
      </c>
      <c r="D37" s="65">
        <f t="shared" ref="D37:L37" si="11">STDEV(D22:D34)</f>
        <v>303.44909242100647</v>
      </c>
      <c r="E37" s="65">
        <f t="shared" si="11"/>
        <v>193.90081759891331</v>
      </c>
      <c r="F37" s="65">
        <f t="shared" si="11"/>
        <v>4.6191268038668873</v>
      </c>
      <c r="G37" s="65">
        <f t="shared" si="11"/>
        <v>286.28603233076586</v>
      </c>
      <c r="H37" s="65">
        <f t="shared" si="11"/>
        <v>744.3865099775129</v>
      </c>
      <c r="I37" s="65">
        <f t="shared" si="11"/>
        <v>254.7359730277916</v>
      </c>
      <c r="J37" s="65">
        <f t="shared" si="11"/>
        <v>255.14024680831332</v>
      </c>
      <c r="K37" s="65">
        <f t="shared" si="11"/>
        <v>180.51367035541986</v>
      </c>
      <c r="L37" s="65">
        <f t="shared" si="11"/>
        <v>148.67796770325285</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R18"/>
  <sheetViews>
    <sheetView topLeftCell="G1" workbookViewId="0">
      <selection activeCell="I14" sqref="I14"/>
    </sheetView>
  </sheetViews>
  <sheetFormatPr baseColWidth="10" defaultRowHeight="16" x14ac:dyDescent="0.2"/>
  <cols>
    <col min="3" max="3" width="16.33203125" bestFit="1" customWidth="1"/>
    <col min="4" max="4" width="14.5" bestFit="1" customWidth="1"/>
    <col min="5" max="5" width="16.33203125" bestFit="1" customWidth="1"/>
    <col min="6" max="6" width="14.5" bestFit="1" customWidth="1"/>
    <col min="7" max="7" width="16.33203125" bestFit="1" customWidth="1"/>
    <col min="8" max="8" width="14.5" bestFit="1" customWidth="1"/>
    <col min="9" max="9" width="16.33203125" bestFit="1" customWidth="1"/>
    <col min="11" max="11" width="16.33203125" bestFit="1" customWidth="1"/>
    <col min="16" max="16" width="11.83203125" bestFit="1" customWidth="1"/>
    <col min="17" max="17" width="13.1640625" bestFit="1" customWidth="1"/>
    <col min="18" max="18" width="14.6640625" bestFit="1" customWidth="1"/>
  </cols>
  <sheetData>
    <row r="2" spans="2:18" x14ac:dyDescent="0.2">
      <c r="C2" t="s">
        <v>159</v>
      </c>
      <c r="D2" t="s">
        <v>380</v>
      </c>
      <c r="E2" t="s">
        <v>159</v>
      </c>
      <c r="F2" t="s">
        <v>154</v>
      </c>
      <c r="G2" t="s">
        <v>159</v>
      </c>
      <c r="H2" t="s">
        <v>154</v>
      </c>
      <c r="I2" t="s">
        <v>159</v>
      </c>
      <c r="J2" t="s">
        <v>154</v>
      </c>
      <c r="K2" t="s">
        <v>159</v>
      </c>
      <c r="L2" t="s">
        <v>154</v>
      </c>
      <c r="M2" t="s">
        <v>159</v>
      </c>
      <c r="N2" t="s">
        <v>154</v>
      </c>
    </row>
    <row r="3" spans="2:18" x14ac:dyDescent="0.2">
      <c r="B3" s="31" t="s">
        <v>153</v>
      </c>
      <c r="C3" s="46" t="s">
        <v>147</v>
      </c>
      <c r="D3" s="46" t="s">
        <v>147</v>
      </c>
      <c r="E3" s="46" t="s">
        <v>148</v>
      </c>
      <c r="F3" s="46" t="s">
        <v>148</v>
      </c>
      <c r="G3" s="46" t="s">
        <v>149</v>
      </c>
      <c r="H3" s="46" t="s">
        <v>149</v>
      </c>
      <c r="I3" s="46" t="s">
        <v>150</v>
      </c>
      <c r="J3" s="46" t="s">
        <v>150</v>
      </c>
      <c r="K3" s="46" t="s">
        <v>151</v>
      </c>
      <c r="L3" s="46" t="s">
        <v>151</v>
      </c>
      <c r="M3" s="46" t="s">
        <v>152</v>
      </c>
      <c r="N3" s="46" t="s">
        <v>152</v>
      </c>
    </row>
    <row r="4" spans="2:18" x14ac:dyDescent="0.2">
      <c r="B4" s="59" t="s">
        <v>0</v>
      </c>
      <c r="C4" s="67">
        <v>46.666666666666664</v>
      </c>
      <c r="D4" s="67">
        <v>7.1062666666666674</v>
      </c>
      <c r="E4" s="67">
        <v>96.666666666666671</v>
      </c>
      <c r="F4" s="67">
        <v>18.063473333333334</v>
      </c>
      <c r="G4" s="67">
        <v>42.333333333333336</v>
      </c>
      <c r="H4" s="67">
        <v>5.5884976666666661</v>
      </c>
      <c r="I4" s="67">
        <v>42</v>
      </c>
      <c r="J4" s="67">
        <v>2.5779436666666666</v>
      </c>
      <c r="K4" s="67">
        <v>105</v>
      </c>
      <c r="L4" s="67">
        <v>4.6148666666666669</v>
      </c>
      <c r="M4" s="67">
        <v>71</v>
      </c>
      <c r="N4" s="67">
        <v>4.7359733333333338</v>
      </c>
    </row>
    <row r="5" spans="2:18" x14ac:dyDescent="0.2">
      <c r="B5" s="59" t="s">
        <v>1</v>
      </c>
      <c r="C5" s="67">
        <v>23.333333333333332</v>
      </c>
      <c r="D5" s="67">
        <v>0.84283166666666653</v>
      </c>
      <c r="E5" s="67">
        <v>17</v>
      </c>
      <c r="F5" s="67">
        <v>0.45673999999999992</v>
      </c>
      <c r="G5" s="67">
        <v>14.333333333333334</v>
      </c>
      <c r="H5" s="67">
        <v>0.50341999999999998</v>
      </c>
      <c r="I5" s="67">
        <v>7.333333333333333</v>
      </c>
      <c r="J5" s="67">
        <v>0.18605333333333332</v>
      </c>
      <c r="K5" s="67">
        <v>18.333333333333332</v>
      </c>
      <c r="L5" s="67">
        <v>0.66714333333333331</v>
      </c>
      <c r="M5" s="67">
        <v>8.3333333333333339</v>
      </c>
      <c r="N5" s="67">
        <v>0.1206</v>
      </c>
    </row>
    <row r="6" spans="2:18" x14ac:dyDescent="0.2">
      <c r="B6" s="59" t="s">
        <v>2</v>
      </c>
      <c r="C6" s="67">
        <v>2.6666666666666665</v>
      </c>
      <c r="D6" s="67">
        <v>0.57941333333333334</v>
      </c>
      <c r="E6" s="67">
        <v>1.6666666666666667</v>
      </c>
      <c r="F6" s="67">
        <v>0.95430999999999999</v>
      </c>
      <c r="G6" s="67">
        <v>4</v>
      </c>
      <c r="H6" s="67">
        <v>3.6780133333333329</v>
      </c>
      <c r="I6" s="67">
        <v>6</v>
      </c>
      <c r="J6" s="67">
        <v>3.4775533333333333</v>
      </c>
      <c r="K6" s="67">
        <v>8.3333333333333339</v>
      </c>
      <c r="L6" s="67">
        <v>1.9436000000000002</v>
      </c>
      <c r="M6" s="67">
        <v>23.333333333333332</v>
      </c>
      <c r="N6" s="67">
        <v>1.3862366666666668</v>
      </c>
    </row>
    <row r="7" spans="2:18" x14ac:dyDescent="0.2">
      <c r="B7" s="59" t="s">
        <v>3</v>
      </c>
      <c r="C7" s="67">
        <v>11</v>
      </c>
      <c r="D7" s="67">
        <v>2.103178666666667</v>
      </c>
      <c r="E7" s="67">
        <v>7</v>
      </c>
      <c r="F7" s="67">
        <v>3.9914366666666665</v>
      </c>
      <c r="G7" s="67">
        <v>9</v>
      </c>
      <c r="H7" s="67">
        <v>1.6052166666666665</v>
      </c>
      <c r="I7" s="67">
        <v>3</v>
      </c>
      <c r="J7" s="67">
        <v>0.47078999999999999</v>
      </c>
      <c r="K7" s="67">
        <v>10.666666666666666</v>
      </c>
      <c r="L7" s="67">
        <v>2.749003333333333</v>
      </c>
      <c r="M7" s="67">
        <v>21.333333333333332</v>
      </c>
      <c r="N7" s="67">
        <v>0.91641666666666666</v>
      </c>
    </row>
    <row r="8" spans="2:18" x14ac:dyDescent="0.2">
      <c r="B8" s="59" t="s">
        <v>4</v>
      </c>
      <c r="C8" s="67">
        <v>4.333333333333333</v>
      </c>
      <c r="D8" s="67">
        <v>12.196059999999997</v>
      </c>
      <c r="E8" s="67">
        <v>66</v>
      </c>
      <c r="F8" s="67">
        <v>11.796106666666667</v>
      </c>
      <c r="G8" s="68">
        <v>0</v>
      </c>
      <c r="H8" s="68">
        <v>0</v>
      </c>
      <c r="I8" s="68">
        <v>0</v>
      </c>
      <c r="J8" s="68">
        <v>0</v>
      </c>
      <c r="K8" s="67">
        <v>2.6666666666666665</v>
      </c>
      <c r="L8" s="67">
        <v>6.9796100000000001</v>
      </c>
      <c r="M8" s="67">
        <v>2</v>
      </c>
      <c r="N8" s="67">
        <v>1.2429533333333334</v>
      </c>
    </row>
    <row r="12" spans="2:18" x14ac:dyDescent="0.2">
      <c r="C12" t="s">
        <v>156</v>
      </c>
      <c r="D12" t="s">
        <v>157</v>
      </c>
      <c r="E12" t="s">
        <v>156</v>
      </c>
      <c r="F12" t="s">
        <v>157</v>
      </c>
      <c r="G12" t="s">
        <v>156</v>
      </c>
      <c r="H12" t="s">
        <v>157</v>
      </c>
      <c r="I12" t="s">
        <v>156</v>
      </c>
      <c r="J12" t="s">
        <v>157</v>
      </c>
      <c r="K12" t="s">
        <v>156</v>
      </c>
      <c r="L12" t="s">
        <v>157</v>
      </c>
      <c r="M12" t="s">
        <v>156</v>
      </c>
      <c r="N12" t="s">
        <v>157</v>
      </c>
      <c r="Q12" s="61" t="s">
        <v>155</v>
      </c>
      <c r="R12" s="69"/>
    </row>
    <row r="13" spans="2:18" x14ac:dyDescent="0.2">
      <c r="C13" s="46" t="s">
        <v>147</v>
      </c>
      <c r="D13" s="46" t="s">
        <v>147</v>
      </c>
      <c r="E13" s="46" t="s">
        <v>148</v>
      </c>
      <c r="F13" s="46" t="s">
        <v>148</v>
      </c>
      <c r="G13" s="46" t="s">
        <v>149</v>
      </c>
      <c r="H13" s="46" t="s">
        <v>149</v>
      </c>
      <c r="I13" s="46" t="s">
        <v>150</v>
      </c>
      <c r="J13" s="46" t="s">
        <v>150</v>
      </c>
      <c r="K13" s="46" t="s">
        <v>151</v>
      </c>
      <c r="L13" s="46" t="s">
        <v>151</v>
      </c>
      <c r="M13" s="46" t="s">
        <v>152</v>
      </c>
      <c r="N13" s="46" t="s">
        <v>152</v>
      </c>
      <c r="Q13" s="69" t="s">
        <v>156</v>
      </c>
      <c r="R13" s="69" t="s">
        <v>157</v>
      </c>
    </row>
    <row r="14" spans="2:18" x14ac:dyDescent="0.2">
      <c r="B14" s="59" t="s">
        <v>0</v>
      </c>
      <c r="C14" s="64">
        <f>C4*40</f>
        <v>1866.6666666666665</v>
      </c>
      <c r="D14" s="64">
        <f>D4*10</f>
        <v>71.062666666666672</v>
      </c>
      <c r="E14" s="64">
        <f t="shared" ref="E14" si="0">E4*40</f>
        <v>3866.666666666667</v>
      </c>
      <c r="F14" s="64">
        <f>F4*10</f>
        <v>180.63473333333334</v>
      </c>
      <c r="G14" s="64">
        <f t="shared" ref="G14" si="1">G4*40</f>
        <v>1693.3333333333335</v>
      </c>
      <c r="H14" s="64">
        <f>H4*10</f>
        <v>55.88497666666666</v>
      </c>
      <c r="I14" s="64">
        <f t="shared" ref="I14" si="2">I4*40</f>
        <v>1680</v>
      </c>
      <c r="J14" s="64">
        <f>J4*10</f>
        <v>25.779436666666665</v>
      </c>
      <c r="K14" s="64">
        <f t="shared" ref="K14" si="3">K4*40</f>
        <v>4200</v>
      </c>
      <c r="L14" s="64">
        <f>L4*10</f>
        <v>46.148666666666671</v>
      </c>
      <c r="M14" s="64">
        <f t="shared" ref="M14" si="4">M4*40</f>
        <v>2840</v>
      </c>
      <c r="N14" s="64">
        <f>N4*10</f>
        <v>47.359733333333338</v>
      </c>
      <c r="P14" s="70" t="s">
        <v>0</v>
      </c>
      <c r="Q14" s="65">
        <f t="shared" ref="Q14:R18" si="5">AVERAGE(C14,E14,G14,I14,K14,M14)</f>
        <v>2691.1111111111113</v>
      </c>
      <c r="R14" s="65">
        <f t="shared" si="5"/>
        <v>71.145035555555552</v>
      </c>
    </row>
    <row r="15" spans="2:18" x14ac:dyDescent="0.2">
      <c r="B15" s="59" t="s">
        <v>1</v>
      </c>
      <c r="C15" s="64">
        <f t="shared" ref="C15:M18" si="6">C5*40</f>
        <v>933.33333333333326</v>
      </c>
      <c r="D15" s="64">
        <f t="shared" ref="D15:F18" si="7">D5*10</f>
        <v>8.4283166666666656</v>
      </c>
      <c r="E15" s="64">
        <f t="shared" si="6"/>
        <v>680</v>
      </c>
      <c r="F15" s="64">
        <f t="shared" si="7"/>
        <v>4.5673999999999992</v>
      </c>
      <c r="G15" s="64">
        <f t="shared" si="6"/>
        <v>573.33333333333337</v>
      </c>
      <c r="H15" s="64">
        <f t="shared" ref="H15" si="8">H5*10</f>
        <v>5.0342000000000002</v>
      </c>
      <c r="I15" s="64">
        <f t="shared" si="6"/>
        <v>293.33333333333331</v>
      </c>
      <c r="J15" s="64">
        <f t="shared" ref="J15" si="9">J5*10</f>
        <v>1.8605333333333332</v>
      </c>
      <c r="K15" s="64">
        <f t="shared" si="6"/>
        <v>733.33333333333326</v>
      </c>
      <c r="L15" s="64">
        <f t="shared" ref="L15" si="10">L5*10</f>
        <v>6.6714333333333329</v>
      </c>
      <c r="M15" s="64">
        <f t="shared" si="6"/>
        <v>333.33333333333337</v>
      </c>
      <c r="N15" s="64">
        <f t="shared" ref="N15" si="11">N5*10</f>
        <v>1.206</v>
      </c>
      <c r="P15" s="70" t="s">
        <v>1</v>
      </c>
      <c r="Q15" s="65">
        <f t="shared" si="5"/>
        <v>591.11111111111109</v>
      </c>
      <c r="R15" s="65">
        <f t="shared" si="5"/>
        <v>4.6279805555555553</v>
      </c>
    </row>
    <row r="16" spans="2:18" x14ac:dyDescent="0.2">
      <c r="B16" s="59" t="s">
        <v>2</v>
      </c>
      <c r="C16" s="64">
        <f t="shared" si="6"/>
        <v>106.66666666666666</v>
      </c>
      <c r="D16" s="64">
        <f t="shared" si="7"/>
        <v>5.7941333333333329</v>
      </c>
      <c r="E16" s="64">
        <f t="shared" si="6"/>
        <v>66.666666666666671</v>
      </c>
      <c r="F16" s="64">
        <f t="shared" si="7"/>
        <v>9.543099999999999</v>
      </c>
      <c r="G16" s="64">
        <f t="shared" si="6"/>
        <v>160</v>
      </c>
      <c r="H16" s="64">
        <f t="shared" ref="H16" si="12">H6*10</f>
        <v>36.780133333333332</v>
      </c>
      <c r="I16" s="64">
        <f t="shared" si="6"/>
        <v>240</v>
      </c>
      <c r="J16" s="64">
        <f t="shared" ref="J16" si="13">J6*10</f>
        <v>34.775533333333335</v>
      </c>
      <c r="K16" s="64">
        <f t="shared" si="6"/>
        <v>333.33333333333337</v>
      </c>
      <c r="L16" s="64">
        <f t="shared" ref="L16" si="14">L6*10</f>
        <v>19.436000000000003</v>
      </c>
      <c r="M16" s="64">
        <f t="shared" si="6"/>
        <v>933.33333333333326</v>
      </c>
      <c r="N16" s="64">
        <f t="shared" ref="N16" si="15">N6*10</f>
        <v>13.862366666666668</v>
      </c>
      <c r="P16" s="70" t="s">
        <v>2</v>
      </c>
      <c r="Q16" s="65">
        <f t="shared" si="5"/>
        <v>306.66666666666669</v>
      </c>
      <c r="R16" s="65">
        <f t="shared" si="5"/>
        <v>20.03187777777778</v>
      </c>
    </row>
    <row r="17" spans="2:18" x14ac:dyDescent="0.2">
      <c r="B17" s="59" t="s">
        <v>3</v>
      </c>
      <c r="C17" s="64">
        <f t="shared" si="6"/>
        <v>440</v>
      </c>
      <c r="D17" s="64">
        <f t="shared" si="7"/>
        <v>21.031786666666669</v>
      </c>
      <c r="E17" s="64">
        <f t="shared" si="6"/>
        <v>280</v>
      </c>
      <c r="F17" s="64">
        <f t="shared" si="7"/>
        <v>39.914366666666666</v>
      </c>
      <c r="G17" s="64">
        <f t="shared" si="6"/>
        <v>360</v>
      </c>
      <c r="H17" s="64">
        <f t="shared" ref="H17" si="16">H7*10</f>
        <v>16.052166666666665</v>
      </c>
      <c r="I17" s="64">
        <f t="shared" si="6"/>
        <v>120</v>
      </c>
      <c r="J17" s="64">
        <f t="shared" ref="J17" si="17">J7*10</f>
        <v>4.7078999999999995</v>
      </c>
      <c r="K17" s="64">
        <f t="shared" si="6"/>
        <v>426.66666666666663</v>
      </c>
      <c r="L17" s="64">
        <f t="shared" ref="L17" si="18">L7*10</f>
        <v>27.490033333333329</v>
      </c>
      <c r="M17" s="64">
        <f t="shared" si="6"/>
        <v>853.33333333333326</v>
      </c>
      <c r="N17" s="64">
        <f t="shared" ref="N17" si="19">N7*10</f>
        <v>9.1641666666666666</v>
      </c>
      <c r="P17" s="70" t="s">
        <v>3</v>
      </c>
      <c r="Q17" s="65">
        <f t="shared" si="5"/>
        <v>413.33333333333331</v>
      </c>
      <c r="R17" s="65">
        <f t="shared" si="5"/>
        <v>19.726736666666667</v>
      </c>
    </row>
    <row r="18" spans="2:18" x14ac:dyDescent="0.2">
      <c r="B18" s="59" t="s">
        <v>4</v>
      </c>
      <c r="C18" s="64">
        <f t="shared" si="6"/>
        <v>173.33333333333331</v>
      </c>
      <c r="D18" s="64">
        <f t="shared" si="7"/>
        <v>121.96059999999997</v>
      </c>
      <c r="E18" s="64">
        <f t="shared" si="6"/>
        <v>2640</v>
      </c>
      <c r="F18" s="64">
        <f t="shared" si="7"/>
        <v>117.96106666666667</v>
      </c>
      <c r="G18" s="64">
        <f t="shared" si="6"/>
        <v>0</v>
      </c>
      <c r="H18" s="64">
        <f t="shared" ref="H18" si="20">H8*10</f>
        <v>0</v>
      </c>
      <c r="I18" s="64">
        <f t="shared" si="6"/>
        <v>0</v>
      </c>
      <c r="J18" s="64">
        <f t="shared" ref="J18" si="21">J8*10</f>
        <v>0</v>
      </c>
      <c r="K18" s="64">
        <f t="shared" si="6"/>
        <v>106.66666666666666</v>
      </c>
      <c r="L18" s="64">
        <f t="shared" ref="L18" si="22">L8*10</f>
        <v>69.796099999999996</v>
      </c>
      <c r="M18" s="64">
        <f t="shared" si="6"/>
        <v>80</v>
      </c>
      <c r="N18" s="64">
        <f t="shared" ref="N18" si="23">N8*10</f>
        <v>12.429533333333334</v>
      </c>
      <c r="P18" s="70" t="s">
        <v>4</v>
      </c>
      <c r="Q18" s="65">
        <f t="shared" si="5"/>
        <v>500</v>
      </c>
      <c r="R18" s="65">
        <f t="shared" si="5"/>
        <v>53.691216666666662</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workbookViewId="0">
      <selection activeCell="D5" sqref="D5"/>
    </sheetView>
  </sheetViews>
  <sheetFormatPr baseColWidth="10" defaultRowHeight="16" x14ac:dyDescent="0.2"/>
  <cols>
    <col min="1" max="1" width="14.33203125" bestFit="1" customWidth="1"/>
  </cols>
  <sheetData>
    <row r="1" spans="1:52" x14ac:dyDescent="0.2">
      <c r="A1" s="5">
        <v>0</v>
      </c>
      <c r="B1" s="6">
        <v>0</v>
      </c>
      <c r="C1" s="7">
        <v>0</v>
      </c>
      <c r="D1" s="8" t="s">
        <v>27</v>
      </c>
      <c r="E1" s="9" t="s">
        <v>28</v>
      </c>
      <c r="F1" s="8" t="s">
        <v>27</v>
      </c>
      <c r="G1" s="9" t="s">
        <v>29</v>
      </c>
      <c r="H1" s="8" t="s">
        <v>27</v>
      </c>
      <c r="I1" s="9" t="s">
        <v>29</v>
      </c>
      <c r="J1" s="7"/>
      <c r="K1" s="7"/>
      <c r="L1" s="10" t="s">
        <v>27</v>
      </c>
      <c r="M1" s="11" t="s">
        <v>29</v>
      </c>
      <c r="N1" s="10" t="s">
        <v>27</v>
      </c>
      <c r="O1" s="11" t="s">
        <v>29</v>
      </c>
      <c r="P1" s="10" t="s">
        <v>27</v>
      </c>
      <c r="Q1" s="11" t="s">
        <v>29</v>
      </c>
      <c r="R1" s="47"/>
      <c r="S1" s="47"/>
      <c r="T1" s="10" t="s">
        <v>27</v>
      </c>
      <c r="U1" s="11" t="s">
        <v>29</v>
      </c>
      <c r="V1" s="10" t="s">
        <v>27</v>
      </c>
      <c r="W1" s="11" t="s">
        <v>29</v>
      </c>
      <c r="X1" s="10" t="s">
        <v>27</v>
      </c>
      <c r="Y1" s="11" t="s">
        <v>29</v>
      </c>
      <c r="Z1" s="47"/>
      <c r="AA1" s="47"/>
      <c r="AB1" s="12" t="s">
        <v>27</v>
      </c>
      <c r="AC1" s="13" t="s">
        <v>29</v>
      </c>
      <c r="AD1" s="12" t="s">
        <v>27</v>
      </c>
      <c r="AE1" s="13" t="s">
        <v>29</v>
      </c>
      <c r="AF1" s="12" t="s">
        <v>27</v>
      </c>
      <c r="AG1" s="13" t="s">
        <v>29</v>
      </c>
      <c r="AH1" s="52"/>
      <c r="AI1" s="52"/>
      <c r="AJ1" s="12" t="s">
        <v>27</v>
      </c>
      <c r="AK1" s="13" t="s">
        <v>29</v>
      </c>
      <c r="AL1" s="12" t="s">
        <v>27</v>
      </c>
      <c r="AM1" s="13" t="s">
        <v>29</v>
      </c>
      <c r="AN1" s="12" t="s">
        <v>27</v>
      </c>
      <c r="AO1" s="13" t="s">
        <v>29</v>
      </c>
      <c r="AP1" s="52"/>
      <c r="AQ1" s="52"/>
      <c r="AR1" s="10" t="s">
        <v>27</v>
      </c>
      <c r="AS1" s="11" t="s">
        <v>29</v>
      </c>
      <c r="AT1" s="10" t="s">
        <v>27</v>
      </c>
      <c r="AU1" s="11" t="s">
        <v>29</v>
      </c>
      <c r="AV1" s="10" t="s">
        <v>27</v>
      </c>
      <c r="AW1" s="11" t="s">
        <v>29</v>
      </c>
    </row>
    <row r="2" spans="1:52" x14ac:dyDescent="0.2">
      <c r="A2" s="31" t="s">
        <v>124</v>
      </c>
      <c r="B2" s="32" t="s">
        <v>125</v>
      </c>
      <c r="C2" s="32" t="s">
        <v>126</v>
      </c>
      <c r="D2" s="33" t="s">
        <v>127</v>
      </c>
      <c r="E2" s="33" t="s">
        <v>127</v>
      </c>
      <c r="F2" s="33" t="s">
        <v>128</v>
      </c>
      <c r="G2" s="34"/>
      <c r="H2" s="33" t="s">
        <v>129</v>
      </c>
      <c r="I2" s="34"/>
      <c r="J2" s="46" t="s">
        <v>147</v>
      </c>
      <c r="K2" s="46" t="s">
        <v>147</v>
      </c>
      <c r="L2" s="35" t="s">
        <v>130</v>
      </c>
      <c r="M2" s="36"/>
      <c r="N2" s="35" t="s">
        <v>131</v>
      </c>
      <c r="O2" s="36"/>
      <c r="P2" s="35" t="s">
        <v>132</v>
      </c>
      <c r="Q2" s="36"/>
      <c r="R2" s="48"/>
      <c r="S2" s="48"/>
      <c r="T2" s="37" t="s">
        <v>133</v>
      </c>
      <c r="U2" s="38"/>
      <c r="V2" s="37" t="s">
        <v>134</v>
      </c>
      <c r="W2" s="38"/>
      <c r="X2" s="37" t="s">
        <v>135</v>
      </c>
      <c r="Y2" s="38"/>
      <c r="Z2" s="51"/>
      <c r="AA2" s="51"/>
      <c r="AB2" s="39" t="s">
        <v>136</v>
      </c>
      <c r="AC2" s="40"/>
      <c r="AD2" s="39" t="s">
        <v>137</v>
      </c>
      <c r="AE2" s="40"/>
      <c r="AF2" s="39" t="s">
        <v>138</v>
      </c>
      <c r="AG2" s="40"/>
      <c r="AH2" s="53"/>
      <c r="AI2" s="53"/>
      <c r="AJ2" s="41" t="s">
        <v>139</v>
      </c>
      <c r="AK2" s="42"/>
      <c r="AL2" s="41" t="s">
        <v>140</v>
      </c>
      <c r="AM2" s="42"/>
      <c r="AN2" s="41" t="s">
        <v>141</v>
      </c>
      <c r="AO2" s="42"/>
      <c r="AP2" s="54"/>
      <c r="AQ2" s="54"/>
      <c r="AR2" s="43" t="s">
        <v>142</v>
      </c>
      <c r="AS2" s="44"/>
      <c r="AT2" s="43" t="s">
        <v>143</v>
      </c>
      <c r="AU2" s="43" t="s">
        <v>143</v>
      </c>
      <c r="AV2" s="43" t="s">
        <v>144</v>
      </c>
      <c r="AW2" s="44"/>
      <c r="AX2" s="45"/>
      <c r="AY2" s="45" t="s">
        <v>145</v>
      </c>
      <c r="AZ2" s="45" t="s">
        <v>146</v>
      </c>
    </row>
    <row r="3" spans="1:52" x14ac:dyDescent="0.2">
      <c r="A3" t="s">
        <v>0</v>
      </c>
      <c r="B3" s="14" t="s">
        <v>30</v>
      </c>
      <c r="C3" s="15" t="s">
        <v>31</v>
      </c>
      <c r="D3" s="16">
        <v>0</v>
      </c>
      <c r="E3" s="17">
        <v>0</v>
      </c>
      <c r="F3" s="18">
        <v>0</v>
      </c>
      <c r="G3" s="19">
        <v>0</v>
      </c>
      <c r="H3" s="18">
        <v>5</v>
      </c>
      <c r="I3" s="19">
        <v>9.0383600000000008</v>
      </c>
      <c r="J3" s="15"/>
      <c r="K3" s="15"/>
      <c r="L3" s="16">
        <v>0</v>
      </c>
      <c r="M3" s="17">
        <v>0</v>
      </c>
      <c r="N3" s="16">
        <v>0</v>
      </c>
      <c r="O3" s="17">
        <v>0</v>
      </c>
      <c r="P3" s="16">
        <v>0</v>
      </c>
      <c r="Q3" s="17">
        <v>0</v>
      </c>
      <c r="R3" s="49"/>
      <c r="S3" s="49"/>
      <c r="T3" s="16">
        <v>0</v>
      </c>
      <c r="U3" s="17">
        <v>0</v>
      </c>
      <c r="V3" s="16">
        <v>0</v>
      </c>
      <c r="W3" s="17">
        <v>0</v>
      </c>
      <c r="X3" s="16">
        <v>0</v>
      </c>
      <c r="Y3" s="17">
        <v>0</v>
      </c>
      <c r="Z3" s="49"/>
      <c r="AA3" s="49"/>
      <c r="AB3" s="16">
        <v>0</v>
      </c>
      <c r="AC3" s="17">
        <v>0</v>
      </c>
      <c r="AD3" s="16">
        <v>0</v>
      </c>
      <c r="AE3" s="17">
        <v>0</v>
      </c>
      <c r="AF3" s="16">
        <v>0</v>
      </c>
      <c r="AG3" s="17">
        <v>0</v>
      </c>
      <c r="AH3" s="49"/>
      <c r="AI3" s="49"/>
      <c r="AJ3" s="16">
        <v>0</v>
      </c>
      <c r="AK3" s="17">
        <v>0</v>
      </c>
      <c r="AL3" s="16">
        <v>0</v>
      </c>
      <c r="AM3" s="17">
        <v>0</v>
      </c>
      <c r="AN3" s="16">
        <v>0</v>
      </c>
      <c r="AO3" s="17">
        <v>0</v>
      </c>
      <c r="AP3" s="49"/>
      <c r="AQ3" s="49"/>
      <c r="AR3" s="16">
        <v>0</v>
      </c>
      <c r="AS3" s="17">
        <v>0</v>
      </c>
      <c r="AT3" s="16">
        <v>0</v>
      </c>
      <c r="AU3" s="17">
        <v>0</v>
      </c>
      <c r="AV3" s="16">
        <v>0</v>
      </c>
      <c r="AW3" s="17">
        <v>0</v>
      </c>
    </row>
    <row r="4" spans="1:52" x14ac:dyDescent="0.2">
      <c r="A4" t="s">
        <v>0</v>
      </c>
      <c r="B4" s="14" t="s">
        <v>32</v>
      </c>
      <c r="C4" s="15" t="s">
        <v>31</v>
      </c>
      <c r="D4" s="16">
        <v>0</v>
      </c>
      <c r="E4" s="17">
        <v>0</v>
      </c>
      <c r="F4" s="18">
        <v>0</v>
      </c>
      <c r="G4" s="19">
        <v>0</v>
      </c>
      <c r="H4" s="18">
        <v>0</v>
      </c>
      <c r="I4" s="19">
        <v>0</v>
      </c>
      <c r="J4" s="15"/>
      <c r="K4" s="15"/>
      <c r="L4" s="16">
        <v>5</v>
      </c>
      <c r="M4" s="17">
        <v>8.3769799999999996</v>
      </c>
      <c r="N4" s="16">
        <v>0</v>
      </c>
      <c r="O4" s="17">
        <v>0</v>
      </c>
      <c r="P4" s="16">
        <v>0</v>
      </c>
      <c r="Q4" s="17">
        <v>0</v>
      </c>
      <c r="R4" s="49"/>
      <c r="S4" s="49"/>
      <c r="T4" s="16">
        <v>0</v>
      </c>
      <c r="U4" s="17">
        <v>0</v>
      </c>
      <c r="V4" s="16">
        <v>2</v>
      </c>
      <c r="W4" s="17">
        <v>4.6973500000000001</v>
      </c>
      <c r="X4" s="16">
        <v>0</v>
      </c>
      <c r="Y4" s="17">
        <v>0</v>
      </c>
      <c r="Z4" s="49"/>
      <c r="AA4" s="49"/>
      <c r="AB4" s="16">
        <v>0</v>
      </c>
      <c r="AC4" s="17">
        <v>0</v>
      </c>
      <c r="AD4" s="16">
        <v>0</v>
      </c>
      <c r="AE4" s="17">
        <v>0</v>
      </c>
      <c r="AF4" s="16">
        <v>0</v>
      </c>
      <c r="AG4" s="17">
        <v>0</v>
      </c>
      <c r="AH4" s="49"/>
      <c r="AI4" s="49"/>
      <c r="AJ4" s="16">
        <v>0</v>
      </c>
      <c r="AK4" s="17">
        <v>0</v>
      </c>
      <c r="AL4" s="16">
        <v>0</v>
      </c>
      <c r="AM4" s="17">
        <v>0</v>
      </c>
      <c r="AN4" s="16">
        <v>0</v>
      </c>
      <c r="AO4" s="17">
        <v>0</v>
      </c>
      <c r="AP4" s="49"/>
      <c r="AQ4" s="49"/>
      <c r="AR4" s="16">
        <v>0</v>
      </c>
      <c r="AS4" s="17">
        <v>0</v>
      </c>
      <c r="AT4" s="16">
        <v>0</v>
      </c>
      <c r="AU4" s="17">
        <v>0</v>
      </c>
      <c r="AV4" s="16">
        <v>0</v>
      </c>
      <c r="AW4" s="17">
        <v>0</v>
      </c>
    </row>
    <row r="5" spans="1:52" x14ac:dyDescent="0.2">
      <c r="A5" t="s">
        <v>0</v>
      </c>
      <c r="B5" s="14" t="s">
        <v>33</v>
      </c>
      <c r="C5" s="15" t="s">
        <v>31</v>
      </c>
      <c r="D5" s="16">
        <v>10</v>
      </c>
      <c r="E5" s="17">
        <v>0.69818999999999998</v>
      </c>
      <c r="F5" s="18">
        <v>13</v>
      </c>
      <c r="G5" s="19">
        <v>0.95499000000000001</v>
      </c>
      <c r="H5" s="18">
        <v>6</v>
      </c>
      <c r="I5" s="19">
        <v>0.27829999999999999</v>
      </c>
      <c r="J5" s="15"/>
      <c r="K5" s="15"/>
      <c r="L5" s="16">
        <v>14</v>
      </c>
      <c r="M5" s="17">
        <v>1.0284599999999999</v>
      </c>
      <c r="N5" s="16">
        <v>11</v>
      </c>
      <c r="O5" s="17">
        <v>1.6363400000000001</v>
      </c>
      <c r="P5" s="16">
        <v>20</v>
      </c>
      <c r="Q5" s="17">
        <v>2.4879100000000003</v>
      </c>
      <c r="R5" s="49"/>
      <c r="S5" s="49"/>
      <c r="T5" s="16">
        <v>9</v>
      </c>
      <c r="U5" s="17">
        <v>0.97108000000000005</v>
      </c>
      <c r="V5" s="16">
        <v>12</v>
      </c>
      <c r="W5" s="17">
        <v>0.55659000000000003</v>
      </c>
      <c r="X5" s="16">
        <v>6</v>
      </c>
      <c r="Y5" s="17">
        <v>0.44153999999999999</v>
      </c>
      <c r="Z5" s="49"/>
      <c r="AA5" s="49"/>
      <c r="AB5" s="16">
        <v>5</v>
      </c>
      <c r="AC5" s="17">
        <v>0.15964</v>
      </c>
      <c r="AD5" s="16">
        <v>3</v>
      </c>
      <c r="AE5" s="17">
        <v>0.13915</v>
      </c>
      <c r="AF5" s="16">
        <v>7</v>
      </c>
      <c r="AG5" s="17">
        <v>0.29006999999999999</v>
      </c>
      <c r="AH5" s="49"/>
      <c r="AI5" s="49"/>
      <c r="AJ5" s="16">
        <v>16</v>
      </c>
      <c r="AK5" s="17">
        <v>0.82677</v>
      </c>
      <c r="AL5" s="16">
        <v>18</v>
      </c>
      <c r="AM5" s="17">
        <v>1.6244700000000001</v>
      </c>
      <c r="AN5" s="16">
        <v>16</v>
      </c>
      <c r="AO5" s="17">
        <v>0.48882000000000003</v>
      </c>
      <c r="AP5" s="49"/>
      <c r="AQ5" s="49"/>
      <c r="AR5" s="16">
        <v>12</v>
      </c>
      <c r="AS5" s="17">
        <v>0.61612</v>
      </c>
      <c r="AT5" s="16">
        <v>6</v>
      </c>
      <c r="AU5" s="17">
        <v>0.27829999999999999</v>
      </c>
      <c r="AV5" s="16">
        <v>10</v>
      </c>
      <c r="AW5" s="17">
        <v>0.44696999999999998</v>
      </c>
    </row>
    <row r="6" spans="1:52" x14ac:dyDescent="0.2">
      <c r="A6" t="s">
        <v>0</v>
      </c>
      <c r="B6" s="14" t="s">
        <v>34</v>
      </c>
      <c r="C6" s="15" t="s">
        <v>31</v>
      </c>
      <c r="D6" s="16">
        <v>1</v>
      </c>
      <c r="E6" s="17">
        <v>0.21288000000000001</v>
      </c>
      <c r="F6" s="18">
        <v>2</v>
      </c>
      <c r="G6" s="19">
        <v>0.73343000000000003</v>
      </c>
      <c r="H6" s="18">
        <v>0</v>
      </c>
      <c r="I6" s="19">
        <v>0</v>
      </c>
      <c r="J6" s="15"/>
      <c r="K6" s="15"/>
      <c r="L6" s="16">
        <v>11</v>
      </c>
      <c r="M6" s="17">
        <v>2.3416600000000001</v>
      </c>
      <c r="N6" s="16">
        <v>10</v>
      </c>
      <c r="O6" s="17">
        <v>0.98062999999999989</v>
      </c>
      <c r="P6" s="16">
        <v>12</v>
      </c>
      <c r="Q6" s="17">
        <v>1.29156</v>
      </c>
      <c r="R6" s="49"/>
      <c r="S6" s="49"/>
      <c r="T6" s="16">
        <v>0</v>
      </c>
      <c r="U6" s="17">
        <v>0</v>
      </c>
      <c r="V6" s="16">
        <v>0</v>
      </c>
      <c r="W6" s="17">
        <v>0</v>
      </c>
      <c r="X6" s="16">
        <v>0</v>
      </c>
      <c r="Y6" s="17">
        <v>0</v>
      </c>
      <c r="Z6" s="49"/>
      <c r="AA6" s="49"/>
      <c r="AB6" s="16">
        <v>0</v>
      </c>
      <c r="AC6" s="17">
        <v>0</v>
      </c>
      <c r="AD6" s="16">
        <v>0</v>
      </c>
      <c r="AE6" s="17">
        <v>0</v>
      </c>
      <c r="AF6" s="16">
        <v>0</v>
      </c>
      <c r="AG6" s="17">
        <v>0</v>
      </c>
      <c r="AH6" s="49"/>
      <c r="AI6" s="49"/>
      <c r="AJ6" s="16">
        <v>0</v>
      </c>
      <c r="AK6" s="17">
        <v>0</v>
      </c>
      <c r="AL6" s="16">
        <v>2</v>
      </c>
      <c r="AM6" s="17">
        <v>0.82840999999999998</v>
      </c>
      <c r="AN6" s="16">
        <v>0</v>
      </c>
      <c r="AO6" s="17">
        <v>0</v>
      </c>
      <c r="AP6" s="49"/>
      <c r="AQ6" s="49"/>
      <c r="AR6" s="16">
        <v>0</v>
      </c>
      <c r="AS6" s="17">
        <v>0</v>
      </c>
      <c r="AT6" s="16">
        <v>0</v>
      </c>
      <c r="AU6" s="17">
        <v>0</v>
      </c>
      <c r="AV6" s="16">
        <v>0</v>
      </c>
      <c r="AW6" s="17">
        <v>0</v>
      </c>
    </row>
    <row r="7" spans="1:52" x14ac:dyDescent="0.2">
      <c r="A7" t="s">
        <v>0</v>
      </c>
      <c r="B7" s="14" t="s">
        <v>35</v>
      </c>
      <c r="C7" s="15" t="s">
        <v>36</v>
      </c>
      <c r="D7" s="16">
        <v>0</v>
      </c>
      <c r="E7" s="17">
        <v>0</v>
      </c>
      <c r="F7" s="18">
        <v>0</v>
      </c>
      <c r="G7" s="19">
        <v>0</v>
      </c>
      <c r="H7" s="18">
        <v>0</v>
      </c>
      <c r="I7" s="19">
        <v>0</v>
      </c>
      <c r="J7" s="15"/>
      <c r="K7" s="15"/>
      <c r="L7" s="16">
        <v>0</v>
      </c>
      <c r="M7" s="17">
        <v>0</v>
      </c>
      <c r="N7" s="16">
        <v>0</v>
      </c>
      <c r="O7" s="17">
        <v>0</v>
      </c>
      <c r="P7" s="16">
        <v>0</v>
      </c>
      <c r="Q7" s="17">
        <v>0</v>
      </c>
      <c r="R7" s="49"/>
      <c r="S7" s="49"/>
      <c r="T7" s="16">
        <v>1</v>
      </c>
      <c r="U7" s="17">
        <v>0.18190999999999999</v>
      </c>
      <c r="V7" s="16">
        <v>0</v>
      </c>
      <c r="W7" s="17">
        <v>0</v>
      </c>
      <c r="X7" s="16">
        <v>0</v>
      </c>
      <c r="Y7" s="17">
        <v>0</v>
      </c>
      <c r="Z7" s="49"/>
      <c r="AA7" s="49"/>
      <c r="AB7" s="16">
        <v>0</v>
      </c>
      <c r="AC7" s="17">
        <v>0</v>
      </c>
      <c r="AD7" s="16">
        <v>0</v>
      </c>
      <c r="AE7" s="17">
        <v>0</v>
      </c>
      <c r="AF7" s="16">
        <v>0</v>
      </c>
      <c r="AG7" s="17">
        <v>0</v>
      </c>
      <c r="AH7" s="49"/>
      <c r="AI7" s="49"/>
      <c r="AJ7" s="16">
        <v>0</v>
      </c>
      <c r="AK7" s="17">
        <v>0</v>
      </c>
      <c r="AL7" s="16">
        <v>0</v>
      </c>
      <c r="AM7" s="17">
        <v>0</v>
      </c>
      <c r="AN7" s="16">
        <v>0</v>
      </c>
      <c r="AO7" s="17">
        <v>0</v>
      </c>
      <c r="AP7" s="49"/>
      <c r="AQ7" s="49"/>
      <c r="AR7" s="16">
        <v>0</v>
      </c>
      <c r="AS7" s="17">
        <v>0</v>
      </c>
      <c r="AT7" s="16">
        <v>0</v>
      </c>
      <c r="AU7" s="17">
        <v>0</v>
      </c>
      <c r="AV7" s="16">
        <v>0</v>
      </c>
      <c r="AW7" s="17">
        <v>0</v>
      </c>
    </row>
    <row r="8" spans="1:52" x14ac:dyDescent="0.2">
      <c r="A8" t="s">
        <v>0</v>
      </c>
      <c r="B8" s="14" t="s">
        <v>37</v>
      </c>
      <c r="C8" s="15" t="s">
        <v>31</v>
      </c>
      <c r="D8" s="16">
        <v>7</v>
      </c>
      <c r="E8" s="17">
        <v>1.62985</v>
      </c>
      <c r="F8" s="18">
        <v>0</v>
      </c>
      <c r="G8" s="19">
        <v>0</v>
      </c>
      <c r="H8" s="18">
        <v>2</v>
      </c>
      <c r="I8" s="19">
        <v>0.90159999999999996</v>
      </c>
      <c r="J8" s="15"/>
      <c r="K8" s="15"/>
      <c r="L8" s="16">
        <v>1</v>
      </c>
      <c r="M8" s="17">
        <v>0.45079999999999998</v>
      </c>
      <c r="N8" s="16">
        <v>0</v>
      </c>
      <c r="O8" s="17">
        <v>0</v>
      </c>
      <c r="P8" s="16">
        <v>1</v>
      </c>
      <c r="Q8" s="17">
        <v>0.80320999999999998</v>
      </c>
      <c r="R8" s="49"/>
      <c r="S8" s="49"/>
      <c r="T8" s="16">
        <v>1</v>
      </c>
      <c r="U8" s="17">
        <v>0.80320999999999998</v>
      </c>
      <c r="V8" s="16">
        <v>0</v>
      </c>
      <c r="W8" s="17">
        <v>0</v>
      </c>
      <c r="X8" s="16">
        <v>0</v>
      </c>
      <c r="Y8" s="17">
        <v>0</v>
      </c>
      <c r="Z8" s="49"/>
      <c r="AA8" s="49"/>
      <c r="AB8" s="16">
        <v>1</v>
      </c>
      <c r="AC8" s="17">
        <v>0.45079999999999998</v>
      </c>
      <c r="AD8" s="16">
        <v>1</v>
      </c>
      <c r="AE8" s="17">
        <v>0.45079999999999998</v>
      </c>
      <c r="AF8" s="16">
        <v>2</v>
      </c>
      <c r="AG8" s="17">
        <v>0.44463000000000003</v>
      </c>
      <c r="AH8" s="49"/>
      <c r="AI8" s="49"/>
      <c r="AJ8" s="16">
        <v>3</v>
      </c>
      <c r="AK8" s="17">
        <v>1.12392</v>
      </c>
      <c r="AL8" s="16">
        <v>0</v>
      </c>
      <c r="AM8" s="17">
        <v>0</v>
      </c>
      <c r="AN8" s="16">
        <v>2</v>
      </c>
      <c r="AO8" s="17">
        <v>0.31167999999999996</v>
      </c>
      <c r="AP8" s="49"/>
      <c r="AQ8" s="49"/>
      <c r="AR8" s="16">
        <v>0</v>
      </c>
      <c r="AS8" s="17">
        <v>0</v>
      </c>
      <c r="AT8" s="16">
        <v>0</v>
      </c>
      <c r="AU8" s="17">
        <v>0</v>
      </c>
      <c r="AV8" s="16">
        <v>0</v>
      </c>
      <c r="AW8" s="17">
        <v>0</v>
      </c>
    </row>
    <row r="9" spans="1:52" x14ac:dyDescent="0.2">
      <c r="A9" t="s">
        <v>0</v>
      </c>
      <c r="B9" s="14" t="s">
        <v>38</v>
      </c>
      <c r="C9" s="15" t="s">
        <v>31</v>
      </c>
      <c r="D9" s="16">
        <v>0</v>
      </c>
      <c r="E9" s="17">
        <v>0</v>
      </c>
      <c r="F9" s="18">
        <v>7</v>
      </c>
      <c r="G9" s="19">
        <v>0.11816</v>
      </c>
      <c r="H9" s="18">
        <v>7</v>
      </c>
      <c r="I9" s="19">
        <v>6.5619999999999998E-2</v>
      </c>
      <c r="J9" s="15"/>
      <c r="K9" s="15"/>
      <c r="L9" s="16">
        <v>13</v>
      </c>
      <c r="M9" s="17">
        <v>0.21945000000000001</v>
      </c>
      <c r="N9" s="16">
        <v>10</v>
      </c>
      <c r="O9" s="17">
        <v>0.25163999999999997</v>
      </c>
      <c r="P9" s="16">
        <v>3</v>
      </c>
      <c r="Q9" s="17">
        <v>5.0639999999999998E-2</v>
      </c>
      <c r="R9" s="49"/>
      <c r="S9" s="49"/>
      <c r="T9" s="16">
        <v>9</v>
      </c>
      <c r="U9" s="17">
        <v>0.11688999999999999</v>
      </c>
      <c r="V9" s="16">
        <v>9</v>
      </c>
      <c r="W9" s="17">
        <v>0.15193000000000001</v>
      </c>
      <c r="X9" s="16">
        <v>27</v>
      </c>
      <c r="Y9" s="17">
        <v>0.37696000000000002</v>
      </c>
      <c r="Z9" s="49"/>
      <c r="AA9" s="49"/>
      <c r="AB9" s="16">
        <v>19</v>
      </c>
      <c r="AC9" s="17">
        <v>0.17069000000000001</v>
      </c>
      <c r="AD9" s="16">
        <v>11</v>
      </c>
      <c r="AE9" s="17">
        <v>0.18568999999999999</v>
      </c>
      <c r="AF9" s="16">
        <v>15</v>
      </c>
      <c r="AG9" s="17">
        <v>0.12447999999999999</v>
      </c>
      <c r="AH9" s="49"/>
      <c r="AI9" s="49"/>
      <c r="AJ9" s="16">
        <v>3</v>
      </c>
      <c r="AK9" s="17">
        <v>3.313E-2</v>
      </c>
      <c r="AL9" s="16">
        <v>9</v>
      </c>
      <c r="AM9" s="17">
        <v>0.15193000000000001</v>
      </c>
      <c r="AN9" s="16">
        <v>120</v>
      </c>
      <c r="AO9" s="17">
        <v>0.57800000000000007</v>
      </c>
      <c r="AP9" s="49"/>
      <c r="AQ9" s="49"/>
      <c r="AR9" s="16">
        <v>8</v>
      </c>
      <c r="AS9" s="17">
        <v>6.4979999999999996E-2</v>
      </c>
      <c r="AT9" s="16">
        <v>11</v>
      </c>
      <c r="AU9" s="17">
        <v>0.18568999999999999</v>
      </c>
      <c r="AV9" s="16">
        <v>14</v>
      </c>
      <c r="AW9" s="17">
        <v>8.8929999999999995E-2</v>
      </c>
    </row>
    <row r="10" spans="1:52" x14ac:dyDescent="0.2">
      <c r="A10" t="s">
        <v>0</v>
      </c>
      <c r="B10" s="14" t="s">
        <v>39</v>
      </c>
      <c r="C10" s="15" t="s">
        <v>31</v>
      </c>
      <c r="D10" s="16">
        <v>0</v>
      </c>
      <c r="E10" s="17">
        <v>0</v>
      </c>
      <c r="F10" s="18">
        <v>0</v>
      </c>
      <c r="G10" s="19">
        <v>0</v>
      </c>
      <c r="H10" s="18">
        <v>0</v>
      </c>
      <c r="I10" s="19">
        <v>0</v>
      </c>
      <c r="J10" s="15"/>
      <c r="K10" s="15"/>
      <c r="L10" s="16">
        <v>6</v>
      </c>
      <c r="M10" s="17">
        <v>0.44077</v>
      </c>
      <c r="N10" s="16">
        <v>8</v>
      </c>
      <c r="O10" s="17">
        <v>1.8808099999999999</v>
      </c>
      <c r="P10" s="16">
        <v>4</v>
      </c>
      <c r="Q10" s="17">
        <v>0.97533000000000003</v>
      </c>
      <c r="R10" s="49"/>
      <c r="S10" s="49"/>
      <c r="T10" s="16">
        <v>0</v>
      </c>
      <c r="U10" s="17">
        <v>0</v>
      </c>
      <c r="V10" s="16">
        <v>0</v>
      </c>
      <c r="W10" s="17">
        <v>0</v>
      </c>
      <c r="X10" s="16">
        <v>0</v>
      </c>
      <c r="Y10" s="17">
        <v>0</v>
      </c>
      <c r="Z10" s="49"/>
      <c r="AA10" s="49"/>
      <c r="AB10" s="16">
        <v>0</v>
      </c>
      <c r="AC10" s="17">
        <v>0</v>
      </c>
      <c r="AD10" s="16">
        <v>0</v>
      </c>
      <c r="AE10" s="17">
        <v>0</v>
      </c>
      <c r="AF10" s="16">
        <v>0</v>
      </c>
      <c r="AG10" s="17">
        <v>0</v>
      </c>
      <c r="AH10" s="49"/>
      <c r="AI10" s="49"/>
      <c r="AJ10" s="16">
        <v>0</v>
      </c>
      <c r="AK10" s="17">
        <v>0</v>
      </c>
      <c r="AL10" s="16">
        <v>0</v>
      </c>
      <c r="AM10" s="17">
        <v>0</v>
      </c>
      <c r="AN10" s="16">
        <v>0</v>
      </c>
      <c r="AO10" s="17">
        <v>0</v>
      </c>
      <c r="AP10" s="49"/>
      <c r="AQ10" s="49"/>
      <c r="AR10" s="16">
        <v>0</v>
      </c>
      <c r="AS10" s="17">
        <v>0</v>
      </c>
      <c r="AT10" s="16">
        <v>0</v>
      </c>
      <c r="AU10" s="17">
        <v>0</v>
      </c>
      <c r="AV10" s="16">
        <v>0</v>
      </c>
      <c r="AW10" s="17">
        <v>0</v>
      </c>
    </row>
    <row r="11" spans="1:52" x14ac:dyDescent="0.2">
      <c r="A11" t="s">
        <v>0</v>
      </c>
      <c r="B11" s="14" t="s">
        <v>40</v>
      </c>
      <c r="C11" s="15" t="s">
        <v>36</v>
      </c>
      <c r="D11" s="16">
        <v>0</v>
      </c>
      <c r="E11" s="17">
        <v>0</v>
      </c>
      <c r="F11" s="18">
        <v>0</v>
      </c>
      <c r="G11" s="19">
        <v>0</v>
      </c>
      <c r="H11" s="18">
        <v>0</v>
      </c>
      <c r="I11" s="19">
        <v>0</v>
      </c>
      <c r="J11" s="15"/>
      <c r="K11" s="15"/>
      <c r="L11" s="16">
        <v>0</v>
      </c>
      <c r="M11" s="17">
        <v>0</v>
      </c>
      <c r="N11" s="16">
        <v>0</v>
      </c>
      <c r="O11" s="17">
        <v>0</v>
      </c>
      <c r="P11" s="16">
        <v>0</v>
      </c>
      <c r="Q11" s="17">
        <v>0</v>
      </c>
      <c r="R11" s="49"/>
      <c r="S11" s="49"/>
      <c r="T11" s="16">
        <v>0</v>
      </c>
      <c r="U11" s="17">
        <v>0</v>
      </c>
      <c r="V11" s="16">
        <v>0</v>
      </c>
      <c r="W11" s="17">
        <v>0</v>
      </c>
      <c r="X11" s="16">
        <v>0</v>
      </c>
      <c r="Y11" s="17">
        <v>0</v>
      </c>
      <c r="Z11" s="49"/>
      <c r="AA11" s="49"/>
      <c r="AB11" s="16">
        <v>0</v>
      </c>
      <c r="AC11" s="17">
        <v>0</v>
      </c>
      <c r="AD11" s="16">
        <v>0</v>
      </c>
      <c r="AE11" s="17">
        <v>0</v>
      </c>
      <c r="AF11" s="16">
        <v>0</v>
      </c>
      <c r="AG11" s="17">
        <v>0</v>
      </c>
      <c r="AH11" s="49"/>
      <c r="AI11" s="49"/>
      <c r="AJ11" s="16">
        <v>0</v>
      </c>
      <c r="AK11" s="17">
        <v>0</v>
      </c>
      <c r="AL11" s="16">
        <v>0</v>
      </c>
      <c r="AM11" s="17">
        <v>0</v>
      </c>
      <c r="AN11" s="16">
        <v>0</v>
      </c>
      <c r="AO11" s="17">
        <v>0</v>
      </c>
      <c r="AP11" s="49"/>
      <c r="AQ11" s="49"/>
      <c r="AR11" s="16">
        <v>0</v>
      </c>
      <c r="AS11" s="17">
        <v>0</v>
      </c>
      <c r="AT11" s="16">
        <v>0</v>
      </c>
      <c r="AU11" s="17">
        <v>0</v>
      </c>
      <c r="AV11" s="16">
        <v>0</v>
      </c>
      <c r="AW11" s="17">
        <v>0</v>
      </c>
    </row>
    <row r="12" spans="1:52" x14ac:dyDescent="0.2">
      <c r="A12" t="s">
        <v>0</v>
      </c>
      <c r="B12" s="14" t="s">
        <v>41</v>
      </c>
      <c r="C12" s="15" t="s">
        <v>31</v>
      </c>
      <c r="D12" s="16">
        <v>0</v>
      </c>
      <c r="E12" s="17">
        <v>0</v>
      </c>
      <c r="F12" s="18">
        <v>0</v>
      </c>
      <c r="G12" s="19">
        <v>0</v>
      </c>
      <c r="H12" s="18">
        <v>0</v>
      </c>
      <c r="I12" s="19">
        <v>0</v>
      </c>
      <c r="J12" s="15"/>
      <c r="K12" s="15"/>
      <c r="L12" s="16">
        <v>0</v>
      </c>
      <c r="M12" s="17">
        <v>0</v>
      </c>
      <c r="N12" s="16">
        <v>5</v>
      </c>
      <c r="O12" s="17">
        <v>15.67501</v>
      </c>
      <c r="P12" s="16">
        <v>0</v>
      </c>
      <c r="Q12" s="17">
        <v>0</v>
      </c>
      <c r="R12" s="49"/>
      <c r="S12" s="49"/>
      <c r="T12" s="16">
        <v>0</v>
      </c>
      <c r="U12" s="17">
        <v>0</v>
      </c>
      <c r="V12" s="16">
        <v>0</v>
      </c>
      <c r="W12" s="17">
        <v>0</v>
      </c>
      <c r="X12" s="16">
        <v>0</v>
      </c>
      <c r="Y12" s="17">
        <v>0</v>
      </c>
      <c r="Z12" s="49"/>
      <c r="AA12" s="49"/>
      <c r="AB12" s="16">
        <v>0</v>
      </c>
      <c r="AC12" s="17">
        <v>0</v>
      </c>
      <c r="AD12" s="16">
        <v>0</v>
      </c>
      <c r="AE12" s="17">
        <v>0</v>
      </c>
      <c r="AF12" s="16">
        <v>0</v>
      </c>
      <c r="AG12" s="17">
        <v>0</v>
      </c>
      <c r="AH12" s="49"/>
      <c r="AI12" s="49"/>
      <c r="AJ12" s="16">
        <v>0</v>
      </c>
      <c r="AK12" s="17">
        <v>0</v>
      </c>
      <c r="AL12" s="16">
        <v>0</v>
      </c>
      <c r="AM12" s="17">
        <v>0</v>
      </c>
      <c r="AN12" s="16">
        <v>0</v>
      </c>
      <c r="AO12" s="17">
        <v>0</v>
      </c>
      <c r="AP12" s="49"/>
      <c r="AQ12" s="49"/>
      <c r="AR12" s="16">
        <v>0</v>
      </c>
      <c r="AS12" s="17">
        <v>0</v>
      </c>
      <c r="AT12" s="16">
        <v>0</v>
      </c>
      <c r="AU12" s="17">
        <v>0</v>
      </c>
      <c r="AV12" s="16">
        <v>1</v>
      </c>
      <c r="AW12" s="17">
        <v>3.1349999999999998</v>
      </c>
    </row>
    <row r="13" spans="1:52" x14ac:dyDescent="0.2">
      <c r="A13" t="s">
        <v>0</v>
      </c>
      <c r="B13" s="14" t="s">
        <v>42</v>
      </c>
      <c r="C13" s="15" t="s">
        <v>31</v>
      </c>
      <c r="D13" s="16">
        <v>0</v>
      </c>
      <c r="E13" s="17">
        <v>0</v>
      </c>
      <c r="F13" s="18">
        <v>0</v>
      </c>
      <c r="G13" s="19">
        <v>0</v>
      </c>
      <c r="H13" s="18">
        <v>0</v>
      </c>
      <c r="I13" s="19">
        <v>0</v>
      </c>
      <c r="J13" s="15"/>
      <c r="K13" s="15"/>
      <c r="L13" s="16">
        <v>0</v>
      </c>
      <c r="M13" s="17">
        <v>0</v>
      </c>
      <c r="N13" s="16">
        <v>0</v>
      </c>
      <c r="O13" s="17">
        <v>0</v>
      </c>
      <c r="P13" s="16">
        <v>0</v>
      </c>
      <c r="Q13" s="17">
        <v>0</v>
      </c>
      <c r="R13" s="49"/>
      <c r="S13" s="49"/>
      <c r="T13" s="16">
        <v>0</v>
      </c>
      <c r="U13" s="17">
        <v>0</v>
      </c>
      <c r="V13" s="16">
        <v>0</v>
      </c>
      <c r="W13" s="17">
        <v>0</v>
      </c>
      <c r="X13" s="16">
        <v>0</v>
      </c>
      <c r="Y13" s="17">
        <v>0</v>
      </c>
      <c r="Z13" s="49"/>
      <c r="AA13" s="49"/>
      <c r="AB13" s="16">
        <v>0</v>
      </c>
      <c r="AC13" s="17">
        <v>0</v>
      </c>
      <c r="AD13" s="16">
        <v>0</v>
      </c>
      <c r="AE13" s="17">
        <v>0</v>
      </c>
      <c r="AF13" s="16">
        <v>0</v>
      </c>
      <c r="AG13" s="17">
        <v>0</v>
      </c>
      <c r="AH13" s="49"/>
      <c r="AI13" s="49"/>
      <c r="AJ13" s="16">
        <v>1</v>
      </c>
      <c r="AK13" s="17">
        <v>4.6420000000000003E-2</v>
      </c>
      <c r="AL13" s="16">
        <v>0</v>
      </c>
      <c r="AM13" s="17">
        <v>0</v>
      </c>
      <c r="AN13" s="16">
        <v>2</v>
      </c>
      <c r="AO13" s="17">
        <v>9.2850000000000002E-2</v>
      </c>
      <c r="AP13" s="49"/>
      <c r="AQ13" s="49"/>
      <c r="AR13" s="16">
        <v>0</v>
      </c>
      <c r="AS13" s="17">
        <v>0</v>
      </c>
      <c r="AT13" s="16">
        <v>0</v>
      </c>
      <c r="AU13" s="17">
        <v>0</v>
      </c>
      <c r="AV13" s="16">
        <v>0</v>
      </c>
      <c r="AW13" s="17">
        <v>0</v>
      </c>
    </row>
    <row r="14" spans="1:52" x14ac:dyDescent="0.2">
      <c r="A14" t="s">
        <v>0</v>
      </c>
      <c r="B14" s="14" t="s">
        <v>43</v>
      </c>
      <c r="C14" s="15" t="s">
        <v>44</v>
      </c>
      <c r="D14" s="16">
        <v>0</v>
      </c>
      <c r="E14" s="17">
        <v>0</v>
      </c>
      <c r="F14" s="18">
        <v>0</v>
      </c>
      <c r="G14" s="19">
        <v>0</v>
      </c>
      <c r="H14" s="18">
        <v>0</v>
      </c>
      <c r="I14" s="19">
        <v>0</v>
      </c>
      <c r="J14" s="15"/>
      <c r="K14" s="15"/>
      <c r="L14" s="16">
        <v>0</v>
      </c>
      <c r="M14" s="17">
        <v>0</v>
      </c>
      <c r="N14" s="16">
        <v>0</v>
      </c>
      <c r="O14" s="17">
        <v>0</v>
      </c>
      <c r="P14" s="16">
        <v>0</v>
      </c>
      <c r="Q14" s="17">
        <v>0</v>
      </c>
      <c r="R14" s="49"/>
      <c r="S14" s="49"/>
      <c r="T14" s="16">
        <v>4</v>
      </c>
      <c r="U14" s="17">
        <v>6.191E-2</v>
      </c>
      <c r="V14" s="16">
        <v>0</v>
      </c>
      <c r="W14" s="17">
        <v>0</v>
      </c>
      <c r="X14" s="16">
        <v>6</v>
      </c>
      <c r="Y14" s="17">
        <v>9.2859999999999998E-2</v>
      </c>
      <c r="Z14" s="49"/>
      <c r="AA14" s="49"/>
      <c r="AB14" s="16">
        <v>0</v>
      </c>
      <c r="AC14" s="17">
        <v>0</v>
      </c>
      <c r="AD14" s="16">
        <v>0</v>
      </c>
      <c r="AE14" s="17">
        <v>0</v>
      </c>
      <c r="AF14" s="16">
        <v>0</v>
      </c>
      <c r="AG14" s="17">
        <v>0</v>
      </c>
      <c r="AH14" s="49"/>
      <c r="AI14" s="49"/>
      <c r="AJ14" s="16">
        <v>0</v>
      </c>
      <c r="AK14" s="17">
        <v>0</v>
      </c>
      <c r="AL14" s="16">
        <v>0</v>
      </c>
      <c r="AM14" s="17">
        <v>0</v>
      </c>
      <c r="AN14" s="16">
        <v>2</v>
      </c>
      <c r="AO14" s="17">
        <v>5.8790000000000002E-2</v>
      </c>
      <c r="AP14" s="49"/>
      <c r="AQ14" s="49"/>
      <c r="AR14" s="16">
        <v>0</v>
      </c>
      <c r="AS14" s="17">
        <v>0</v>
      </c>
      <c r="AT14" s="16">
        <v>0</v>
      </c>
      <c r="AU14" s="17">
        <v>0</v>
      </c>
      <c r="AV14" s="16">
        <v>0</v>
      </c>
      <c r="AW14" s="17">
        <v>0</v>
      </c>
    </row>
    <row r="15" spans="1:52" x14ac:dyDescent="0.2">
      <c r="A15" t="s">
        <v>0</v>
      </c>
      <c r="B15" s="14" t="s">
        <v>45</v>
      </c>
      <c r="C15" s="15" t="s">
        <v>44</v>
      </c>
      <c r="D15" s="16">
        <v>16</v>
      </c>
      <c r="E15" s="17">
        <v>0.89153000000000004</v>
      </c>
      <c r="F15" s="18">
        <v>12</v>
      </c>
      <c r="G15" s="19">
        <v>1.2187300000000001</v>
      </c>
      <c r="H15" s="18">
        <v>13</v>
      </c>
      <c r="I15" s="19">
        <v>1.1339599999999999</v>
      </c>
      <c r="J15" s="15"/>
      <c r="K15" s="15"/>
      <c r="L15" s="16">
        <v>10</v>
      </c>
      <c r="M15" s="17">
        <v>0.70635000000000003</v>
      </c>
      <c r="N15" s="16">
        <v>26</v>
      </c>
      <c r="O15" s="17">
        <v>1.2172100000000001</v>
      </c>
      <c r="P15" s="16">
        <v>18</v>
      </c>
      <c r="Q15" s="17">
        <v>0.53881999999999997</v>
      </c>
      <c r="R15" s="49"/>
      <c r="S15" s="49"/>
      <c r="T15" s="16">
        <v>8</v>
      </c>
      <c r="U15" s="17">
        <v>0.6440499999999999</v>
      </c>
      <c r="V15" s="16">
        <v>12</v>
      </c>
      <c r="W15" s="17">
        <v>0.56157999999999997</v>
      </c>
      <c r="X15" s="16">
        <v>9</v>
      </c>
      <c r="Y15" s="17">
        <v>0.44411</v>
      </c>
      <c r="Z15" s="49"/>
      <c r="AA15" s="49"/>
      <c r="AB15" s="16">
        <v>13</v>
      </c>
      <c r="AC15" s="17">
        <v>1.1995200000000001</v>
      </c>
      <c r="AD15" s="16">
        <v>10</v>
      </c>
      <c r="AE15" s="17">
        <v>1.0115609999999999</v>
      </c>
      <c r="AF15" s="16">
        <v>9</v>
      </c>
      <c r="AG15" s="17">
        <v>0.5890399999999999</v>
      </c>
      <c r="AH15" s="49"/>
      <c r="AI15" s="49"/>
      <c r="AJ15" s="16">
        <v>9</v>
      </c>
      <c r="AK15" s="17">
        <v>0.52361999999999997</v>
      </c>
      <c r="AL15" s="16">
        <v>25</v>
      </c>
      <c r="AM15" s="17">
        <v>0.93006</v>
      </c>
      <c r="AN15" s="16">
        <v>30</v>
      </c>
      <c r="AO15" s="17">
        <v>2.1656999999999997</v>
      </c>
      <c r="AP15" s="49"/>
      <c r="AQ15" s="49"/>
      <c r="AR15" s="16">
        <v>22</v>
      </c>
      <c r="AS15" s="17">
        <v>1.5539799999999999</v>
      </c>
      <c r="AT15" s="16">
        <v>40</v>
      </c>
      <c r="AU15" s="17">
        <v>1.2490600000000001</v>
      </c>
      <c r="AV15" s="16">
        <v>16</v>
      </c>
      <c r="AW15" s="17">
        <v>0.25794</v>
      </c>
    </row>
    <row r="16" spans="1:52" x14ac:dyDescent="0.2">
      <c r="A16" t="s">
        <v>0</v>
      </c>
      <c r="B16" s="14" t="s">
        <v>46</v>
      </c>
      <c r="C16" s="15" t="s">
        <v>44</v>
      </c>
      <c r="D16" s="16">
        <v>0</v>
      </c>
      <c r="E16" s="17">
        <v>0</v>
      </c>
      <c r="F16" s="18">
        <v>7</v>
      </c>
      <c r="G16" s="19">
        <v>0.32950000000000002</v>
      </c>
      <c r="H16" s="18">
        <v>13</v>
      </c>
      <c r="I16" s="19">
        <v>0.58815000000000006</v>
      </c>
      <c r="J16" s="15"/>
      <c r="K16" s="15"/>
      <c r="L16" s="16">
        <v>16</v>
      </c>
      <c r="M16" s="17">
        <v>1.20628</v>
      </c>
      <c r="N16" s="16">
        <v>26</v>
      </c>
      <c r="O16" s="17">
        <v>1.62171</v>
      </c>
      <c r="P16" s="16">
        <v>35</v>
      </c>
      <c r="Q16" s="17">
        <v>2.3105799999999999</v>
      </c>
      <c r="R16" s="49"/>
      <c r="S16" s="49"/>
      <c r="T16" s="16">
        <v>0</v>
      </c>
      <c r="U16" s="17">
        <v>0</v>
      </c>
      <c r="V16" s="16">
        <v>0</v>
      </c>
      <c r="W16" s="17">
        <v>0</v>
      </c>
      <c r="X16" s="16">
        <v>0</v>
      </c>
      <c r="Y16" s="17">
        <v>0</v>
      </c>
      <c r="Z16" s="49"/>
      <c r="AA16" s="49"/>
      <c r="AB16" s="16">
        <v>7</v>
      </c>
      <c r="AC16" s="17">
        <v>0.14613999999999999</v>
      </c>
      <c r="AD16" s="16">
        <v>2</v>
      </c>
      <c r="AE16" s="17">
        <v>2.7269999999999999E-2</v>
      </c>
      <c r="AF16" s="16">
        <v>8</v>
      </c>
      <c r="AG16" s="17">
        <v>0.38277</v>
      </c>
      <c r="AH16" s="49"/>
      <c r="AI16" s="49"/>
      <c r="AJ16" s="16">
        <v>27</v>
      </c>
      <c r="AK16" s="17">
        <v>1.32474</v>
      </c>
      <c r="AL16" s="16">
        <v>0</v>
      </c>
      <c r="AM16" s="17">
        <v>0</v>
      </c>
      <c r="AN16" s="16">
        <v>7</v>
      </c>
      <c r="AO16" s="17">
        <v>0.24907000000000001</v>
      </c>
      <c r="AP16" s="49"/>
      <c r="AQ16" s="49"/>
      <c r="AR16" s="16">
        <v>2</v>
      </c>
      <c r="AS16" s="17">
        <v>5.3929999999999999E-2</v>
      </c>
      <c r="AT16" s="16">
        <v>15</v>
      </c>
      <c r="AU16" s="17">
        <v>0.20452000000000001</v>
      </c>
      <c r="AV16" s="16">
        <v>16</v>
      </c>
      <c r="AW16" s="17">
        <v>0.21815999999999999</v>
      </c>
    </row>
    <row r="17" spans="1:51" x14ac:dyDescent="0.2">
      <c r="A17" t="s">
        <v>0</v>
      </c>
      <c r="B17" s="14" t="s">
        <v>47</v>
      </c>
      <c r="C17" s="15" t="s">
        <v>48</v>
      </c>
      <c r="D17" s="16">
        <v>0</v>
      </c>
      <c r="E17" s="17">
        <v>0</v>
      </c>
      <c r="F17" s="18">
        <v>0</v>
      </c>
      <c r="G17" s="19">
        <v>0</v>
      </c>
      <c r="H17" s="18">
        <v>0</v>
      </c>
      <c r="I17" s="19">
        <v>0</v>
      </c>
      <c r="J17" s="15"/>
      <c r="K17" s="15"/>
      <c r="L17" s="16">
        <v>0</v>
      </c>
      <c r="M17" s="17">
        <v>0</v>
      </c>
      <c r="N17" s="16">
        <v>0</v>
      </c>
      <c r="O17" s="17">
        <v>0</v>
      </c>
      <c r="P17" s="16">
        <v>2</v>
      </c>
      <c r="Q17" s="17">
        <v>2.7361800000000001</v>
      </c>
      <c r="R17" s="49"/>
      <c r="S17" s="49"/>
      <c r="T17" s="16">
        <v>0</v>
      </c>
      <c r="U17" s="17">
        <v>0</v>
      </c>
      <c r="V17" s="16">
        <v>0</v>
      </c>
      <c r="W17" s="17">
        <v>0</v>
      </c>
      <c r="X17" s="16">
        <v>0</v>
      </c>
      <c r="Y17" s="17">
        <v>0</v>
      </c>
      <c r="Z17" s="49"/>
      <c r="AA17" s="49"/>
      <c r="AB17" s="16">
        <v>0</v>
      </c>
      <c r="AC17" s="17">
        <v>0</v>
      </c>
      <c r="AD17" s="16">
        <v>0</v>
      </c>
      <c r="AE17" s="17">
        <v>0</v>
      </c>
      <c r="AF17" s="16">
        <v>0</v>
      </c>
      <c r="AG17" s="17">
        <v>0</v>
      </c>
      <c r="AH17" s="49"/>
      <c r="AI17" s="49"/>
      <c r="AJ17" s="16">
        <v>0</v>
      </c>
      <c r="AK17" s="17">
        <v>0</v>
      </c>
      <c r="AL17" s="16">
        <v>0</v>
      </c>
      <c r="AM17" s="17">
        <v>0</v>
      </c>
      <c r="AN17" s="16">
        <v>0</v>
      </c>
      <c r="AO17" s="17">
        <v>0</v>
      </c>
      <c r="AP17" s="49"/>
      <c r="AQ17" s="49"/>
      <c r="AR17" s="16">
        <v>0</v>
      </c>
      <c r="AS17" s="17">
        <v>0</v>
      </c>
      <c r="AT17" s="16">
        <v>0</v>
      </c>
      <c r="AU17" s="17">
        <v>0</v>
      </c>
      <c r="AV17" s="16">
        <v>1</v>
      </c>
      <c r="AW17" s="17">
        <v>0.53710999999999998</v>
      </c>
    </row>
    <row r="18" spans="1:51" x14ac:dyDescent="0.2">
      <c r="A18" t="s">
        <v>0</v>
      </c>
      <c r="B18" s="14" t="s">
        <v>49</v>
      </c>
      <c r="C18" s="15" t="s">
        <v>44</v>
      </c>
      <c r="D18" s="16">
        <v>0</v>
      </c>
      <c r="E18" s="17">
        <v>0</v>
      </c>
      <c r="F18" s="18">
        <v>0</v>
      </c>
      <c r="G18" s="19">
        <v>0</v>
      </c>
      <c r="H18" s="18">
        <v>0</v>
      </c>
      <c r="I18" s="19">
        <v>0</v>
      </c>
      <c r="J18" s="15"/>
      <c r="K18" s="15"/>
      <c r="L18" s="16">
        <v>5</v>
      </c>
      <c r="M18" s="17">
        <v>0.88632999999999995</v>
      </c>
      <c r="N18" s="16">
        <v>6</v>
      </c>
      <c r="O18" s="17">
        <v>2.1898599999999999</v>
      </c>
      <c r="P18" s="16">
        <v>6</v>
      </c>
      <c r="Q18" s="17">
        <v>0.69840999999999998</v>
      </c>
      <c r="R18" s="49"/>
      <c r="S18" s="49"/>
      <c r="T18" s="16">
        <v>3</v>
      </c>
      <c r="U18" s="17">
        <v>1.0965400000000001</v>
      </c>
      <c r="V18" s="16">
        <v>0</v>
      </c>
      <c r="W18" s="17">
        <v>0</v>
      </c>
      <c r="X18" s="16">
        <v>0</v>
      </c>
      <c r="Y18" s="17">
        <v>0</v>
      </c>
      <c r="Z18" s="49"/>
      <c r="AA18" s="49"/>
      <c r="AB18" s="16">
        <v>0</v>
      </c>
      <c r="AC18" s="17">
        <v>0</v>
      </c>
      <c r="AD18" s="16">
        <v>0</v>
      </c>
      <c r="AE18" s="17">
        <v>0</v>
      </c>
      <c r="AF18" s="16">
        <v>0</v>
      </c>
      <c r="AG18" s="17">
        <v>0</v>
      </c>
      <c r="AH18" s="49"/>
      <c r="AI18" s="49"/>
      <c r="AJ18" s="16">
        <v>1</v>
      </c>
      <c r="AK18" s="17">
        <v>0.24146999999999999</v>
      </c>
      <c r="AL18" s="16">
        <v>0</v>
      </c>
      <c r="AM18" s="17">
        <v>0</v>
      </c>
      <c r="AN18" s="16">
        <v>1</v>
      </c>
      <c r="AO18" s="17">
        <v>0.17727000000000001</v>
      </c>
      <c r="AP18" s="49"/>
      <c r="AQ18" s="49"/>
      <c r="AR18" s="16">
        <v>0</v>
      </c>
      <c r="AS18" s="17">
        <v>0</v>
      </c>
      <c r="AT18" s="16">
        <v>1</v>
      </c>
      <c r="AU18" s="17">
        <v>8.5970000000000005E-2</v>
      </c>
      <c r="AV18" s="16">
        <v>3</v>
      </c>
      <c r="AW18" s="17">
        <v>0.16725999999999999</v>
      </c>
    </row>
    <row r="19" spans="1:51" x14ac:dyDescent="0.2">
      <c r="A19" t="s">
        <v>0</v>
      </c>
      <c r="B19" s="14" t="s">
        <v>50</v>
      </c>
      <c r="C19" s="15" t="s">
        <v>48</v>
      </c>
      <c r="D19" s="16">
        <v>1</v>
      </c>
      <c r="E19" s="17">
        <v>6.9629999999999997E-2</v>
      </c>
      <c r="F19" s="18">
        <v>1</v>
      </c>
      <c r="G19" s="19">
        <v>0.10211000000000001</v>
      </c>
      <c r="H19" s="18">
        <v>2</v>
      </c>
      <c r="I19" s="19">
        <v>0.14723</v>
      </c>
      <c r="J19" s="15"/>
      <c r="K19" s="15"/>
      <c r="L19" s="16">
        <v>0</v>
      </c>
      <c r="M19" s="17">
        <v>0</v>
      </c>
      <c r="N19" s="16">
        <v>1</v>
      </c>
      <c r="O19" s="17">
        <v>0.29698000000000002</v>
      </c>
      <c r="P19" s="16">
        <v>0</v>
      </c>
      <c r="Q19" s="17">
        <v>0</v>
      </c>
      <c r="R19" s="49"/>
      <c r="S19" s="49"/>
      <c r="T19" s="16">
        <v>0</v>
      </c>
      <c r="U19" s="17">
        <v>0</v>
      </c>
      <c r="V19" s="16">
        <v>1</v>
      </c>
      <c r="W19" s="17">
        <v>0.53710999999999998</v>
      </c>
      <c r="X19" s="16">
        <v>1</v>
      </c>
      <c r="Y19" s="17">
        <v>0.19602</v>
      </c>
      <c r="Z19" s="49"/>
      <c r="AA19" s="49"/>
      <c r="AB19" s="16">
        <v>2</v>
      </c>
      <c r="AC19" s="17">
        <v>0.34210000000000002</v>
      </c>
      <c r="AD19" s="16">
        <v>2</v>
      </c>
      <c r="AE19" s="17">
        <v>1.07422</v>
      </c>
      <c r="AF19" s="16">
        <v>1</v>
      </c>
      <c r="AG19" s="17">
        <v>6.9629999999999997E-2</v>
      </c>
      <c r="AH19" s="49"/>
      <c r="AI19" s="49"/>
      <c r="AJ19" s="16">
        <v>1</v>
      </c>
      <c r="AK19" s="17">
        <v>0.14380000000000001</v>
      </c>
      <c r="AL19" s="16">
        <v>1</v>
      </c>
      <c r="AM19" s="17">
        <v>6.9629999999999997E-2</v>
      </c>
      <c r="AN19" s="16">
        <v>3</v>
      </c>
      <c r="AO19" s="17">
        <v>0.50119000000000002</v>
      </c>
      <c r="AP19" s="49"/>
      <c r="AQ19" s="49"/>
      <c r="AR19" s="16">
        <v>1</v>
      </c>
      <c r="AS19" s="17">
        <v>1.36809</v>
      </c>
      <c r="AT19" s="16">
        <v>2</v>
      </c>
      <c r="AU19" s="17">
        <v>0.14723</v>
      </c>
      <c r="AV19" s="16">
        <v>1</v>
      </c>
      <c r="AW19" s="17">
        <v>0.14380000000000001</v>
      </c>
    </row>
    <row r="20" spans="1:51" x14ac:dyDescent="0.2">
      <c r="A20" t="s">
        <v>0</v>
      </c>
      <c r="B20" s="14" t="s">
        <v>51</v>
      </c>
      <c r="C20" s="15" t="s">
        <v>36</v>
      </c>
      <c r="D20" s="16">
        <v>0</v>
      </c>
      <c r="E20" s="17">
        <v>0</v>
      </c>
      <c r="F20" s="18">
        <v>0</v>
      </c>
      <c r="G20" s="19">
        <v>0</v>
      </c>
      <c r="H20" s="18">
        <v>0</v>
      </c>
      <c r="I20" s="19">
        <v>0</v>
      </c>
      <c r="J20" s="15"/>
      <c r="K20" s="15"/>
      <c r="L20" s="16">
        <v>0</v>
      </c>
      <c r="M20" s="17">
        <v>0</v>
      </c>
      <c r="N20" s="16">
        <v>0</v>
      </c>
      <c r="O20" s="17">
        <v>0</v>
      </c>
      <c r="P20" s="16">
        <v>0</v>
      </c>
      <c r="Q20" s="17">
        <v>0</v>
      </c>
      <c r="R20" s="49"/>
      <c r="S20" s="49"/>
      <c r="T20" s="16">
        <v>0</v>
      </c>
      <c r="U20" s="17">
        <v>0</v>
      </c>
      <c r="V20" s="16">
        <v>2</v>
      </c>
      <c r="W20" s="17">
        <v>4.2514500000000002</v>
      </c>
      <c r="X20" s="16">
        <v>0</v>
      </c>
      <c r="Y20" s="17">
        <v>0</v>
      </c>
      <c r="Z20" s="49"/>
      <c r="AA20" s="49"/>
      <c r="AB20" s="16">
        <v>0</v>
      </c>
      <c r="AC20" s="17">
        <v>0</v>
      </c>
      <c r="AD20" s="16">
        <v>0</v>
      </c>
      <c r="AE20" s="17">
        <v>0</v>
      </c>
      <c r="AF20" s="16">
        <v>0</v>
      </c>
      <c r="AG20" s="17">
        <v>0</v>
      </c>
      <c r="AH20" s="49"/>
      <c r="AI20" s="49"/>
      <c r="AJ20" s="16">
        <v>0</v>
      </c>
      <c r="AK20" s="17">
        <v>0</v>
      </c>
      <c r="AL20" s="16">
        <v>0</v>
      </c>
      <c r="AM20" s="17">
        <v>0</v>
      </c>
      <c r="AN20" s="16">
        <v>0</v>
      </c>
      <c r="AO20" s="17">
        <v>0</v>
      </c>
      <c r="AP20" s="49"/>
      <c r="AQ20" s="49"/>
      <c r="AR20" s="16">
        <v>0</v>
      </c>
      <c r="AS20" s="17">
        <v>0</v>
      </c>
      <c r="AT20" s="16">
        <v>0</v>
      </c>
      <c r="AU20" s="17">
        <v>0</v>
      </c>
      <c r="AV20" s="16">
        <v>0</v>
      </c>
      <c r="AW20" s="17">
        <v>0</v>
      </c>
    </row>
    <row r="21" spans="1:51" x14ac:dyDescent="0.2">
      <c r="A21" t="s">
        <v>0</v>
      </c>
      <c r="B21" s="14" t="s">
        <v>52</v>
      </c>
      <c r="C21" s="15" t="s">
        <v>48</v>
      </c>
      <c r="D21" s="16">
        <v>0</v>
      </c>
      <c r="E21" s="17">
        <v>0</v>
      </c>
      <c r="F21" s="18">
        <v>0</v>
      </c>
      <c r="G21" s="19">
        <v>0</v>
      </c>
      <c r="H21" s="18">
        <v>1</v>
      </c>
      <c r="I21" s="19">
        <v>0.10395</v>
      </c>
      <c r="J21" s="15"/>
      <c r="K21" s="15"/>
      <c r="L21" s="16">
        <v>0</v>
      </c>
      <c r="M21" s="17">
        <v>0</v>
      </c>
      <c r="N21" s="16">
        <v>0</v>
      </c>
      <c r="O21" s="17">
        <v>0</v>
      </c>
      <c r="P21" s="16">
        <v>1</v>
      </c>
      <c r="Q21" s="17">
        <v>0.66417000000000004</v>
      </c>
      <c r="R21" s="49"/>
      <c r="S21" s="49"/>
      <c r="T21" s="16">
        <v>0</v>
      </c>
      <c r="U21" s="17">
        <v>0</v>
      </c>
      <c r="V21" s="16">
        <v>0</v>
      </c>
      <c r="W21" s="17">
        <v>0</v>
      </c>
      <c r="X21" s="16">
        <v>0</v>
      </c>
      <c r="Y21" s="17">
        <v>0</v>
      </c>
      <c r="Z21" s="49"/>
      <c r="AA21" s="49"/>
      <c r="AB21" s="16">
        <v>0</v>
      </c>
      <c r="AC21" s="17">
        <v>0</v>
      </c>
      <c r="AD21" s="16">
        <v>0</v>
      </c>
      <c r="AE21" s="17">
        <v>0</v>
      </c>
      <c r="AF21" s="16">
        <v>0</v>
      </c>
      <c r="AG21" s="17">
        <v>0</v>
      </c>
      <c r="AH21" s="49"/>
      <c r="AI21" s="49"/>
      <c r="AJ21" s="16">
        <v>1</v>
      </c>
      <c r="AK21" s="17">
        <v>0.96387</v>
      </c>
      <c r="AL21" s="16">
        <v>0</v>
      </c>
      <c r="AM21" s="17">
        <v>0</v>
      </c>
      <c r="AN21" s="16">
        <v>0</v>
      </c>
      <c r="AO21" s="17">
        <v>0</v>
      </c>
      <c r="AP21" s="49"/>
      <c r="AQ21" s="49"/>
      <c r="AR21" s="16">
        <v>4</v>
      </c>
      <c r="AS21" s="17">
        <v>1.7283200000000001</v>
      </c>
      <c r="AT21" s="16">
        <v>1</v>
      </c>
      <c r="AU21" s="17">
        <v>0.43208000000000002</v>
      </c>
      <c r="AV21" s="16">
        <v>1</v>
      </c>
      <c r="AW21" s="17">
        <v>0.43208000000000002</v>
      </c>
    </row>
    <row r="22" spans="1:51" x14ac:dyDescent="0.2">
      <c r="A22" t="s">
        <v>0</v>
      </c>
      <c r="B22" s="14" t="s">
        <v>53</v>
      </c>
      <c r="C22" s="15" t="s">
        <v>36</v>
      </c>
      <c r="D22" s="16">
        <v>2</v>
      </c>
      <c r="E22" s="17">
        <v>8.4970000000000004E-2</v>
      </c>
      <c r="F22" s="18">
        <v>3</v>
      </c>
      <c r="G22" s="19">
        <v>1.7246900000000001</v>
      </c>
      <c r="H22" s="18">
        <v>0</v>
      </c>
      <c r="I22" s="19">
        <v>0</v>
      </c>
      <c r="J22" s="15"/>
      <c r="K22" s="15"/>
      <c r="L22" s="16">
        <v>0</v>
      </c>
      <c r="M22" s="17">
        <v>0</v>
      </c>
      <c r="N22" s="16">
        <v>0</v>
      </c>
      <c r="O22" s="17">
        <v>0</v>
      </c>
      <c r="P22" s="16">
        <v>0</v>
      </c>
      <c r="Q22" s="17">
        <v>0</v>
      </c>
      <c r="R22" s="49"/>
      <c r="S22" s="49"/>
      <c r="T22" s="16">
        <v>0</v>
      </c>
      <c r="U22" s="17">
        <v>0</v>
      </c>
      <c r="V22" s="16">
        <v>0</v>
      </c>
      <c r="W22" s="17">
        <v>0</v>
      </c>
      <c r="X22" s="16">
        <v>0</v>
      </c>
      <c r="Y22" s="17">
        <v>0</v>
      </c>
      <c r="Z22" s="49"/>
      <c r="AA22" s="49"/>
      <c r="AB22" s="16">
        <v>0</v>
      </c>
      <c r="AC22" s="17">
        <v>0</v>
      </c>
      <c r="AD22" s="16">
        <v>0</v>
      </c>
      <c r="AE22" s="17">
        <v>0</v>
      </c>
      <c r="AF22" s="16">
        <v>0</v>
      </c>
      <c r="AG22" s="17">
        <v>0</v>
      </c>
      <c r="AH22" s="49"/>
      <c r="AI22" s="49"/>
      <c r="AJ22" s="16">
        <v>0</v>
      </c>
      <c r="AK22" s="17">
        <v>0</v>
      </c>
      <c r="AL22" s="16">
        <v>0</v>
      </c>
      <c r="AM22" s="17">
        <v>0</v>
      </c>
      <c r="AN22" s="16">
        <v>0</v>
      </c>
      <c r="AO22" s="17">
        <v>0</v>
      </c>
      <c r="AP22" s="49"/>
      <c r="AQ22" s="49"/>
      <c r="AR22" s="16">
        <v>0</v>
      </c>
      <c r="AS22" s="17">
        <v>0</v>
      </c>
      <c r="AT22" s="16">
        <v>0</v>
      </c>
      <c r="AU22" s="17">
        <v>0</v>
      </c>
      <c r="AV22" s="16">
        <v>1</v>
      </c>
      <c r="AW22" s="17">
        <v>0.30484</v>
      </c>
    </row>
    <row r="23" spans="1:51" x14ac:dyDescent="0.2">
      <c r="A23" t="s">
        <v>0</v>
      </c>
      <c r="B23" s="14" t="s">
        <v>54</v>
      </c>
      <c r="C23" s="15" t="s">
        <v>31</v>
      </c>
      <c r="D23" s="16">
        <v>0</v>
      </c>
      <c r="E23" s="17">
        <v>0</v>
      </c>
      <c r="F23" s="18">
        <v>0</v>
      </c>
      <c r="G23" s="19">
        <v>0</v>
      </c>
      <c r="H23" s="18">
        <v>0</v>
      </c>
      <c r="I23" s="19">
        <v>0</v>
      </c>
      <c r="J23" s="15"/>
      <c r="K23" s="15"/>
      <c r="L23" s="16">
        <v>0</v>
      </c>
      <c r="M23" s="17">
        <v>0</v>
      </c>
      <c r="N23" s="16">
        <v>0</v>
      </c>
      <c r="O23" s="17">
        <v>0</v>
      </c>
      <c r="P23" s="16">
        <v>0</v>
      </c>
      <c r="Q23" s="17">
        <v>0</v>
      </c>
      <c r="R23" s="49"/>
      <c r="S23" s="49"/>
      <c r="T23" s="16">
        <v>0</v>
      </c>
      <c r="U23" s="17">
        <v>0</v>
      </c>
      <c r="V23" s="16">
        <v>0</v>
      </c>
      <c r="W23" s="17">
        <v>0</v>
      </c>
      <c r="X23" s="16">
        <v>0</v>
      </c>
      <c r="Y23" s="17">
        <v>0</v>
      </c>
      <c r="Z23" s="49"/>
      <c r="AA23" s="49"/>
      <c r="AB23" s="16">
        <v>0</v>
      </c>
      <c r="AC23" s="17">
        <v>0</v>
      </c>
      <c r="AD23" s="16">
        <v>0</v>
      </c>
      <c r="AE23" s="17">
        <v>0</v>
      </c>
      <c r="AF23" s="16">
        <v>0</v>
      </c>
      <c r="AG23" s="17">
        <v>0</v>
      </c>
      <c r="AH23" s="49"/>
      <c r="AI23" s="49"/>
      <c r="AJ23" s="16">
        <v>0</v>
      </c>
      <c r="AK23" s="17">
        <v>0</v>
      </c>
      <c r="AL23" s="16">
        <v>0</v>
      </c>
      <c r="AM23" s="17">
        <v>0</v>
      </c>
      <c r="AN23" s="16">
        <v>0</v>
      </c>
      <c r="AO23" s="17">
        <v>0</v>
      </c>
      <c r="AP23" s="49"/>
      <c r="AQ23" s="49"/>
      <c r="AR23" s="16">
        <v>0</v>
      </c>
      <c r="AS23" s="17">
        <v>0</v>
      </c>
      <c r="AT23" s="16">
        <v>0</v>
      </c>
      <c r="AU23" s="17">
        <v>0</v>
      </c>
      <c r="AV23" s="16">
        <v>0</v>
      </c>
      <c r="AW23" s="17">
        <v>0</v>
      </c>
    </row>
    <row r="24" spans="1:51" x14ac:dyDescent="0.2">
      <c r="A24" t="s">
        <v>0</v>
      </c>
      <c r="B24" s="14" t="s">
        <v>55</v>
      </c>
      <c r="C24" s="15" t="s">
        <v>31</v>
      </c>
      <c r="D24" s="16">
        <v>3</v>
      </c>
      <c r="E24" s="17">
        <v>0.10228000000000001</v>
      </c>
      <c r="F24" s="18">
        <v>4</v>
      </c>
      <c r="G24" s="19">
        <v>0.11014</v>
      </c>
      <c r="H24" s="18">
        <v>2</v>
      </c>
      <c r="I24" s="19">
        <v>8.0549999999999997E-2</v>
      </c>
      <c r="J24" s="15"/>
      <c r="K24" s="15"/>
      <c r="L24" s="16">
        <v>0</v>
      </c>
      <c r="M24" s="17">
        <v>0</v>
      </c>
      <c r="N24" s="16">
        <v>2</v>
      </c>
      <c r="O24" s="17">
        <v>9.4420000000000004E-2</v>
      </c>
      <c r="P24" s="16">
        <v>0</v>
      </c>
      <c r="Q24" s="17">
        <v>0</v>
      </c>
      <c r="R24" s="49"/>
      <c r="S24" s="49"/>
      <c r="T24" s="16">
        <v>2</v>
      </c>
      <c r="U24" s="17">
        <v>0.24136299999999999</v>
      </c>
      <c r="V24" s="16">
        <v>0</v>
      </c>
      <c r="W24" s="17">
        <v>0</v>
      </c>
      <c r="X24" s="16">
        <v>2</v>
      </c>
      <c r="Y24" s="17">
        <v>0.15772999999999998</v>
      </c>
      <c r="Z24" s="49"/>
      <c r="AA24" s="49"/>
      <c r="AB24" s="16">
        <v>2</v>
      </c>
      <c r="AC24" s="17">
        <v>5.5070000000000001E-2</v>
      </c>
      <c r="AD24" s="16">
        <v>2</v>
      </c>
      <c r="AE24" s="17">
        <v>5.5070000000000001E-2</v>
      </c>
      <c r="AF24" s="16">
        <v>2</v>
      </c>
      <c r="AG24" s="17">
        <v>9.4420000000000004E-2</v>
      </c>
      <c r="AH24" s="49"/>
      <c r="AI24" s="49"/>
      <c r="AJ24" s="16">
        <v>4</v>
      </c>
      <c r="AK24" s="17">
        <v>0.12981000000000001</v>
      </c>
      <c r="AL24" s="16">
        <v>7</v>
      </c>
      <c r="AM24" s="17">
        <v>9.9629999999999996E-2</v>
      </c>
      <c r="AN24" s="16">
        <v>2</v>
      </c>
      <c r="AO24" s="17">
        <v>7.4740000000000001E-2</v>
      </c>
      <c r="AP24" s="49"/>
      <c r="AQ24" s="49"/>
      <c r="AR24" s="16">
        <v>9</v>
      </c>
      <c r="AS24" s="17">
        <v>0.30148999999999998</v>
      </c>
      <c r="AT24" s="16">
        <v>9</v>
      </c>
      <c r="AU24" s="17">
        <v>7.918E-2</v>
      </c>
      <c r="AV24" s="16">
        <v>6</v>
      </c>
      <c r="AW24" s="17">
        <v>0.12689</v>
      </c>
    </row>
    <row r="25" spans="1:51" x14ac:dyDescent="0.2">
      <c r="A25" t="s">
        <v>0</v>
      </c>
      <c r="B25" s="14" t="s">
        <v>56</v>
      </c>
      <c r="C25" s="15" t="s">
        <v>31</v>
      </c>
      <c r="D25" s="16">
        <v>0</v>
      </c>
      <c r="E25" s="17">
        <v>0</v>
      </c>
      <c r="F25" s="18">
        <v>0</v>
      </c>
      <c r="G25" s="19">
        <v>0</v>
      </c>
      <c r="H25" s="18">
        <v>0</v>
      </c>
      <c r="I25" s="19">
        <v>0</v>
      </c>
      <c r="J25" s="15"/>
      <c r="K25" s="15"/>
      <c r="L25" s="16">
        <v>0</v>
      </c>
      <c r="M25" s="17">
        <v>0</v>
      </c>
      <c r="N25" s="16">
        <v>2</v>
      </c>
      <c r="O25" s="17">
        <v>0.13192000000000001</v>
      </c>
      <c r="P25" s="16">
        <v>0</v>
      </c>
      <c r="Q25" s="17">
        <v>0</v>
      </c>
      <c r="R25" s="49"/>
      <c r="S25" s="49"/>
      <c r="T25" s="16">
        <v>1</v>
      </c>
      <c r="U25" s="17">
        <v>0.18331</v>
      </c>
      <c r="V25" s="16">
        <v>0</v>
      </c>
      <c r="W25" s="17">
        <v>0</v>
      </c>
      <c r="X25" s="16">
        <v>0</v>
      </c>
      <c r="Y25" s="17">
        <v>0</v>
      </c>
      <c r="Z25" s="49"/>
      <c r="AA25" s="49"/>
      <c r="AB25" s="16">
        <v>0</v>
      </c>
      <c r="AC25" s="17">
        <v>0</v>
      </c>
      <c r="AD25" s="16">
        <v>0</v>
      </c>
      <c r="AE25" s="17">
        <v>0</v>
      </c>
      <c r="AF25" s="16">
        <v>2</v>
      </c>
      <c r="AG25" s="17">
        <v>0.27106999999999998</v>
      </c>
      <c r="AH25" s="49"/>
      <c r="AI25" s="49"/>
      <c r="AJ25" s="16">
        <v>2</v>
      </c>
      <c r="AK25" s="17">
        <v>8.4809999999999997E-2</v>
      </c>
      <c r="AL25" s="16">
        <v>0</v>
      </c>
      <c r="AM25" s="17">
        <v>0</v>
      </c>
      <c r="AN25" s="16">
        <v>0</v>
      </c>
      <c r="AO25" s="17">
        <v>0</v>
      </c>
      <c r="AP25" s="49"/>
      <c r="AQ25" s="49"/>
      <c r="AR25" s="16">
        <v>0</v>
      </c>
      <c r="AS25" s="17">
        <v>0</v>
      </c>
      <c r="AT25" s="16">
        <v>0</v>
      </c>
      <c r="AU25" s="17">
        <v>0</v>
      </c>
      <c r="AV25" s="16">
        <v>0</v>
      </c>
      <c r="AW25" s="17">
        <v>0</v>
      </c>
    </row>
    <row r="26" spans="1:51" s="55" customFormat="1" x14ac:dyDescent="0.2">
      <c r="A26" s="55" t="s">
        <v>0</v>
      </c>
      <c r="B26" s="56"/>
      <c r="C26" s="57"/>
      <c r="D26" s="58">
        <f>SUM(D3:D25)</f>
        <v>40</v>
      </c>
      <c r="E26" s="58">
        <f t="shared" ref="E26:AW26" si="0">SUM(E3:E25)</f>
        <v>3.68933</v>
      </c>
      <c r="F26" s="58">
        <f t="shared" si="0"/>
        <v>49</v>
      </c>
      <c r="G26" s="58">
        <f t="shared" si="0"/>
        <v>5.2917500000000004</v>
      </c>
      <c r="H26" s="58">
        <f t="shared" si="0"/>
        <v>51</v>
      </c>
      <c r="I26" s="58">
        <f t="shared" si="0"/>
        <v>12.337720000000001</v>
      </c>
      <c r="J26" s="58">
        <f>AVERAGE(D26,F26,H26)</f>
        <v>46.666666666666664</v>
      </c>
      <c r="K26" s="58">
        <f>AVERAGE(E26,G26,I26)</f>
        <v>7.1062666666666674</v>
      </c>
      <c r="L26" s="58">
        <f t="shared" si="0"/>
        <v>81</v>
      </c>
      <c r="M26" s="58">
        <f t="shared" si="0"/>
        <v>15.657079999999999</v>
      </c>
      <c r="N26" s="58">
        <f t="shared" si="0"/>
        <v>107</v>
      </c>
      <c r="O26" s="58">
        <f t="shared" si="0"/>
        <v>25.976530000000004</v>
      </c>
      <c r="P26" s="58">
        <f t="shared" si="0"/>
        <v>102</v>
      </c>
      <c r="Q26" s="58">
        <f t="shared" si="0"/>
        <v>12.55681</v>
      </c>
      <c r="R26" s="58">
        <f>AVERAGE(L26,N26,P26)</f>
        <v>96.666666666666671</v>
      </c>
      <c r="S26" s="58">
        <f>AVERAGE(M26,O26,Q26)</f>
        <v>18.063473333333334</v>
      </c>
      <c r="T26" s="58">
        <f t="shared" si="0"/>
        <v>38</v>
      </c>
      <c r="U26" s="58">
        <f t="shared" si="0"/>
        <v>4.3002630000000002</v>
      </c>
      <c r="V26" s="58">
        <f t="shared" si="0"/>
        <v>38</v>
      </c>
      <c r="W26" s="58">
        <f t="shared" si="0"/>
        <v>10.75601</v>
      </c>
      <c r="X26" s="58">
        <f t="shared" si="0"/>
        <v>51</v>
      </c>
      <c r="Y26" s="58">
        <f t="shared" si="0"/>
        <v>1.70922</v>
      </c>
      <c r="Z26" s="58">
        <f>AVERAGE(T26,V26,X26)</f>
        <v>42.333333333333336</v>
      </c>
      <c r="AA26" s="58">
        <f>AVERAGE(U26,W26,Y26)</f>
        <v>5.5884976666666661</v>
      </c>
      <c r="AB26" s="58">
        <f t="shared" si="0"/>
        <v>49</v>
      </c>
      <c r="AC26" s="58">
        <f t="shared" si="0"/>
        <v>2.5239600000000002</v>
      </c>
      <c r="AD26" s="58">
        <f t="shared" si="0"/>
        <v>31</v>
      </c>
      <c r="AE26" s="58">
        <f t="shared" si="0"/>
        <v>2.9437609999999999</v>
      </c>
      <c r="AF26" s="58">
        <f t="shared" si="0"/>
        <v>46</v>
      </c>
      <c r="AG26" s="58">
        <f t="shared" si="0"/>
        <v>2.2661100000000003</v>
      </c>
      <c r="AH26" s="58">
        <f>AVERAGE(AB26,AD26,AF26)</f>
        <v>42</v>
      </c>
      <c r="AI26" s="58">
        <f>AVERAGE(AC26,AE26,AG26)</f>
        <v>2.5779436666666666</v>
      </c>
      <c r="AJ26" s="58">
        <f t="shared" si="0"/>
        <v>68</v>
      </c>
      <c r="AK26" s="58">
        <f t="shared" si="0"/>
        <v>5.4423599999999999</v>
      </c>
      <c r="AL26" s="58">
        <f t="shared" si="0"/>
        <v>62</v>
      </c>
      <c r="AM26" s="58">
        <f t="shared" si="0"/>
        <v>3.7041300000000001</v>
      </c>
      <c r="AN26" s="58">
        <f t="shared" si="0"/>
        <v>185</v>
      </c>
      <c r="AO26" s="58">
        <f t="shared" si="0"/>
        <v>4.6981099999999998</v>
      </c>
      <c r="AP26" s="58">
        <f>AVERAGE(AJ26,AL26,AN26)</f>
        <v>105</v>
      </c>
      <c r="AQ26" s="58">
        <f>AVERAGE(AK26,AM26,AO26)</f>
        <v>4.6148666666666669</v>
      </c>
      <c r="AR26" s="58">
        <f t="shared" si="0"/>
        <v>58</v>
      </c>
      <c r="AS26" s="58">
        <f t="shared" si="0"/>
        <v>5.6869100000000001</v>
      </c>
      <c r="AT26" s="58">
        <f t="shared" si="0"/>
        <v>85</v>
      </c>
      <c r="AU26" s="58">
        <f t="shared" si="0"/>
        <v>2.6620300000000001</v>
      </c>
      <c r="AV26" s="58">
        <f t="shared" si="0"/>
        <v>70</v>
      </c>
      <c r="AW26" s="58">
        <f t="shared" si="0"/>
        <v>5.8589799999999999</v>
      </c>
      <c r="AX26" s="58">
        <f>AVERAGE(AR26,AT26,AV26)</f>
        <v>71</v>
      </c>
      <c r="AY26" s="58">
        <f>AVERAGE(AS26,AU26,AW26)</f>
        <v>4.7359733333333338</v>
      </c>
    </row>
    <row r="27" spans="1:51" x14ac:dyDescent="0.2">
      <c r="A27" t="s">
        <v>1</v>
      </c>
      <c r="B27" s="14" t="s">
        <v>57</v>
      </c>
      <c r="C27" s="15" t="s">
        <v>58</v>
      </c>
      <c r="D27" s="16">
        <v>3</v>
      </c>
      <c r="E27" s="17">
        <v>6.9000000000000006E-2</v>
      </c>
      <c r="F27" s="18">
        <v>0</v>
      </c>
      <c r="G27" s="19">
        <v>0</v>
      </c>
      <c r="H27" s="18">
        <v>1</v>
      </c>
      <c r="I27" s="19">
        <v>1.4500000000000001E-2</v>
      </c>
      <c r="J27" s="15"/>
      <c r="K27" s="15"/>
      <c r="L27" s="16">
        <v>1</v>
      </c>
      <c r="M27" s="17">
        <v>7.0599999999999996E-2</v>
      </c>
      <c r="N27" s="16">
        <v>2</v>
      </c>
      <c r="O27" s="17">
        <v>2.8989999999999998E-2</v>
      </c>
      <c r="P27" s="16">
        <v>6</v>
      </c>
      <c r="Q27" s="17">
        <v>0.11812</v>
      </c>
      <c r="R27" s="49"/>
      <c r="S27" s="49"/>
      <c r="T27" s="16">
        <v>1</v>
      </c>
      <c r="U27" s="17">
        <v>4.564E-2</v>
      </c>
      <c r="V27" s="16">
        <v>0</v>
      </c>
      <c r="W27" s="17">
        <v>0</v>
      </c>
      <c r="X27" s="16">
        <v>3</v>
      </c>
      <c r="Y27" s="17">
        <v>5.6239999999999998E-2</v>
      </c>
      <c r="Z27" s="49"/>
      <c r="AA27" s="49"/>
      <c r="AB27" s="16">
        <v>2</v>
      </c>
      <c r="AC27" s="17">
        <v>5.45E-2</v>
      </c>
      <c r="AD27" s="16">
        <v>1</v>
      </c>
      <c r="AE27" s="17">
        <v>4.564E-2</v>
      </c>
      <c r="AF27" s="16">
        <v>4</v>
      </c>
      <c r="AG27" s="17">
        <v>0.12028</v>
      </c>
      <c r="AH27" s="49"/>
      <c r="AI27" s="49"/>
      <c r="AJ27" s="16">
        <v>0</v>
      </c>
      <c r="AK27" s="17">
        <v>0</v>
      </c>
      <c r="AL27" s="16">
        <v>1</v>
      </c>
      <c r="AM27" s="17">
        <v>7.0599999999999996E-2</v>
      </c>
      <c r="AN27" s="16">
        <v>2</v>
      </c>
      <c r="AO27" s="17">
        <v>5.45E-2</v>
      </c>
      <c r="AP27" s="49"/>
      <c r="AQ27" s="49"/>
      <c r="AR27" s="16">
        <v>2</v>
      </c>
      <c r="AS27" s="17">
        <v>2.0920000000000001E-2</v>
      </c>
      <c r="AT27" s="16">
        <v>2</v>
      </c>
      <c r="AU27" s="17">
        <v>5.45E-2</v>
      </c>
      <c r="AV27" s="16">
        <v>1</v>
      </c>
      <c r="AW27" s="17">
        <v>1.4500000000000001E-2</v>
      </c>
    </row>
    <row r="28" spans="1:51" x14ac:dyDescent="0.2">
      <c r="A28" t="s">
        <v>1</v>
      </c>
      <c r="B28" s="14" t="s">
        <v>59</v>
      </c>
      <c r="C28" s="15" t="s">
        <v>60</v>
      </c>
      <c r="D28" s="16">
        <v>0</v>
      </c>
      <c r="E28" s="17">
        <v>0</v>
      </c>
      <c r="F28" s="18">
        <v>0</v>
      </c>
      <c r="G28" s="19">
        <v>0</v>
      </c>
      <c r="H28" s="18">
        <v>0</v>
      </c>
      <c r="I28" s="19">
        <v>0</v>
      </c>
      <c r="J28" s="15"/>
      <c r="K28" s="15"/>
      <c r="L28" s="16">
        <v>0</v>
      </c>
      <c r="M28" s="17">
        <v>0</v>
      </c>
      <c r="N28" s="16">
        <v>0</v>
      </c>
      <c r="O28" s="17">
        <v>0</v>
      </c>
      <c r="P28" s="16">
        <v>2</v>
      </c>
      <c r="Q28" s="17">
        <v>3.0960000000000001E-2</v>
      </c>
      <c r="R28" s="49"/>
      <c r="S28" s="49"/>
      <c r="T28" s="16">
        <v>0</v>
      </c>
      <c r="U28" s="17">
        <v>0</v>
      </c>
      <c r="V28" s="16">
        <v>3</v>
      </c>
      <c r="W28" s="17">
        <v>0.11899</v>
      </c>
      <c r="X28" s="16">
        <v>0</v>
      </c>
      <c r="Y28" s="17">
        <v>0</v>
      </c>
      <c r="Z28" s="49"/>
      <c r="AA28" s="49"/>
      <c r="AB28" s="16">
        <v>0</v>
      </c>
      <c r="AC28" s="17">
        <v>0</v>
      </c>
      <c r="AD28" s="16">
        <v>0</v>
      </c>
      <c r="AE28" s="17">
        <v>0</v>
      </c>
      <c r="AF28" s="16">
        <v>2</v>
      </c>
      <c r="AG28" s="17">
        <v>5.8930000000000003E-2</v>
      </c>
      <c r="AH28" s="49"/>
      <c r="AI28" s="49"/>
      <c r="AJ28" s="16">
        <v>0</v>
      </c>
      <c r="AK28" s="17">
        <v>0</v>
      </c>
      <c r="AL28" s="16">
        <v>0</v>
      </c>
      <c r="AM28" s="17">
        <v>0</v>
      </c>
      <c r="AN28" s="16">
        <v>0</v>
      </c>
      <c r="AO28" s="17">
        <v>0</v>
      </c>
      <c r="AP28" s="49"/>
      <c r="AQ28" s="49"/>
      <c r="AR28" s="16">
        <v>0</v>
      </c>
      <c r="AS28" s="17">
        <v>0</v>
      </c>
      <c r="AT28" s="16">
        <v>0</v>
      </c>
      <c r="AU28" s="17">
        <v>0</v>
      </c>
      <c r="AV28" s="16">
        <v>0</v>
      </c>
      <c r="AW28" s="17">
        <v>0</v>
      </c>
    </row>
    <row r="29" spans="1:51" x14ac:dyDescent="0.2">
      <c r="A29" t="s">
        <v>1</v>
      </c>
      <c r="B29" s="14" t="s">
        <v>61</v>
      </c>
      <c r="C29" s="15" t="s">
        <v>60</v>
      </c>
      <c r="D29" s="16">
        <v>0</v>
      </c>
      <c r="E29" s="17">
        <v>0</v>
      </c>
      <c r="F29" s="18">
        <v>0</v>
      </c>
      <c r="G29" s="19">
        <v>0</v>
      </c>
      <c r="H29" s="18">
        <v>1</v>
      </c>
      <c r="I29" s="19">
        <v>4.8980000000000003E-2</v>
      </c>
      <c r="J29" s="15"/>
      <c r="K29" s="15"/>
      <c r="L29" s="16">
        <v>0</v>
      </c>
      <c r="M29" s="17">
        <v>0</v>
      </c>
      <c r="N29" s="16">
        <v>2</v>
      </c>
      <c r="O29" s="17">
        <v>5.8650000000000001E-2</v>
      </c>
      <c r="P29" s="16">
        <v>3</v>
      </c>
      <c r="Q29" s="17">
        <v>8.7970000000000007E-2</v>
      </c>
      <c r="R29" s="49"/>
      <c r="S29" s="49"/>
      <c r="T29" s="16">
        <v>0</v>
      </c>
      <c r="U29" s="17">
        <v>0</v>
      </c>
      <c r="V29" s="16">
        <v>0</v>
      </c>
      <c r="W29" s="17">
        <v>0</v>
      </c>
      <c r="X29" s="16">
        <v>1</v>
      </c>
      <c r="Y29" s="17">
        <v>7.5579999999999994E-2</v>
      </c>
      <c r="Z29" s="49"/>
      <c r="AA29" s="49"/>
      <c r="AB29" s="16">
        <v>1</v>
      </c>
      <c r="AC29" s="17">
        <v>4.8980000000000003E-2</v>
      </c>
      <c r="AD29" s="16">
        <v>0</v>
      </c>
      <c r="AE29" s="17">
        <v>0</v>
      </c>
      <c r="AF29" s="16">
        <v>0</v>
      </c>
      <c r="AG29" s="17">
        <v>0</v>
      </c>
      <c r="AH29" s="49"/>
      <c r="AI29" s="49"/>
      <c r="AJ29" s="16">
        <v>5</v>
      </c>
      <c r="AK29" s="17">
        <v>0.27844000000000002</v>
      </c>
      <c r="AL29" s="16">
        <v>1</v>
      </c>
      <c r="AM29" s="17">
        <v>4.8980000000000003E-2</v>
      </c>
      <c r="AN29" s="16">
        <v>2</v>
      </c>
      <c r="AO29" s="17">
        <v>0.15115999999999999</v>
      </c>
      <c r="AP29" s="49"/>
      <c r="AQ29" s="49"/>
      <c r="AR29" s="16">
        <v>0</v>
      </c>
      <c r="AS29" s="17">
        <v>0</v>
      </c>
      <c r="AT29" s="16">
        <v>0</v>
      </c>
      <c r="AU29" s="17">
        <v>0</v>
      </c>
      <c r="AV29" s="16">
        <v>0</v>
      </c>
      <c r="AW29" s="17">
        <v>0</v>
      </c>
    </row>
    <row r="30" spans="1:51" x14ac:dyDescent="0.2">
      <c r="A30" t="s">
        <v>1</v>
      </c>
      <c r="B30" s="14" t="s">
        <v>62</v>
      </c>
      <c r="C30" s="15" t="s">
        <v>60</v>
      </c>
      <c r="D30" s="16">
        <v>3</v>
      </c>
      <c r="E30" s="17">
        <v>3.8269999999999998E-2</v>
      </c>
      <c r="F30" s="18">
        <v>3</v>
      </c>
      <c r="G30" s="19">
        <v>4.6995000000000002E-2</v>
      </c>
      <c r="H30" s="18">
        <v>2</v>
      </c>
      <c r="I30" s="19">
        <v>3.1300000000000001E-2</v>
      </c>
      <c r="J30" s="15"/>
      <c r="K30" s="15"/>
      <c r="L30" s="16">
        <v>2</v>
      </c>
      <c r="M30" s="17">
        <v>3.1300000000000001E-2</v>
      </c>
      <c r="N30" s="16">
        <v>2</v>
      </c>
      <c r="O30" s="17">
        <v>1.393E-2</v>
      </c>
      <c r="P30" s="16">
        <v>6</v>
      </c>
      <c r="Q30" s="17">
        <v>6.7849999999999994E-2</v>
      </c>
      <c r="R30" s="49"/>
      <c r="S30" s="49"/>
      <c r="T30" s="16">
        <v>2</v>
      </c>
      <c r="U30" s="17">
        <v>3.1300000000000001E-2</v>
      </c>
      <c r="V30" s="16">
        <v>2</v>
      </c>
      <c r="W30" s="17">
        <v>3.1300000000000001E-2</v>
      </c>
      <c r="X30" s="16">
        <v>2</v>
      </c>
      <c r="Y30" s="17">
        <v>3.1300000000000001E-2</v>
      </c>
      <c r="Z30" s="49"/>
      <c r="AA30" s="49"/>
      <c r="AB30" s="16">
        <v>4</v>
      </c>
      <c r="AC30" s="17">
        <v>6.2600000000000003E-2</v>
      </c>
      <c r="AD30" s="16">
        <v>0</v>
      </c>
      <c r="AE30" s="17">
        <v>0</v>
      </c>
      <c r="AF30" s="16">
        <v>2</v>
      </c>
      <c r="AG30" s="17">
        <v>5.8650000000000001E-2</v>
      </c>
      <c r="AH30" s="49"/>
      <c r="AI30" s="49"/>
      <c r="AJ30" s="16">
        <v>2</v>
      </c>
      <c r="AK30" s="17">
        <v>3.1300000000000001E-2</v>
      </c>
      <c r="AL30" s="16">
        <v>5</v>
      </c>
      <c r="AM30" s="17">
        <v>7.825E-2</v>
      </c>
      <c r="AN30" s="16">
        <v>2</v>
      </c>
      <c r="AO30" s="17">
        <v>3.1300000000000001E-2</v>
      </c>
      <c r="AP30" s="49"/>
      <c r="AQ30" s="49"/>
      <c r="AR30" s="16">
        <v>2</v>
      </c>
      <c r="AS30" s="17">
        <v>3.1300000000000001E-2</v>
      </c>
      <c r="AT30" s="16">
        <v>2</v>
      </c>
      <c r="AU30" s="17">
        <v>3.1300000000000001E-2</v>
      </c>
      <c r="AV30" s="16">
        <v>1</v>
      </c>
      <c r="AW30" s="17">
        <v>6.9699999999999996E-3</v>
      </c>
    </row>
    <row r="31" spans="1:51" x14ac:dyDescent="0.2">
      <c r="A31" t="s">
        <v>1</v>
      </c>
      <c r="B31" s="14" t="s">
        <v>63</v>
      </c>
      <c r="C31" s="15" t="s">
        <v>36</v>
      </c>
      <c r="D31" s="16">
        <v>2</v>
      </c>
      <c r="E31" s="17">
        <v>3.1300000000000001E-2</v>
      </c>
      <c r="F31" s="18">
        <v>0</v>
      </c>
      <c r="G31" s="19">
        <v>0</v>
      </c>
      <c r="H31" s="18">
        <v>2</v>
      </c>
      <c r="I31" s="19">
        <v>3.1300000000000001E-2</v>
      </c>
      <c r="J31" s="15"/>
      <c r="K31" s="15"/>
      <c r="L31" s="16">
        <v>0</v>
      </c>
      <c r="M31" s="17">
        <v>0</v>
      </c>
      <c r="N31" s="16">
        <v>0</v>
      </c>
      <c r="O31" s="17">
        <v>0</v>
      </c>
      <c r="P31" s="16">
        <v>1</v>
      </c>
      <c r="Q31" s="17">
        <v>1.5650000000000001E-2</v>
      </c>
      <c r="R31" s="49"/>
      <c r="S31" s="49"/>
      <c r="T31" s="16">
        <v>2</v>
      </c>
      <c r="U31" s="17">
        <v>3.1300000000000001E-2</v>
      </c>
      <c r="V31" s="16">
        <v>0</v>
      </c>
      <c r="W31" s="17">
        <v>0</v>
      </c>
      <c r="X31" s="16">
        <v>3</v>
      </c>
      <c r="Y31" s="17">
        <v>2.9580000000000002E-2</v>
      </c>
      <c r="Z31" s="49"/>
      <c r="AA31" s="49"/>
      <c r="AB31" s="16">
        <v>0</v>
      </c>
      <c r="AC31" s="17">
        <v>0</v>
      </c>
      <c r="AD31" s="16">
        <v>0</v>
      </c>
      <c r="AE31" s="17">
        <v>0</v>
      </c>
      <c r="AF31" s="16">
        <v>0</v>
      </c>
      <c r="AG31" s="17">
        <v>0</v>
      </c>
      <c r="AH31" s="49"/>
      <c r="AI31" s="49"/>
      <c r="AJ31" s="16">
        <v>0</v>
      </c>
      <c r="AK31" s="17">
        <v>0</v>
      </c>
      <c r="AL31" s="16">
        <v>2</v>
      </c>
      <c r="AM31" s="17">
        <v>3.1300000000000001E-2</v>
      </c>
      <c r="AN31" s="16">
        <v>5</v>
      </c>
      <c r="AO31" s="17">
        <v>7.825E-2</v>
      </c>
      <c r="AP31" s="49"/>
      <c r="AQ31" s="49"/>
      <c r="AR31" s="16">
        <v>1</v>
      </c>
      <c r="AS31" s="17">
        <v>1.5650000000000001E-2</v>
      </c>
      <c r="AT31" s="16">
        <v>0</v>
      </c>
      <c r="AU31" s="17">
        <v>0</v>
      </c>
      <c r="AV31" s="16">
        <v>1</v>
      </c>
      <c r="AW31" s="17">
        <v>1.5650000000000001E-2</v>
      </c>
    </row>
    <row r="32" spans="1:51" x14ac:dyDescent="0.2">
      <c r="A32" t="s">
        <v>1</v>
      </c>
      <c r="B32" s="14" t="s">
        <v>64</v>
      </c>
      <c r="C32" s="15" t="s">
        <v>60</v>
      </c>
      <c r="D32" s="16">
        <v>0</v>
      </c>
      <c r="E32" s="17">
        <v>0</v>
      </c>
      <c r="F32" s="18">
        <v>1</v>
      </c>
      <c r="G32" s="19">
        <v>7.5579999999999994E-2</v>
      </c>
      <c r="H32" s="18">
        <v>0</v>
      </c>
      <c r="I32" s="19">
        <v>0</v>
      </c>
      <c r="J32" s="15"/>
      <c r="K32" s="15"/>
      <c r="L32" s="16">
        <v>1</v>
      </c>
      <c r="M32" s="17">
        <v>7.5579999999999994E-2</v>
      </c>
      <c r="N32" s="16">
        <v>0</v>
      </c>
      <c r="O32" s="17">
        <v>0</v>
      </c>
      <c r="P32" s="16">
        <v>1</v>
      </c>
      <c r="Q32" s="17">
        <v>7.5579999999999994E-2</v>
      </c>
      <c r="R32" s="49"/>
      <c r="S32" s="49"/>
      <c r="T32" s="16">
        <v>2</v>
      </c>
      <c r="U32" s="17">
        <v>0.20981</v>
      </c>
      <c r="V32" s="16">
        <v>0</v>
      </c>
      <c r="W32" s="17">
        <v>0</v>
      </c>
      <c r="X32" s="16">
        <v>1</v>
      </c>
      <c r="Y32" s="17">
        <v>4.8980000000000003E-2</v>
      </c>
      <c r="Z32" s="49"/>
      <c r="AA32" s="49"/>
      <c r="AB32" s="16">
        <v>0</v>
      </c>
      <c r="AC32" s="17">
        <v>0</v>
      </c>
      <c r="AD32" s="16">
        <v>0</v>
      </c>
      <c r="AE32" s="17">
        <v>0</v>
      </c>
      <c r="AF32" s="16">
        <v>0</v>
      </c>
      <c r="AG32" s="17">
        <v>0</v>
      </c>
      <c r="AH32" s="49"/>
      <c r="AI32" s="49"/>
      <c r="AJ32" s="16">
        <v>0</v>
      </c>
      <c r="AK32" s="17">
        <v>0</v>
      </c>
      <c r="AL32" s="16">
        <v>0</v>
      </c>
      <c r="AM32" s="17">
        <v>0</v>
      </c>
      <c r="AN32" s="16">
        <v>1</v>
      </c>
      <c r="AO32" s="17">
        <v>7.5579999999999994E-2</v>
      </c>
      <c r="AP32" s="49"/>
      <c r="AQ32" s="49"/>
      <c r="AR32" s="16">
        <v>0</v>
      </c>
      <c r="AS32" s="17">
        <v>0</v>
      </c>
      <c r="AT32" s="16">
        <v>1</v>
      </c>
      <c r="AU32" s="17">
        <v>2.9319999999999999E-2</v>
      </c>
      <c r="AV32" s="16">
        <v>0</v>
      </c>
      <c r="AW32" s="17">
        <v>0</v>
      </c>
    </row>
    <row r="33" spans="1:51" x14ac:dyDescent="0.2">
      <c r="A33" t="s">
        <v>1</v>
      </c>
      <c r="B33" s="14" t="s">
        <v>65</v>
      </c>
      <c r="C33" s="15" t="s">
        <v>60</v>
      </c>
      <c r="D33" s="16">
        <v>0</v>
      </c>
      <c r="E33" s="17">
        <v>0</v>
      </c>
      <c r="F33" s="18">
        <v>0</v>
      </c>
      <c r="G33" s="19">
        <v>0</v>
      </c>
      <c r="H33" s="18">
        <v>0</v>
      </c>
      <c r="I33" s="19">
        <v>0</v>
      </c>
      <c r="J33" s="15"/>
      <c r="K33" s="15"/>
      <c r="L33" s="16">
        <v>0</v>
      </c>
      <c r="M33" s="17">
        <v>0</v>
      </c>
      <c r="N33" s="16">
        <v>0</v>
      </c>
      <c r="O33" s="17">
        <v>0</v>
      </c>
      <c r="P33" s="16">
        <v>1</v>
      </c>
      <c r="Q33" s="17">
        <v>1.5140000000000001E-2</v>
      </c>
      <c r="R33" s="49"/>
      <c r="S33" s="49"/>
      <c r="T33" s="16">
        <v>0</v>
      </c>
      <c r="U33" s="17">
        <v>0</v>
      </c>
      <c r="V33" s="16">
        <v>0</v>
      </c>
      <c r="W33" s="17">
        <v>0</v>
      </c>
      <c r="X33" s="16">
        <v>0</v>
      </c>
      <c r="Y33" s="17">
        <v>0</v>
      </c>
      <c r="Z33" s="49"/>
      <c r="AA33" s="49"/>
      <c r="AB33" s="16">
        <v>0</v>
      </c>
      <c r="AC33" s="17">
        <v>0</v>
      </c>
      <c r="AD33" s="16">
        <v>0</v>
      </c>
      <c r="AE33" s="17">
        <v>0</v>
      </c>
      <c r="AF33" s="16">
        <v>0</v>
      </c>
      <c r="AG33" s="17">
        <v>0</v>
      </c>
      <c r="AH33" s="49"/>
      <c r="AI33" s="49"/>
      <c r="AJ33" s="16">
        <v>0</v>
      </c>
      <c r="AK33" s="17">
        <v>0</v>
      </c>
      <c r="AL33" s="16">
        <v>0</v>
      </c>
      <c r="AM33" s="17">
        <v>0</v>
      </c>
      <c r="AN33" s="16">
        <v>0</v>
      </c>
      <c r="AO33" s="17">
        <v>0</v>
      </c>
      <c r="AP33" s="49"/>
      <c r="AQ33" s="49"/>
      <c r="AR33" s="16">
        <v>0</v>
      </c>
      <c r="AS33" s="17">
        <v>0</v>
      </c>
      <c r="AT33" s="16">
        <v>0</v>
      </c>
      <c r="AU33" s="17">
        <v>0</v>
      </c>
      <c r="AV33" s="16">
        <v>0</v>
      </c>
      <c r="AW33" s="17">
        <v>0</v>
      </c>
    </row>
    <row r="34" spans="1:51" x14ac:dyDescent="0.2">
      <c r="A34" t="s">
        <v>1</v>
      </c>
      <c r="B34" s="14" t="s">
        <v>66</v>
      </c>
      <c r="C34" s="15" t="s">
        <v>60</v>
      </c>
      <c r="D34" s="16">
        <v>2</v>
      </c>
      <c r="E34" s="17">
        <v>4.4969999999999996E-2</v>
      </c>
      <c r="F34" s="18">
        <v>0</v>
      </c>
      <c r="G34" s="19">
        <v>0</v>
      </c>
      <c r="H34" s="18">
        <v>3</v>
      </c>
      <c r="I34" s="19">
        <v>0.75564999999999993</v>
      </c>
      <c r="J34" s="15"/>
      <c r="K34" s="15"/>
      <c r="L34" s="16">
        <v>0</v>
      </c>
      <c r="M34" s="17">
        <v>0</v>
      </c>
      <c r="N34" s="16">
        <v>3</v>
      </c>
      <c r="O34" s="17">
        <v>0.18974000000000002</v>
      </c>
      <c r="P34" s="16">
        <v>1</v>
      </c>
      <c r="Q34" s="17">
        <v>2.9319999999999999E-2</v>
      </c>
      <c r="R34" s="49"/>
      <c r="S34" s="49"/>
      <c r="T34" s="16">
        <v>4</v>
      </c>
      <c r="U34" s="17">
        <v>0.20981</v>
      </c>
      <c r="V34" s="16">
        <v>0</v>
      </c>
      <c r="W34" s="17">
        <v>0</v>
      </c>
      <c r="X34" s="16">
        <v>3</v>
      </c>
      <c r="Y34" s="17">
        <v>0.22675000000000001</v>
      </c>
      <c r="Z34" s="49"/>
      <c r="AA34" s="49"/>
      <c r="AB34" s="16">
        <v>0</v>
      </c>
      <c r="AC34" s="17">
        <v>0</v>
      </c>
      <c r="AD34" s="16">
        <v>0</v>
      </c>
      <c r="AE34" s="17">
        <v>0</v>
      </c>
      <c r="AF34" s="16">
        <v>0</v>
      </c>
      <c r="AG34" s="17">
        <v>0</v>
      </c>
      <c r="AH34" s="49"/>
      <c r="AI34" s="49"/>
      <c r="AJ34" s="16">
        <v>1</v>
      </c>
      <c r="AK34" s="17">
        <v>2.9319999999999999E-2</v>
      </c>
      <c r="AL34" s="16">
        <v>1</v>
      </c>
      <c r="AM34" s="17">
        <v>4.8980000000000003E-2</v>
      </c>
      <c r="AN34" s="16">
        <v>1</v>
      </c>
      <c r="AO34" s="17">
        <v>4.8980000000000003E-2</v>
      </c>
      <c r="AP34" s="49"/>
      <c r="AQ34" s="49"/>
      <c r="AR34" s="16">
        <v>0</v>
      </c>
      <c r="AS34" s="17">
        <v>0</v>
      </c>
      <c r="AT34" s="16">
        <v>0</v>
      </c>
      <c r="AU34" s="17">
        <v>0</v>
      </c>
      <c r="AV34" s="16">
        <v>1</v>
      </c>
      <c r="AW34" s="17">
        <v>2.9319999999999999E-2</v>
      </c>
    </row>
    <row r="35" spans="1:51" x14ac:dyDescent="0.2">
      <c r="A35" t="s">
        <v>1</v>
      </c>
      <c r="B35" s="14" t="s">
        <v>67</v>
      </c>
      <c r="C35" s="15" t="s">
        <v>60</v>
      </c>
      <c r="D35" s="16">
        <v>0</v>
      </c>
      <c r="E35" s="17">
        <v>0</v>
      </c>
      <c r="F35" s="18">
        <v>0</v>
      </c>
      <c r="G35" s="19">
        <v>0</v>
      </c>
      <c r="H35" s="18">
        <v>0</v>
      </c>
      <c r="I35" s="19">
        <v>0</v>
      </c>
      <c r="J35" s="15"/>
      <c r="K35" s="15"/>
      <c r="L35" s="16">
        <v>0</v>
      </c>
      <c r="M35" s="17">
        <v>0</v>
      </c>
      <c r="N35" s="16">
        <v>4</v>
      </c>
      <c r="O35" s="17">
        <v>7.2819999999999996E-2</v>
      </c>
      <c r="P35" s="16">
        <v>2</v>
      </c>
      <c r="Q35" s="17">
        <v>2.477E-2</v>
      </c>
      <c r="R35" s="49"/>
      <c r="S35" s="49"/>
      <c r="T35" s="16">
        <v>1</v>
      </c>
      <c r="U35" s="17">
        <v>1.238E-2</v>
      </c>
      <c r="V35" s="16">
        <v>4</v>
      </c>
      <c r="W35" s="17">
        <v>4.9540000000000001E-2</v>
      </c>
      <c r="X35" s="16">
        <v>3</v>
      </c>
      <c r="Y35" s="17">
        <v>3.0040000000000001E-2</v>
      </c>
      <c r="Z35" s="49"/>
      <c r="AA35" s="49"/>
      <c r="AB35" s="16">
        <v>0</v>
      </c>
      <c r="AC35" s="17">
        <v>0</v>
      </c>
      <c r="AD35" s="16">
        <v>0</v>
      </c>
      <c r="AE35" s="17">
        <v>0</v>
      </c>
      <c r="AF35" s="16">
        <v>0</v>
      </c>
      <c r="AG35" s="17">
        <v>0</v>
      </c>
      <c r="AH35" s="49"/>
      <c r="AI35" s="49"/>
      <c r="AJ35" s="16">
        <v>0</v>
      </c>
      <c r="AK35" s="17">
        <v>0</v>
      </c>
      <c r="AL35" s="16">
        <v>0</v>
      </c>
      <c r="AM35" s="17">
        <v>0</v>
      </c>
      <c r="AN35" s="16">
        <v>0</v>
      </c>
      <c r="AO35" s="17">
        <v>0</v>
      </c>
      <c r="AP35" s="49"/>
      <c r="AQ35" s="49"/>
      <c r="AR35" s="16">
        <v>1</v>
      </c>
      <c r="AS35" s="17">
        <v>1.238E-2</v>
      </c>
      <c r="AT35" s="16">
        <v>4</v>
      </c>
      <c r="AU35" s="17">
        <v>4.9540000000000001E-2</v>
      </c>
      <c r="AV35" s="16">
        <v>0</v>
      </c>
      <c r="AW35" s="17">
        <v>0</v>
      </c>
    </row>
    <row r="36" spans="1:51" x14ac:dyDescent="0.2">
      <c r="A36" t="s">
        <v>1</v>
      </c>
      <c r="B36" s="14" t="s">
        <v>68</v>
      </c>
      <c r="C36" s="15" t="s">
        <v>60</v>
      </c>
      <c r="D36" s="16">
        <v>2</v>
      </c>
      <c r="E36" s="17">
        <v>3.1789999999999999E-2</v>
      </c>
      <c r="F36" s="18">
        <v>3</v>
      </c>
      <c r="G36" s="19">
        <v>4.768E-2</v>
      </c>
      <c r="H36" s="18">
        <v>4</v>
      </c>
      <c r="I36" s="19">
        <v>4.5620000000000001E-2</v>
      </c>
      <c r="J36" s="15"/>
      <c r="K36" s="15"/>
      <c r="L36" s="16">
        <v>2</v>
      </c>
      <c r="M36" s="17">
        <v>3.1789999999999999E-2</v>
      </c>
      <c r="N36" s="16">
        <v>2</v>
      </c>
      <c r="O36" s="17">
        <v>6.0639999999999999E-2</v>
      </c>
      <c r="P36" s="16">
        <v>2</v>
      </c>
      <c r="Q36" s="17">
        <v>6.0639999999999999E-2</v>
      </c>
      <c r="R36" s="49"/>
      <c r="S36" s="49"/>
      <c r="T36" s="16">
        <v>1</v>
      </c>
      <c r="U36" s="17">
        <v>3.032E-2</v>
      </c>
      <c r="V36" s="16">
        <v>0</v>
      </c>
      <c r="W36" s="17">
        <v>0</v>
      </c>
      <c r="X36" s="16">
        <v>2</v>
      </c>
      <c r="Y36" s="17">
        <v>6.0639999999999999E-2</v>
      </c>
      <c r="Z36" s="49"/>
      <c r="AA36" s="49"/>
      <c r="AB36" s="16">
        <v>2</v>
      </c>
      <c r="AC36" s="17">
        <v>3.1789999999999999E-2</v>
      </c>
      <c r="AD36" s="16">
        <v>1</v>
      </c>
      <c r="AE36" s="17">
        <v>1.5890000000000001E-2</v>
      </c>
      <c r="AF36" s="16">
        <v>0</v>
      </c>
      <c r="AG36" s="17">
        <v>0</v>
      </c>
      <c r="AH36" s="49"/>
      <c r="AI36" s="49"/>
      <c r="AJ36" s="16">
        <v>2</v>
      </c>
      <c r="AK36" s="17">
        <v>3.1789999999999999E-2</v>
      </c>
      <c r="AL36" s="16">
        <v>2</v>
      </c>
      <c r="AM36" s="17">
        <v>3.1789999999999999E-2</v>
      </c>
      <c r="AN36" s="16">
        <v>5</v>
      </c>
      <c r="AO36" s="17">
        <v>0.10832</v>
      </c>
      <c r="AP36" s="49"/>
      <c r="AQ36" s="49"/>
      <c r="AR36" s="16">
        <v>1</v>
      </c>
      <c r="AS36" s="17">
        <v>6.9100000000000003E-3</v>
      </c>
      <c r="AT36" s="16">
        <v>0</v>
      </c>
      <c r="AU36" s="17">
        <v>0</v>
      </c>
      <c r="AV36" s="16">
        <v>5</v>
      </c>
      <c r="AW36" s="17">
        <v>4.3540000000000002E-2</v>
      </c>
    </row>
    <row r="37" spans="1:51" x14ac:dyDescent="0.2">
      <c r="A37" t="s">
        <v>1</v>
      </c>
      <c r="B37" s="14" t="s">
        <v>69</v>
      </c>
      <c r="C37" s="15" t="s">
        <v>58</v>
      </c>
      <c r="D37" s="16">
        <v>1</v>
      </c>
      <c r="E37" s="17">
        <v>1.346E-2</v>
      </c>
      <c r="F37" s="18">
        <v>0</v>
      </c>
      <c r="G37" s="19">
        <v>0</v>
      </c>
      <c r="H37" s="18">
        <v>0</v>
      </c>
      <c r="I37" s="19">
        <v>0</v>
      </c>
      <c r="J37" s="15"/>
      <c r="K37" s="15"/>
      <c r="L37" s="16">
        <v>0</v>
      </c>
      <c r="M37" s="17">
        <v>0</v>
      </c>
      <c r="N37" s="16">
        <v>0</v>
      </c>
      <c r="O37" s="17">
        <v>0</v>
      </c>
      <c r="P37" s="16">
        <v>0</v>
      </c>
      <c r="Q37" s="17">
        <v>0</v>
      </c>
      <c r="R37" s="49"/>
      <c r="S37" s="49"/>
      <c r="T37" s="16">
        <v>0</v>
      </c>
      <c r="U37" s="17">
        <v>0</v>
      </c>
      <c r="V37" s="16">
        <v>0</v>
      </c>
      <c r="W37" s="17">
        <v>0</v>
      </c>
      <c r="X37" s="16">
        <v>0</v>
      </c>
      <c r="Y37" s="17">
        <v>0</v>
      </c>
      <c r="Z37" s="49"/>
      <c r="AA37" s="49"/>
      <c r="AB37" s="16">
        <v>0</v>
      </c>
      <c r="AC37" s="17">
        <v>0</v>
      </c>
      <c r="AD37" s="16">
        <v>0</v>
      </c>
      <c r="AE37" s="17">
        <v>0</v>
      </c>
      <c r="AF37" s="16">
        <v>0</v>
      </c>
      <c r="AG37" s="17">
        <v>0</v>
      </c>
      <c r="AH37" s="49"/>
      <c r="AI37" s="49"/>
      <c r="AJ37" s="16">
        <v>0</v>
      </c>
      <c r="AK37" s="17">
        <v>0</v>
      </c>
      <c r="AL37" s="16">
        <v>0</v>
      </c>
      <c r="AM37" s="17">
        <v>0</v>
      </c>
      <c r="AN37" s="16">
        <v>0</v>
      </c>
      <c r="AO37" s="17">
        <v>0</v>
      </c>
      <c r="AP37" s="49"/>
      <c r="AQ37" s="49"/>
      <c r="AR37" s="16">
        <v>0</v>
      </c>
      <c r="AS37" s="17">
        <v>0</v>
      </c>
      <c r="AT37" s="16">
        <v>0</v>
      </c>
      <c r="AU37" s="17">
        <v>0</v>
      </c>
      <c r="AV37" s="16">
        <v>0</v>
      </c>
      <c r="AW37" s="17">
        <v>0</v>
      </c>
    </row>
    <row r="38" spans="1:51" x14ac:dyDescent="0.2">
      <c r="A38" t="s">
        <v>1</v>
      </c>
      <c r="B38" s="14" t="s">
        <v>70</v>
      </c>
      <c r="C38" s="15" t="s">
        <v>44</v>
      </c>
      <c r="D38" s="16">
        <v>0</v>
      </c>
      <c r="E38" s="17">
        <v>0</v>
      </c>
      <c r="F38" s="18">
        <v>0</v>
      </c>
      <c r="G38" s="19">
        <v>0</v>
      </c>
      <c r="H38" s="18">
        <v>0</v>
      </c>
      <c r="I38" s="19">
        <v>0</v>
      </c>
      <c r="J38" s="15"/>
      <c r="K38" s="15"/>
      <c r="L38" s="16">
        <v>0</v>
      </c>
      <c r="M38" s="17">
        <v>0</v>
      </c>
      <c r="N38" s="16">
        <v>0</v>
      </c>
      <c r="O38" s="17">
        <v>0</v>
      </c>
      <c r="P38" s="16">
        <v>1</v>
      </c>
      <c r="Q38" s="17">
        <v>9.178E-2</v>
      </c>
      <c r="R38" s="49"/>
      <c r="S38" s="49"/>
      <c r="T38" s="16">
        <v>2</v>
      </c>
      <c r="U38" s="17">
        <v>0.15115999999999999</v>
      </c>
      <c r="V38" s="16">
        <v>0</v>
      </c>
      <c r="W38" s="17">
        <v>0</v>
      </c>
      <c r="X38" s="16">
        <v>0</v>
      </c>
      <c r="Y38" s="17">
        <v>0</v>
      </c>
      <c r="Z38" s="49"/>
      <c r="AA38" s="49"/>
      <c r="AB38" s="16">
        <v>0</v>
      </c>
      <c r="AC38" s="17">
        <v>0</v>
      </c>
      <c r="AD38" s="16">
        <v>0</v>
      </c>
      <c r="AE38" s="17">
        <v>0</v>
      </c>
      <c r="AF38" s="16">
        <v>0</v>
      </c>
      <c r="AG38" s="17">
        <v>0</v>
      </c>
      <c r="AH38" s="49"/>
      <c r="AI38" s="49"/>
      <c r="AJ38" s="16">
        <v>2</v>
      </c>
      <c r="AK38" s="17">
        <v>0.12456</v>
      </c>
      <c r="AL38" s="16">
        <v>0</v>
      </c>
      <c r="AM38" s="17">
        <v>0</v>
      </c>
      <c r="AN38" s="16">
        <v>0</v>
      </c>
      <c r="AO38" s="17">
        <v>0</v>
      </c>
      <c r="AP38" s="49"/>
      <c r="AQ38" s="49"/>
      <c r="AR38" s="16">
        <v>0</v>
      </c>
      <c r="AS38" s="17">
        <v>0</v>
      </c>
      <c r="AT38" s="16">
        <v>0</v>
      </c>
      <c r="AU38" s="17">
        <v>0</v>
      </c>
      <c r="AV38" s="16">
        <v>0</v>
      </c>
      <c r="AW38" s="17">
        <v>0</v>
      </c>
    </row>
    <row r="39" spans="1:51" x14ac:dyDescent="0.2">
      <c r="A39" t="s">
        <v>1</v>
      </c>
      <c r="B39" s="14" t="s">
        <v>71</v>
      </c>
      <c r="C39" s="15" t="s">
        <v>60</v>
      </c>
      <c r="D39" s="16">
        <v>0</v>
      </c>
      <c r="E39" s="17">
        <v>0</v>
      </c>
      <c r="F39" s="18">
        <v>0</v>
      </c>
      <c r="G39" s="19">
        <v>0</v>
      </c>
      <c r="H39" s="18">
        <v>0</v>
      </c>
      <c r="I39" s="19">
        <v>0</v>
      </c>
      <c r="J39" s="15"/>
      <c r="K39" s="15"/>
      <c r="L39" s="16">
        <v>0</v>
      </c>
      <c r="M39" s="17">
        <v>0</v>
      </c>
      <c r="N39" s="16">
        <v>0</v>
      </c>
      <c r="O39" s="17">
        <v>0</v>
      </c>
      <c r="P39" s="16">
        <v>0</v>
      </c>
      <c r="Q39" s="17">
        <v>0</v>
      </c>
      <c r="R39" s="49"/>
      <c r="S39" s="49"/>
      <c r="T39" s="16">
        <v>0</v>
      </c>
      <c r="U39" s="17">
        <v>0</v>
      </c>
      <c r="V39" s="16">
        <v>0</v>
      </c>
      <c r="W39" s="17">
        <v>0</v>
      </c>
      <c r="X39" s="16">
        <v>0</v>
      </c>
      <c r="Y39" s="17">
        <v>0</v>
      </c>
      <c r="Z39" s="49"/>
      <c r="AA39" s="49"/>
      <c r="AB39" s="16">
        <v>0</v>
      </c>
      <c r="AC39" s="17">
        <v>0</v>
      </c>
      <c r="AD39" s="16">
        <v>0</v>
      </c>
      <c r="AE39" s="17">
        <v>0</v>
      </c>
      <c r="AF39" s="16">
        <v>2</v>
      </c>
      <c r="AG39" s="17">
        <v>3.1300000000000001E-2</v>
      </c>
      <c r="AH39" s="49"/>
      <c r="AI39" s="49"/>
      <c r="AJ39" s="16">
        <v>0</v>
      </c>
      <c r="AK39" s="17">
        <v>0</v>
      </c>
      <c r="AL39" s="16">
        <v>0</v>
      </c>
      <c r="AM39" s="17">
        <v>0</v>
      </c>
      <c r="AN39" s="16">
        <v>0</v>
      </c>
      <c r="AO39" s="17">
        <v>0</v>
      </c>
      <c r="AP39" s="49"/>
      <c r="AQ39" s="49"/>
      <c r="AR39" s="16">
        <v>0</v>
      </c>
      <c r="AS39" s="17">
        <v>0</v>
      </c>
      <c r="AT39" s="16">
        <v>0</v>
      </c>
      <c r="AU39" s="17">
        <v>0</v>
      </c>
      <c r="AV39" s="16">
        <v>0</v>
      </c>
      <c r="AW39" s="17">
        <v>0</v>
      </c>
    </row>
    <row r="40" spans="1:51" x14ac:dyDescent="0.2">
      <c r="A40" t="s">
        <v>1</v>
      </c>
      <c r="B40" s="14" t="s">
        <v>72</v>
      </c>
      <c r="C40" s="15" t="s">
        <v>58</v>
      </c>
      <c r="D40" s="16">
        <v>0</v>
      </c>
      <c r="E40" s="17">
        <v>0</v>
      </c>
      <c r="F40" s="18">
        <v>2</v>
      </c>
      <c r="G40" s="19">
        <v>5.9200000000000003E-2</v>
      </c>
      <c r="H40" s="18">
        <v>0</v>
      </c>
      <c r="I40" s="19">
        <v>0</v>
      </c>
      <c r="J40" s="15"/>
      <c r="K40" s="15"/>
      <c r="L40" s="16">
        <v>0</v>
      </c>
      <c r="M40" s="17">
        <v>0</v>
      </c>
      <c r="N40" s="16">
        <v>0</v>
      </c>
      <c r="O40" s="17">
        <v>0</v>
      </c>
      <c r="P40" s="16">
        <v>0</v>
      </c>
      <c r="Q40" s="17">
        <v>0</v>
      </c>
      <c r="R40" s="49"/>
      <c r="S40" s="49"/>
      <c r="T40" s="16">
        <v>0</v>
      </c>
      <c r="U40" s="17">
        <v>0</v>
      </c>
      <c r="V40" s="16">
        <v>0</v>
      </c>
      <c r="W40" s="17">
        <v>0</v>
      </c>
      <c r="X40" s="16">
        <v>0</v>
      </c>
      <c r="Y40" s="17">
        <v>0</v>
      </c>
      <c r="Z40" s="49"/>
      <c r="AA40" s="49"/>
      <c r="AB40" s="16">
        <v>0</v>
      </c>
      <c r="AC40" s="17">
        <v>0</v>
      </c>
      <c r="AD40" s="16">
        <v>0</v>
      </c>
      <c r="AE40" s="17">
        <v>0</v>
      </c>
      <c r="AF40" s="16">
        <v>1</v>
      </c>
      <c r="AG40" s="17">
        <v>2.9600000000000001E-2</v>
      </c>
      <c r="AH40" s="49"/>
      <c r="AI40" s="49"/>
      <c r="AJ40" s="16">
        <v>0</v>
      </c>
      <c r="AK40" s="17">
        <v>0</v>
      </c>
      <c r="AL40" s="16">
        <v>5</v>
      </c>
      <c r="AM40" s="17">
        <v>7.8409999999999994E-2</v>
      </c>
      <c r="AN40" s="16">
        <v>0</v>
      </c>
      <c r="AO40" s="17">
        <v>0</v>
      </c>
      <c r="AP40" s="49"/>
      <c r="AQ40" s="49"/>
      <c r="AR40" s="16">
        <v>0</v>
      </c>
      <c r="AS40" s="17">
        <v>0</v>
      </c>
      <c r="AT40" s="16">
        <v>0</v>
      </c>
      <c r="AU40" s="17">
        <v>0</v>
      </c>
      <c r="AV40" s="16">
        <v>0</v>
      </c>
      <c r="AW40" s="17">
        <v>0</v>
      </c>
    </row>
    <row r="41" spans="1:51" x14ac:dyDescent="0.2">
      <c r="A41" t="s">
        <v>1</v>
      </c>
      <c r="B41" s="14" t="s">
        <v>73</v>
      </c>
      <c r="C41" s="15" t="s">
        <v>58</v>
      </c>
      <c r="D41" s="16">
        <v>4</v>
      </c>
      <c r="E41" s="17">
        <v>0.19896</v>
      </c>
      <c r="F41" s="18">
        <v>0</v>
      </c>
      <c r="G41" s="19">
        <v>0</v>
      </c>
      <c r="H41" s="18">
        <v>2</v>
      </c>
      <c r="I41" s="19">
        <v>9.9479999999999999E-2</v>
      </c>
      <c r="J41" s="15"/>
      <c r="K41" s="15"/>
      <c r="L41" s="16">
        <v>0</v>
      </c>
      <c r="M41" s="17">
        <v>0</v>
      </c>
      <c r="N41" s="16">
        <v>0</v>
      </c>
      <c r="O41" s="17">
        <v>0</v>
      </c>
      <c r="P41" s="16">
        <v>0</v>
      </c>
      <c r="Q41" s="17">
        <v>0</v>
      </c>
      <c r="R41" s="49"/>
      <c r="S41" s="49"/>
      <c r="T41" s="16">
        <v>0</v>
      </c>
      <c r="U41" s="17">
        <v>0</v>
      </c>
      <c r="V41" s="16">
        <v>0</v>
      </c>
      <c r="W41" s="17">
        <v>0</v>
      </c>
      <c r="X41" s="16">
        <v>0</v>
      </c>
      <c r="Y41" s="17">
        <v>0</v>
      </c>
      <c r="Z41" s="49"/>
      <c r="AA41" s="49"/>
      <c r="AB41" s="16">
        <v>0</v>
      </c>
      <c r="AC41" s="17">
        <v>0</v>
      </c>
      <c r="AD41" s="16">
        <v>0</v>
      </c>
      <c r="AE41" s="17">
        <v>0</v>
      </c>
      <c r="AF41" s="16">
        <v>0</v>
      </c>
      <c r="AG41" s="17">
        <v>0</v>
      </c>
      <c r="AH41" s="49"/>
      <c r="AI41" s="49"/>
      <c r="AJ41" s="16">
        <v>2</v>
      </c>
      <c r="AK41" s="17">
        <v>0.15429000000000001</v>
      </c>
      <c r="AL41" s="16">
        <v>0</v>
      </c>
      <c r="AM41" s="17">
        <v>0</v>
      </c>
      <c r="AN41" s="16">
        <v>5</v>
      </c>
      <c r="AO41" s="17">
        <v>0.38573000000000002</v>
      </c>
      <c r="AP41" s="49"/>
      <c r="AQ41" s="49"/>
      <c r="AR41" s="16">
        <v>0</v>
      </c>
      <c r="AS41" s="17">
        <v>0</v>
      </c>
      <c r="AT41" s="16">
        <v>0</v>
      </c>
      <c r="AU41" s="17">
        <v>0</v>
      </c>
      <c r="AV41" s="16">
        <v>0</v>
      </c>
      <c r="AW41" s="17">
        <v>0</v>
      </c>
    </row>
    <row r="42" spans="1:51" x14ac:dyDescent="0.2">
      <c r="A42" t="s">
        <v>1</v>
      </c>
      <c r="B42" s="14" t="s">
        <v>74</v>
      </c>
      <c r="C42" s="15" t="s">
        <v>36</v>
      </c>
      <c r="D42" s="16">
        <v>0</v>
      </c>
      <c r="E42" s="17">
        <v>0</v>
      </c>
      <c r="F42" s="18">
        <v>28</v>
      </c>
      <c r="G42" s="19">
        <v>0.82877999999999996</v>
      </c>
      <c r="H42" s="18">
        <v>1</v>
      </c>
      <c r="I42" s="19">
        <v>1.5679999999999999E-2</v>
      </c>
      <c r="J42" s="15"/>
      <c r="K42" s="15"/>
      <c r="L42" s="16">
        <v>0</v>
      </c>
      <c r="M42" s="17">
        <v>0</v>
      </c>
      <c r="N42" s="16">
        <v>0</v>
      </c>
      <c r="O42" s="17">
        <v>0</v>
      </c>
      <c r="P42" s="16">
        <v>4</v>
      </c>
      <c r="Q42" s="17">
        <v>0.11840000000000001</v>
      </c>
      <c r="R42" s="49"/>
      <c r="S42" s="49"/>
      <c r="T42" s="16">
        <v>1</v>
      </c>
      <c r="U42" s="17">
        <v>2.9600000000000001E-2</v>
      </c>
      <c r="V42" s="16">
        <v>0</v>
      </c>
      <c r="W42" s="17">
        <v>0</v>
      </c>
      <c r="X42" s="16">
        <v>0</v>
      </c>
      <c r="Y42" s="17">
        <v>0</v>
      </c>
      <c r="Z42" s="49"/>
      <c r="AA42" s="49"/>
      <c r="AB42" s="16">
        <v>0</v>
      </c>
      <c r="AC42" s="17">
        <v>0</v>
      </c>
      <c r="AD42" s="16">
        <v>0</v>
      </c>
      <c r="AE42" s="17">
        <v>0</v>
      </c>
      <c r="AF42" s="16">
        <v>0</v>
      </c>
      <c r="AG42" s="17">
        <v>0</v>
      </c>
      <c r="AH42" s="49"/>
      <c r="AI42" s="49"/>
      <c r="AJ42" s="16">
        <v>0</v>
      </c>
      <c r="AK42" s="17">
        <v>0</v>
      </c>
      <c r="AL42" s="16">
        <v>0</v>
      </c>
      <c r="AM42" s="17">
        <v>0</v>
      </c>
      <c r="AN42" s="16">
        <v>1</v>
      </c>
      <c r="AO42" s="17">
        <v>2.9600000000000001E-2</v>
      </c>
      <c r="AP42" s="49"/>
      <c r="AQ42" s="49"/>
      <c r="AR42" s="16">
        <v>0</v>
      </c>
      <c r="AS42" s="17">
        <v>0</v>
      </c>
      <c r="AT42" s="16">
        <v>0</v>
      </c>
      <c r="AU42" s="17">
        <v>0</v>
      </c>
      <c r="AV42" s="16">
        <v>0</v>
      </c>
      <c r="AW42" s="17">
        <v>0</v>
      </c>
    </row>
    <row r="43" spans="1:51" x14ac:dyDescent="0.2">
      <c r="A43" t="s">
        <v>1</v>
      </c>
      <c r="B43" s="14" t="s">
        <v>75</v>
      </c>
      <c r="C43" s="15" t="s">
        <v>58</v>
      </c>
      <c r="D43" s="16">
        <v>0</v>
      </c>
      <c r="E43" s="17">
        <v>0</v>
      </c>
      <c r="F43" s="18">
        <v>0</v>
      </c>
      <c r="G43" s="19">
        <v>0</v>
      </c>
      <c r="H43" s="18">
        <v>0</v>
      </c>
      <c r="I43" s="19">
        <v>0</v>
      </c>
      <c r="J43" s="15"/>
      <c r="K43" s="15"/>
      <c r="L43" s="16">
        <v>0</v>
      </c>
      <c r="M43" s="17">
        <v>0</v>
      </c>
      <c r="N43" s="16">
        <v>0</v>
      </c>
      <c r="O43" s="17">
        <v>0</v>
      </c>
      <c r="P43" s="16">
        <v>0</v>
      </c>
      <c r="Q43" s="17">
        <v>0</v>
      </c>
      <c r="R43" s="49"/>
      <c r="S43" s="49"/>
      <c r="T43" s="16">
        <v>0</v>
      </c>
      <c r="U43" s="17">
        <v>0</v>
      </c>
      <c r="V43" s="16">
        <v>0</v>
      </c>
      <c r="W43" s="17">
        <v>0</v>
      </c>
      <c r="X43" s="16">
        <v>0</v>
      </c>
      <c r="Y43" s="17">
        <v>0</v>
      </c>
      <c r="Z43" s="49"/>
      <c r="AA43" s="49"/>
      <c r="AB43" s="16">
        <v>0</v>
      </c>
      <c r="AC43" s="17">
        <v>0</v>
      </c>
      <c r="AD43" s="16">
        <v>0</v>
      </c>
      <c r="AE43" s="17">
        <v>0</v>
      </c>
      <c r="AF43" s="16">
        <v>0</v>
      </c>
      <c r="AG43" s="17">
        <v>0</v>
      </c>
      <c r="AH43" s="49"/>
      <c r="AI43" s="49"/>
      <c r="AJ43" s="16">
        <v>0</v>
      </c>
      <c r="AK43" s="17">
        <v>0</v>
      </c>
      <c r="AL43" s="16">
        <v>0</v>
      </c>
      <c r="AM43" s="17">
        <v>0</v>
      </c>
      <c r="AN43" s="16">
        <v>0</v>
      </c>
      <c r="AO43" s="17">
        <v>0</v>
      </c>
      <c r="AP43" s="49"/>
      <c r="AQ43" s="49"/>
      <c r="AR43" s="16">
        <v>0</v>
      </c>
      <c r="AS43" s="17">
        <v>0</v>
      </c>
      <c r="AT43" s="16">
        <v>0</v>
      </c>
      <c r="AU43" s="17">
        <v>0</v>
      </c>
      <c r="AV43" s="16">
        <v>0</v>
      </c>
      <c r="AW43" s="17">
        <v>0</v>
      </c>
    </row>
    <row r="44" spans="1:51" x14ac:dyDescent="0.2">
      <c r="A44" t="s">
        <v>1</v>
      </c>
      <c r="B44" s="14" t="s">
        <v>76</v>
      </c>
      <c r="C44" s="15" t="s">
        <v>58</v>
      </c>
      <c r="D44" s="16">
        <v>0</v>
      </c>
      <c r="E44" s="17">
        <v>0</v>
      </c>
      <c r="F44" s="18">
        <v>0</v>
      </c>
      <c r="G44" s="19">
        <v>0</v>
      </c>
      <c r="H44" s="18">
        <v>0</v>
      </c>
      <c r="I44" s="19">
        <v>0</v>
      </c>
      <c r="J44" s="15"/>
      <c r="K44" s="15"/>
      <c r="L44" s="16">
        <v>0</v>
      </c>
      <c r="M44" s="17">
        <v>0</v>
      </c>
      <c r="N44" s="16">
        <v>0</v>
      </c>
      <c r="O44" s="17">
        <v>0</v>
      </c>
      <c r="P44" s="16">
        <v>0</v>
      </c>
      <c r="Q44" s="17">
        <v>0</v>
      </c>
      <c r="R44" s="49"/>
      <c r="S44" s="49"/>
      <c r="T44" s="16">
        <v>0</v>
      </c>
      <c r="U44" s="17">
        <v>0</v>
      </c>
      <c r="V44" s="16">
        <v>0</v>
      </c>
      <c r="W44" s="17">
        <v>0</v>
      </c>
      <c r="X44" s="16">
        <v>0</v>
      </c>
      <c r="Y44" s="17">
        <v>0</v>
      </c>
      <c r="Z44" s="49"/>
      <c r="AA44" s="49"/>
      <c r="AB44" s="16">
        <v>0</v>
      </c>
      <c r="AC44" s="17">
        <v>0</v>
      </c>
      <c r="AD44" s="16">
        <v>0</v>
      </c>
      <c r="AE44" s="17">
        <v>0</v>
      </c>
      <c r="AF44" s="16">
        <v>0</v>
      </c>
      <c r="AG44" s="17">
        <v>0</v>
      </c>
      <c r="AH44" s="49"/>
      <c r="AI44" s="49"/>
      <c r="AJ44" s="16">
        <v>0</v>
      </c>
      <c r="AK44" s="17">
        <v>0</v>
      </c>
      <c r="AL44" s="16">
        <v>0</v>
      </c>
      <c r="AM44" s="17">
        <v>0</v>
      </c>
      <c r="AN44" s="16">
        <v>0</v>
      </c>
      <c r="AO44" s="17">
        <v>0</v>
      </c>
      <c r="AP44" s="49"/>
      <c r="AQ44" s="49"/>
      <c r="AR44" s="16">
        <v>0</v>
      </c>
      <c r="AS44" s="17">
        <v>0</v>
      </c>
      <c r="AT44" s="16">
        <v>0</v>
      </c>
      <c r="AU44" s="17">
        <v>0</v>
      </c>
      <c r="AV44" s="16">
        <v>0</v>
      </c>
      <c r="AW44" s="17">
        <v>0</v>
      </c>
    </row>
    <row r="45" spans="1:51" s="55" customFormat="1" x14ac:dyDescent="0.2">
      <c r="A45" s="55" t="s">
        <v>1</v>
      </c>
      <c r="B45" s="56"/>
      <c r="C45" s="57"/>
      <c r="D45" s="58">
        <f>SUM(D27:D44)</f>
        <v>17</v>
      </c>
      <c r="E45" s="58">
        <f t="shared" ref="E45:AW45" si="1">SUM(E27:E44)</f>
        <v>0.42774999999999996</v>
      </c>
      <c r="F45" s="58">
        <f t="shared" si="1"/>
        <v>37</v>
      </c>
      <c r="G45" s="58">
        <f t="shared" si="1"/>
        <v>1.058235</v>
      </c>
      <c r="H45" s="58">
        <f t="shared" si="1"/>
        <v>16</v>
      </c>
      <c r="I45" s="58">
        <f t="shared" si="1"/>
        <v>1.0425099999999998</v>
      </c>
      <c r="J45" s="58">
        <f>AVERAGE(D45,F45,H45)</f>
        <v>23.333333333333332</v>
      </c>
      <c r="K45" s="58">
        <f>AVERAGE(E45,G45,I45)</f>
        <v>0.84283166666666653</v>
      </c>
      <c r="L45" s="58">
        <f t="shared" si="1"/>
        <v>6</v>
      </c>
      <c r="M45" s="58">
        <f t="shared" si="1"/>
        <v>0.20926999999999996</v>
      </c>
      <c r="N45" s="58">
        <f t="shared" si="1"/>
        <v>15</v>
      </c>
      <c r="O45" s="58">
        <f t="shared" si="1"/>
        <v>0.42476999999999998</v>
      </c>
      <c r="P45" s="58">
        <f t="shared" si="1"/>
        <v>30</v>
      </c>
      <c r="Q45" s="58">
        <f t="shared" si="1"/>
        <v>0.73617999999999983</v>
      </c>
      <c r="R45" s="58">
        <f>AVERAGE(L45,N45,P45)</f>
        <v>17</v>
      </c>
      <c r="S45" s="58">
        <f>AVERAGE(M45,O45,Q45)</f>
        <v>0.45673999999999992</v>
      </c>
      <c r="T45" s="58">
        <f t="shared" si="1"/>
        <v>16</v>
      </c>
      <c r="U45" s="58">
        <f t="shared" si="1"/>
        <v>0.75131999999999988</v>
      </c>
      <c r="V45" s="58">
        <f t="shared" si="1"/>
        <v>9</v>
      </c>
      <c r="W45" s="58">
        <f t="shared" si="1"/>
        <v>0.19983000000000001</v>
      </c>
      <c r="X45" s="58">
        <f t="shared" si="1"/>
        <v>18</v>
      </c>
      <c r="Y45" s="58">
        <f t="shared" si="1"/>
        <v>0.55911</v>
      </c>
      <c r="Z45" s="58">
        <f>AVERAGE(T45,V45,X45)</f>
        <v>14.333333333333334</v>
      </c>
      <c r="AA45" s="58">
        <f>AVERAGE(U45,W45,Y45)</f>
        <v>0.50341999999999998</v>
      </c>
      <c r="AB45" s="58">
        <f t="shared" si="1"/>
        <v>9</v>
      </c>
      <c r="AC45" s="58">
        <f t="shared" si="1"/>
        <v>0.19786999999999999</v>
      </c>
      <c r="AD45" s="58">
        <f t="shared" si="1"/>
        <v>2</v>
      </c>
      <c r="AE45" s="58">
        <f t="shared" si="1"/>
        <v>6.1530000000000001E-2</v>
      </c>
      <c r="AF45" s="58">
        <f t="shared" si="1"/>
        <v>11</v>
      </c>
      <c r="AG45" s="58">
        <f t="shared" si="1"/>
        <v>0.29876000000000003</v>
      </c>
      <c r="AH45" s="58">
        <f>AVERAGE(AB45,AD45,AF45)</f>
        <v>7.333333333333333</v>
      </c>
      <c r="AI45" s="58">
        <f>AVERAGE(AC45,AE45,AG45)</f>
        <v>0.18605333333333332</v>
      </c>
      <c r="AJ45" s="58">
        <f t="shared" si="1"/>
        <v>14</v>
      </c>
      <c r="AK45" s="58">
        <f t="shared" si="1"/>
        <v>0.64970000000000006</v>
      </c>
      <c r="AL45" s="58">
        <f t="shared" si="1"/>
        <v>17</v>
      </c>
      <c r="AM45" s="58">
        <f t="shared" si="1"/>
        <v>0.38830999999999999</v>
      </c>
      <c r="AN45" s="58">
        <f t="shared" si="1"/>
        <v>24</v>
      </c>
      <c r="AO45" s="58">
        <f t="shared" si="1"/>
        <v>0.96341999999999994</v>
      </c>
      <c r="AP45" s="58">
        <f>AVERAGE(AJ45,AL45,AN45)</f>
        <v>18.333333333333332</v>
      </c>
      <c r="AQ45" s="58">
        <f>AVERAGE(AK45,AM45,AO45)</f>
        <v>0.66714333333333331</v>
      </c>
      <c r="AR45" s="58">
        <f t="shared" si="1"/>
        <v>7</v>
      </c>
      <c r="AS45" s="58">
        <f t="shared" si="1"/>
        <v>8.7160000000000001E-2</v>
      </c>
      <c r="AT45" s="58">
        <f t="shared" si="1"/>
        <v>9</v>
      </c>
      <c r="AU45" s="58">
        <f t="shared" si="1"/>
        <v>0.16466</v>
      </c>
      <c r="AV45" s="58">
        <f t="shared" si="1"/>
        <v>9</v>
      </c>
      <c r="AW45" s="58">
        <f t="shared" si="1"/>
        <v>0.10997999999999999</v>
      </c>
      <c r="AX45" s="58">
        <f>AVERAGE(AR45,AT45,AV45)</f>
        <v>8.3333333333333339</v>
      </c>
      <c r="AY45" s="58">
        <f>AVERAGE(AS45,AU45,AW45)</f>
        <v>0.1206</v>
      </c>
    </row>
    <row r="46" spans="1:51" x14ac:dyDescent="0.2">
      <c r="A46" t="s">
        <v>2</v>
      </c>
      <c r="B46" s="14" t="s">
        <v>77</v>
      </c>
      <c r="C46" s="15" t="s">
        <v>78</v>
      </c>
      <c r="D46" s="16">
        <v>0</v>
      </c>
      <c r="E46" s="17">
        <v>0</v>
      </c>
      <c r="F46" s="18">
        <v>0</v>
      </c>
      <c r="G46" s="19">
        <v>0</v>
      </c>
      <c r="H46" s="18">
        <v>0</v>
      </c>
      <c r="I46" s="19">
        <v>0</v>
      </c>
      <c r="J46" s="15"/>
      <c r="K46" s="15"/>
      <c r="L46" s="16">
        <v>1</v>
      </c>
      <c r="M46" s="17">
        <v>0.10378999999999999</v>
      </c>
      <c r="N46" s="16">
        <v>1</v>
      </c>
      <c r="O46" s="17">
        <v>1.65472</v>
      </c>
      <c r="P46" s="16">
        <v>0</v>
      </c>
      <c r="Q46" s="17">
        <v>0</v>
      </c>
      <c r="R46" s="49"/>
      <c r="S46" s="49"/>
      <c r="T46" s="16">
        <v>1</v>
      </c>
      <c r="U46" s="17">
        <v>0.77427000000000001</v>
      </c>
      <c r="V46" s="16">
        <v>0</v>
      </c>
      <c r="W46" s="17">
        <v>0</v>
      </c>
      <c r="X46" s="16">
        <v>1</v>
      </c>
      <c r="Y46" s="17">
        <v>0.14269999999999999</v>
      </c>
      <c r="Z46" s="49"/>
      <c r="AA46" s="49"/>
      <c r="AB46" s="16">
        <v>0</v>
      </c>
      <c r="AC46" s="17">
        <v>0</v>
      </c>
      <c r="AD46" s="16">
        <v>0</v>
      </c>
      <c r="AE46" s="17">
        <v>0</v>
      </c>
      <c r="AF46" s="16">
        <v>0</v>
      </c>
      <c r="AG46" s="17">
        <v>0</v>
      </c>
      <c r="AH46" s="49"/>
      <c r="AI46" s="49"/>
      <c r="AJ46" s="16">
        <v>1</v>
      </c>
      <c r="AK46" s="17">
        <v>0.14269999999999999</v>
      </c>
      <c r="AL46" s="16">
        <v>1</v>
      </c>
      <c r="AM46" s="17">
        <v>0.28009000000000001</v>
      </c>
      <c r="AN46" s="16">
        <v>0</v>
      </c>
      <c r="AO46" s="17">
        <v>0</v>
      </c>
      <c r="AP46" s="49"/>
      <c r="AQ46" s="49"/>
      <c r="AR46" s="16">
        <v>0</v>
      </c>
      <c r="AS46" s="17">
        <v>0</v>
      </c>
      <c r="AT46" s="16">
        <v>0</v>
      </c>
      <c r="AU46" s="17">
        <v>0</v>
      </c>
      <c r="AV46" s="16">
        <v>0</v>
      </c>
      <c r="AW46" s="17">
        <v>0</v>
      </c>
    </row>
    <row r="47" spans="1:51" x14ac:dyDescent="0.2">
      <c r="A47" t="s">
        <v>2</v>
      </c>
      <c r="B47" s="14" t="s">
        <v>79</v>
      </c>
      <c r="C47" s="15" t="s">
        <v>78</v>
      </c>
      <c r="D47" s="16">
        <v>0</v>
      </c>
      <c r="E47" s="17">
        <v>0</v>
      </c>
      <c r="F47" s="18">
        <v>1</v>
      </c>
      <c r="G47" s="19">
        <v>0.96665999999999996</v>
      </c>
      <c r="H47" s="18">
        <v>0</v>
      </c>
      <c r="I47" s="19">
        <v>0</v>
      </c>
      <c r="J47" s="15"/>
      <c r="K47" s="15"/>
      <c r="L47" s="16">
        <v>0</v>
      </c>
      <c r="M47" s="17">
        <v>0</v>
      </c>
      <c r="N47" s="16">
        <v>1</v>
      </c>
      <c r="O47" s="17">
        <v>0.24898999999999999</v>
      </c>
      <c r="P47" s="16">
        <v>0</v>
      </c>
      <c r="Q47" s="17">
        <v>0</v>
      </c>
      <c r="R47" s="49"/>
      <c r="S47" s="49"/>
      <c r="T47" s="16">
        <v>0</v>
      </c>
      <c r="U47" s="17">
        <v>0</v>
      </c>
      <c r="V47" s="16">
        <v>1</v>
      </c>
      <c r="W47" s="17">
        <v>0.96665999999999996</v>
      </c>
      <c r="X47" s="16">
        <v>0</v>
      </c>
      <c r="Y47" s="17">
        <v>0</v>
      </c>
      <c r="Z47" s="49"/>
      <c r="AA47" s="49"/>
      <c r="AB47" s="16">
        <v>0</v>
      </c>
      <c r="AC47" s="17">
        <v>0</v>
      </c>
      <c r="AD47" s="16">
        <v>0</v>
      </c>
      <c r="AE47" s="17">
        <v>0</v>
      </c>
      <c r="AF47" s="16">
        <v>0</v>
      </c>
      <c r="AG47" s="17">
        <v>0</v>
      </c>
      <c r="AH47" s="49"/>
      <c r="AI47" s="49"/>
      <c r="AJ47" s="16">
        <v>1</v>
      </c>
      <c r="AK47" s="17">
        <v>0.24898999999999999</v>
      </c>
      <c r="AL47" s="16">
        <v>2</v>
      </c>
      <c r="AM47" s="17">
        <v>3.6811600000000002</v>
      </c>
      <c r="AN47" s="16">
        <v>0</v>
      </c>
      <c r="AO47" s="17">
        <v>0</v>
      </c>
      <c r="AP47" s="49"/>
      <c r="AQ47" s="49"/>
      <c r="AR47" s="16">
        <v>0</v>
      </c>
      <c r="AS47" s="17">
        <v>0</v>
      </c>
      <c r="AT47" s="16">
        <v>0</v>
      </c>
      <c r="AU47" s="17">
        <v>0</v>
      </c>
      <c r="AV47" s="16">
        <v>0</v>
      </c>
      <c r="AW47" s="17">
        <v>0</v>
      </c>
    </row>
    <row r="48" spans="1:51" x14ac:dyDescent="0.2">
      <c r="A48" t="s">
        <v>2</v>
      </c>
      <c r="B48" s="14" t="s">
        <v>80</v>
      </c>
      <c r="C48" s="15" t="s">
        <v>78</v>
      </c>
      <c r="D48" s="16">
        <v>0</v>
      </c>
      <c r="E48" s="17">
        <v>0</v>
      </c>
      <c r="F48" s="18">
        <v>1</v>
      </c>
      <c r="G48" s="19">
        <v>5.0020000000000002E-2</v>
      </c>
      <c r="H48" s="18">
        <v>1</v>
      </c>
      <c r="I48" s="19">
        <v>0.51480000000000004</v>
      </c>
      <c r="J48" s="15"/>
      <c r="K48" s="15"/>
      <c r="L48" s="16">
        <v>0</v>
      </c>
      <c r="M48" s="17">
        <v>0</v>
      </c>
      <c r="N48" s="16">
        <v>1</v>
      </c>
      <c r="O48" s="17">
        <v>0.82494999999999996</v>
      </c>
      <c r="P48" s="16">
        <v>0</v>
      </c>
      <c r="Q48" s="17">
        <v>0</v>
      </c>
      <c r="R48" s="49"/>
      <c r="S48" s="49"/>
      <c r="T48" s="16">
        <v>1</v>
      </c>
      <c r="U48" s="17">
        <v>0.51480000000000004</v>
      </c>
      <c r="V48" s="16">
        <v>0</v>
      </c>
      <c r="W48" s="17">
        <v>0</v>
      </c>
      <c r="X48" s="16">
        <v>0</v>
      </c>
      <c r="Y48" s="17">
        <v>0</v>
      </c>
      <c r="Z48" s="49"/>
      <c r="AA48" s="49"/>
      <c r="AB48" s="16">
        <v>1</v>
      </c>
      <c r="AC48" s="17">
        <v>1.24116</v>
      </c>
      <c r="AD48" s="16">
        <v>3</v>
      </c>
      <c r="AE48" s="17">
        <v>1.1785300000000001</v>
      </c>
      <c r="AF48" s="16">
        <v>0</v>
      </c>
      <c r="AG48" s="17">
        <v>0</v>
      </c>
      <c r="AH48" s="49"/>
      <c r="AI48" s="49"/>
      <c r="AJ48" s="16">
        <v>2</v>
      </c>
      <c r="AK48" s="17">
        <v>0.44366</v>
      </c>
      <c r="AL48" s="16">
        <v>1</v>
      </c>
      <c r="AM48" s="17">
        <v>5.0020000000000002E-2</v>
      </c>
      <c r="AN48" s="16">
        <v>0</v>
      </c>
      <c r="AO48" s="17">
        <v>0</v>
      </c>
      <c r="AP48" s="49"/>
      <c r="AQ48" s="49"/>
      <c r="AR48" s="16">
        <v>6</v>
      </c>
      <c r="AS48" s="17">
        <v>0.23891999999999999</v>
      </c>
      <c r="AT48" s="16">
        <v>2</v>
      </c>
      <c r="AU48" s="17">
        <v>9.2980000000000007E-2</v>
      </c>
      <c r="AV48" s="16">
        <v>2</v>
      </c>
      <c r="AW48" s="17">
        <v>7.9640000000000002E-2</v>
      </c>
    </row>
    <row r="49" spans="1:51" x14ac:dyDescent="0.2">
      <c r="A49" t="s">
        <v>2</v>
      </c>
      <c r="B49" s="14" t="s">
        <v>81</v>
      </c>
      <c r="C49" s="15" t="s">
        <v>58</v>
      </c>
      <c r="D49" s="16">
        <v>0</v>
      </c>
      <c r="E49" s="17">
        <v>0</v>
      </c>
      <c r="F49" s="18">
        <v>0</v>
      </c>
      <c r="G49" s="19">
        <v>0</v>
      </c>
      <c r="H49" s="18">
        <v>0</v>
      </c>
      <c r="I49" s="19">
        <v>0</v>
      </c>
      <c r="J49" s="15"/>
      <c r="K49" s="15"/>
      <c r="L49" s="16">
        <v>0</v>
      </c>
      <c r="M49" s="17">
        <v>0</v>
      </c>
      <c r="N49" s="16">
        <v>0</v>
      </c>
      <c r="O49" s="17">
        <v>0</v>
      </c>
      <c r="P49" s="16">
        <v>0</v>
      </c>
      <c r="Q49" s="17">
        <v>0</v>
      </c>
      <c r="R49" s="49"/>
      <c r="S49" s="49"/>
      <c r="T49" s="16">
        <v>1</v>
      </c>
      <c r="U49" s="17">
        <v>0.52148000000000005</v>
      </c>
      <c r="V49" s="16">
        <v>0</v>
      </c>
      <c r="W49" s="17">
        <v>0</v>
      </c>
      <c r="X49" s="16">
        <v>0</v>
      </c>
      <c r="Y49" s="17">
        <v>0</v>
      </c>
      <c r="Z49" s="49"/>
      <c r="AA49" s="49"/>
      <c r="AB49" s="16">
        <v>0</v>
      </c>
      <c r="AC49" s="17">
        <v>0</v>
      </c>
      <c r="AD49" s="16">
        <v>1</v>
      </c>
      <c r="AE49" s="17">
        <v>0.15615000000000001</v>
      </c>
      <c r="AF49" s="16">
        <v>0</v>
      </c>
      <c r="AG49" s="17">
        <v>0</v>
      </c>
      <c r="AH49" s="49"/>
      <c r="AI49" s="49"/>
      <c r="AJ49" s="16">
        <v>0</v>
      </c>
      <c r="AK49" s="17">
        <v>0</v>
      </c>
      <c r="AL49" s="16">
        <v>0</v>
      </c>
      <c r="AM49" s="17">
        <v>0</v>
      </c>
      <c r="AN49" s="16">
        <v>0</v>
      </c>
      <c r="AO49" s="17">
        <v>0</v>
      </c>
      <c r="AP49" s="49"/>
      <c r="AQ49" s="49"/>
      <c r="AR49" s="16">
        <v>0</v>
      </c>
      <c r="AS49" s="17">
        <v>0</v>
      </c>
      <c r="AT49" s="16">
        <v>0</v>
      </c>
      <c r="AU49" s="17">
        <v>0</v>
      </c>
      <c r="AV49" s="16">
        <v>0</v>
      </c>
      <c r="AW49" s="17">
        <v>0</v>
      </c>
    </row>
    <row r="50" spans="1:51" x14ac:dyDescent="0.2">
      <c r="A50" t="s">
        <v>2</v>
      </c>
      <c r="B50" s="14" t="s">
        <v>82</v>
      </c>
      <c r="C50" s="15" t="s">
        <v>58</v>
      </c>
      <c r="D50" s="16">
        <v>0</v>
      </c>
      <c r="E50" s="17">
        <v>0</v>
      </c>
      <c r="F50" s="18">
        <v>0</v>
      </c>
      <c r="G50" s="19">
        <v>0</v>
      </c>
      <c r="H50" s="18">
        <v>0</v>
      </c>
      <c r="I50" s="19">
        <v>0</v>
      </c>
      <c r="J50" s="15"/>
      <c r="K50" s="15"/>
      <c r="L50" s="16">
        <v>0</v>
      </c>
      <c r="M50" s="17">
        <v>0</v>
      </c>
      <c r="N50" s="16">
        <v>0</v>
      </c>
      <c r="O50" s="17">
        <v>0</v>
      </c>
      <c r="P50" s="16">
        <v>0</v>
      </c>
      <c r="Q50" s="17">
        <v>0</v>
      </c>
      <c r="R50" s="49"/>
      <c r="S50" s="49"/>
      <c r="T50" s="16">
        <v>0</v>
      </c>
      <c r="U50" s="17">
        <v>0</v>
      </c>
      <c r="V50" s="16">
        <v>2</v>
      </c>
      <c r="W50" s="17">
        <v>0.31691000000000003</v>
      </c>
      <c r="X50" s="16">
        <v>0</v>
      </c>
      <c r="Y50" s="17">
        <v>0</v>
      </c>
      <c r="Z50" s="49"/>
      <c r="AA50" s="49"/>
      <c r="AB50" s="16">
        <v>6</v>
      </c>
      <c r="AC50" s="17">
        <v>2.5791499999999998</v>
      </c>
      <c r="AD50" s="16">
        <v>2</v>
      </c>
      <c r="AE50" s="17">
        <v>0.63832</v>
      </c>
      <c r="AF50" s="16">
        <v>2</v>
      </c>
      <c r="AG50" s="17">
        <v>0.19035000000000002</v>
      </c>
      <c r="AH50" s="49"/>
      <c r="AI50" s="49"/>
      <c r="AJ50" s="16">
        <v>0</v>
      </c>
      <c r="AK50" s="17">
        <v>0</v>
      </c>
      <c r="AL50" s="16">
        <v>2</v>
      </c>
      <c r="AM50" s="17">
        <v>0.31691000000000003</v>
      </c>
      <c r="AN50" s="16">
        <v>0</v>
      </c>
      <c r="AO50" s="17">
        <v>0</v>
      </c>
      <c r="AP50" s="49"/>
      <c r="AQ50" s="49"/>
      <c r="AR50" s="16">
        <v>0</v>
      </c>
      <c r="AS50" s="17">
        <v>0</v>
      </c>
      <c r="AT50" s="16">
        <v>0</v>
      </c>
      <c r="AU50" s="17">
        <v>0</v>
      </c>
      <c r="AV50" s="16">
        <v>0</v>
      </c>
      <c r="AW50" s="17">
        <v>0</v>
      </c>
    </row>
    <row r="51" spans="1:51" x14ac:dyDescent="0.2">
      <c r="A51" t="s">
        <v>2</v>
      </c>
      <c r="B51" s="14" t="s">
        <v>83</v>
      </c>
      <c r="C51" s="15" t="s">
        <v>58</v>
      </c>
      <c r="D51" s="16">
        <v>0</v>
      </c>
      <c r="E51" s="17">
        <v>0</v>
      </c>
      <c r="F51" s="18">
        <v>0</v>
      </c>
      <c r="G51" s="19">
        <v>0</v>
      </c>
      <c r="H51" s="18">
        <v>4</v>
      </c>
      <c r="I51" s="19">
        <v>0.14693999999999999</v>
      </c>
      <c r="J51" s="15"/>
      <c r="K51" s="15"/>
      <c r="L51" s="16">
        <v>0</v>
      </c>
      <c r="M51" s="17">
        <v>0</v>
      </c>
      <c r="N51" s="16">
        <v>0</v>
      </c>
      <c r="O51" s="17">
        <v>0</v>
      </c>
      <c r="P51" s="16">
        <v>0</v>
      </c>
      <c r="Q51" s="17">
        <v>0</v>
      </c>
      <c r="R51" s="49"/>
      <c r="S51" s="49"/>
      <c r="T51" s="16">
        <v>0</v>
      </c>
      <c r="U51" s="17">
        <v>0</v>
      </c>
      <c r="V51" s="16">
        <v>0</v>
      </c>
      <c r="W51" s="17">
        <v>0</v>
      </c>
      <c r="X51" s="16">
        <v>0</v>
      </c>
      <c r="Y51" s="17">
        <v>0</v>
      </c>
      <c r="Z51" s="49"/>
      <c r="AA51" s="49"/>
      <c r="AB51" s="16">
        <v>0</v>
      </c>
      <c r="AC51" s="17">
        <v>0</v>
      </c>
      <c r="AD51" s="16">
        <v>0</v>
      </c>
      <c r="AE51" s="17">
        <v>0</v>
      </c>
      <c r="AF51" s="16">
        <v>0</v>
      </c>
      <c r="AG51" s="17">
        <v>0</v>
      </c>
      <c r="AH51" s="49"/>
      <c r="AI51" s="49"/>
      <c r="AJ51" s="16">
        <v>6</v>
      </c>
      <c r="AK51" s="17">
        <v>0.33743000000000001</v>
      </c>
      <c r="AL51" s="16">
        <v>7</v>
      </c>
      <c r="AM51" s="17">
        <v>0.18770999999999999</v>
      </c>
      <c r="AN51" s="16">
        <v>0</v>
      </c>
      <c r="AO51" s="17">
        <v>0</v>
      </c>
      <c r="AP51" s="49"/>
      <c r="AQ51" s="49"/>
      <c r="AR51" s="16">
        <v>30</v>
      </c>
      <c r="AS51" s="17">
        <v>0.80445999999999995</v>
      </c>
      <c r="AT51" s="16">
        <v>30</v>
      </c>
      <c r="AU51" s="17">
        <v>2.9427099999999999</v>
      </c>
      <c r="AV51" s="16">
        <v>0</v>
      </c>
      <c r="AW51" s="17">
        <v>0</v>
      </c>
    </row>
    <row r="52" spans="1:51" x14ac:dyDescent="0.2">
      <c r="A52" t="s">
        <v>2</v>
      </c>
      <c r="B52" s="14" t="s">
        <v>84</v>
      </c>
      <c r="C52" s="15" t="s">
        <v>78</v>
      </c>
      <c r="D52" s="16">
        <v>0</v>
      </c>
      <c r="E52" s="17">
        <v>0</v>
      </c>
      <c r="F52" s="18">
        <v>0</v>
      </c>
      <c r="G52" s="19">
        <v>0</v>
      </c>
      <c r="H52" s="18">
        <v>0</v>
      </c>
      <c r="I52" s="19">
        <v>0</v>
      </c>
      <c r="J52" s="15"/>
      <c r="K52" s="15"/>
      <c r="L52" s="16">
        <v>0</v>
      </c>
      <c r="M52" s="17">
        <v>0</v>
      </c>
      <c r="N52" s="16">
        <v>0</v>
      </c>
      <c r="O52" s="17">
        <v>0</v>
      </c>
      <c r="P52" s="16">
        <v>0</v>
      </c>
      <c r="Q52" s="17">
        <v>0</v>
      </c>
      <c r="R52" s="49"/>
      <c r="S52" s="49"/>
      <c r="T52" s="16">
        <v>0</v>
      </c>
      <c r="U52" s="17">
        <v>0</v>
      </c>
      <c r="V52" s="16">
        <v>0</v>
      </c>
      <c r="W52" s="17">
        <v>0</v>
      </c>
      <c r="X52" s="16">
        <v>0</v>
      </c>
      <c r="Y52" s="17">
        <v>0</v>
      </c>
      <c r="Z52" s="49"/>
      <c r="AA52" s="49"/>
      <c r="AB52" s="16">
        <v>0</v>
      </c>
      <c r="AC52" s="17">
        <v>0</v>
      </c>
      <c r="AD52" s="16">
        <v>0</v>
      </c>
      <c r="AE52" s="17">
        <v>0</v>
      </c>
      <c r="AF52" s="16">
        <v>0</v>
      </c>
      <c r="AG52" s="17">
        <v>0</v>
      </c>
      <c r="AH52" s="49"/>
      <c r="AI52" s="49"/>
      <c r="AJ52" s="16">
        <v>0</v>
      </c>
      <c r="AK52" s="17">
        <v>0</v>
      </c>
      <c r="AL52" s="16">
        <v>0</v>
      </c>
      <c r="AM52" s="17">
        <v>0</v>
      </c>
      <c r="AN52" s="16">
        <v>0</v>
      </c>
      <c r="AO52" s="17">
        <v>0</v>
      </c>
      <c r="AP52" s="49"/>
      <c r="AQ52" s="49"/>
      <c r="AR52" s="16">
        <v>0</v>
      </c>
      <c r="AS52" s="17">
        <v>0</v>
      </c>
      <c r="AT52" s="16">
        <v>0</v>
      </c>
      <c r="AU52" s="17">
        <v>0</v>
      </c>
      <c r="AV52" s="16">
        <v>0</v>
      </c>
      <c r="AW52" s="17">
        <v>0</v>
      </c>
    </row>
    <row r="53" spans="1:51" x14ac:dyDescent="0.2">
      <c r="A53" t="s">
        <v>2</v>
      </c>
      <c r="B53" s="20" t="s">
        <v>85</v>
      </c>
      <c r="C53" s="21" t="s">
        <v>78</v>
      </c>
      <c r="D53" s="16">
        <v>0</v>
      </c>
      <c r="E53" s="17">
        <v>0</v>
      </c>
      <c r="F53" s="22">
        <v>0</v>
      </c>
      <c r="G53" s="23">
        <v>0</v>
      </c>
      <c r="H53" s="22">
        <v>0</v>
      </c>
      <c r="I53" s="23">
        <v>0</v>
      </c>
      <c r="J53" s="21"/>
      <c r="K53" s="21"/>
      <c r="L53" s="16">
        <v>0</v>
      </c>
      <c r="M53" s="17">
        <v>0</v>
      </c>
      <c r="N53" s="16">
        <v>0</v>
      </c>
      <c r="O53" s="17">
        <v>0</v>
      </c>
      <c r="P53" s="16">
        <v>0</v>
      </c>
      <c r="Q53" s="17">
        <v>0</v>
      </c>
      <c r="R53" s="49"/>
      <c r="S53" s="49"/>
      <c r="T53" s="16">
        <v>0</v>
      </c>
      <c r="U53" s="17">
        <v>0</v>
      </c>
      <c r="V53" s="16">
        <v>0</v>
      </c>
      <c r="W53" s="17">
        <v>0</v>
      </c>
      <c r="X53" s="16">
        <v>0</v>
      </c>
      <c r="Y53" s="17">
        <v>0</v>
      </c>
      <c r="Z53" s="49"/>
      <c r="AA53" s="49"/>
      <c r="AB53" s="16">
        <v>1</v>
      </c>
      <c r="AC53" s="17">
        <v>1.4028</v>
      </c>
      <c r="AD53" s="16">
        <v>1</v>
      </c>
      <c r="AE53" s="17">
        <v>2.9035000000000002</v>
      </c>
      <c r="AF53" s="16">
        <v>0</v>
      </c>
      <c r="AG53" s="17">
        <v>0</v>
      </c>
      <c r="AH53" s="49"/>
      <c r="AI53" s="49"/>
      <c r="AJ53" s="16">
        <v>0</v>
      </c>
      <c r="AK53" s="17">
        <v>0</v>
      </c>
      <c r="AL53" s="16">
        <v>0</v>
      </c>
      <c r="AM53" s="17">
        <v>0</v>
      </c>
      <c r="AN53" s="16">
        <v>0</v>
      </c>
      <c r="AO53" s="17">
        <v>0</v>
      </c>
      <c r="AP53" s="49"/>
      <c r="AQ53" s="49"/>
      <c r="AR53" s="16">
        <v>0</v>
      </c>
      <c r="AS53" s="17">
        <v>0</v>
      </c>
      <c r="AT53" s="16">
        <v>0</v>
      </c>
      <c r="AU53" s="17">
        <v>0</v>
      </c>
      <c r="AV53" s="16">
        <v>0</v>
      </c>
      <c r="AW53" s="17">
        <v>0</v>
      </c>
    </row>
    <row r="54" spans="1:51" x14ac:dyDescent="0.2">
      <c r="A54" t="s">
        <v>2</v>
      </c>
      <c r="B54" s="14" t="s">
        <v>86</v>
      </c>
      <c r="C54" s="15" t="s">
        <v>36</v>
      </c>
      <c r="D54" s="16">
        <v>1</v>
      </c>
      <c r="E54" s="17">
        <v>5.9819999999999998E-2</v>
      </c>
      <c r="F54" s="18">
        <v>0</v>
      </c>
      <c r="G54" s="19">
        <v>0</v>
      </c>
      <c r="H54" s="18">
        <v>0</v>
      </c>
      <c r="I54" s="19">
        <v>0</v>
      </c>
      <c r="J54" s="15"/>
      <c r="K54" s="15"/>
      <c r="L54" s="16">
        <v>0</v>
      </c>
      <c r="M54" s="17">
        <v>0</v>
      </c>
      <c r="N54" s="16">
        <v>1</v>
      </c>
      <c r="O54" s="17">
        <v>3.048E-2</v>
      </c>
      <c r="P54" s="16">
        <v>0</v>
      </c>
      <c r="Q54" s="17">
        <v>0</v>
      </c>
      <c r="R54" s="49"/>
      <c r="S54" s="49"/>
      <c r="T54" s="16">
        <v>3</v>
      </c>
      <c r="U54" s="17">
        <v>6.8253500000000003</v>
      </c>
      <c r="V54" s="16">
        <v>2</v>
      </c>
      <c r="W54" s="17">
        <v>0.97187000000000001</v>
      </c>
      <c r="X54" s="16">
        <v>0</v>
      </c>
      <c r="Y54" s="17">
        <v>0</v>
      </c>
      <c r="Z54" s="49"/>
      <c r="AA54" s="49"/>
      <c r="AB54" s="16">
        <v>1</v>
      </c>
      <c r="AC54" s="17">
        <v>0.14269999999999999</v>
      </c>
      <c r="AD54" s="16">
        <v>0</v>
      </c>
      <c r="AE54" s="17">
        <v>0</v>
      </c>
      <c r="AF54" s="16">
        <v>0</v>
      </c>
      <c r="AG54" s="17">
        <v>0</v>
      </c>
      <c r="AH54" s="49"/>
      <c r="AI54" s="49"/>
      <c r="AJ54" s="16">
        <v>0</v>
      </c>
      <c r="AK54" s="17">
        <v>0</v>
      </c>
      <c r="AL54" s="16">
        <v>1</v>
      </c>
      <c r="AM54" s="17">
        <v>6.9419999999999996E-2</v>
      </c>
      <c r="AN54" s="16">
        <v>1</v>
      </c>
      <c r="AO54" s="17">
        <v>7.2709999999999997E-2</v>
      </c>
      <c r="AP54" s="49"/>
      <c r="AQ54" s="49"/>
      <c r="AR54" s="16">
        <v>0</v>
      </c>
      <c r="AS54" s="17">
        <v>0</v>
      </c>
      <c r="AT54" s="16">
        <v>0</v>
      </c>
      <c r="AU54" s="17">
        <v>0</v>
      </c>
      <c r="AV54" s="16">
        <v>0</v>
      </c>
      <c r="AW54" s="17">
        <v>0</v>
      </c>
    </row>
    <row r="55" spans="1:51" s="55" customFormat="1" x14ac:dyDescent="0.2">
      <c r="A55" s="55" t="s">
        <v>2</v>
      </c>
      <c r="B55" s="56"/>
      <c r="C55" s="57"/>
      <c r="D55" s="58">
        <f>SUM(D46:D54)</f>
        <v>1</v>
      </c>
      <c r="E55" s="58">
        <f t="shared" ref="E55:AW55" si="2">SUM(E46:E54)</f>
        <v>5.9819999999999998E-2</v>
      </c>
      <c r="F55" s="58">
        <f t="shared" si="2"/>
        <v>2</v>
      </c>
      <c r="G55" s="58">
        <f t="shared" si="2"/>
        <v>1.01668</v>
      </c>
      <c r="H55" s="58">
        <f t="shared" si="2"/>
        <v>5</v>
      </c>
      <c r="I55" s="58">
        <f t="shared" si="2"/>
        <v>0.66173999999999999</v>
      </c>
      <c r="J55" s="58">
        <f>AVERAGE(D55,F55,H55)</f>
        <v>2.6666666666666665</v>
      </c>
      <c r="K55" s="58">
        <f>AVERAGE(E55,G55,I55)</f>
        <v>0.57941333333333334</v>
      </c>
      <c r="L55" s="58">
        <f t="shared" si="2"/>
        <v>1</v>
      </c>
      <c r="M55" s="58">
        <f t="shared" si="2"/>
        <v>0.10378999999999999</v>
      </c>
      <c r="N55" s="58">
        <f t="shared" si="2"/>
        <v>4</v>
      </c>
      <c r="O55" s="58">
        <f t="shared" si="2"/>
        <v>2.7591399999999999</v>
      </c>
      <c r="P55" s="58">
        <f t="shared" si="2"/>
        <v>0</v>
      </c>
      <c r="Q55" s="58">
        <f t="shared" si="2"/>
        <v>0</v>
      </c>
      <c r="R55" s="58">
        <f>AVERAGE(L55,N55,P55)</f>
        <v>1.6666666666666667</v>
      </c>
      <c r="S55" s="58">
        <f>AVERAGE(M55,O55,Q55)</f>
        <v>0.95430999999999999</v>
      </c>
      <c r="T55" s="58">
        <f t="shared" si="2"/>
        <v>6</v>
      </c>
      <c r="U55" s="58">
        <f t="shared" si="2"/>
        <v>8.6358999999999995</v>
      </c>
      <c r="V55" s="58">
        <f t="shared" si="2"/>
        <v>5</v>
      </c>
      <c r="W55" s="58">
        <f t="shared" si="2"/>
        <v>2.2554400000000001</v>
      </c>
      <c r="X55" s="58">
        <f t="shared" si="2"/>
        <v>1</v>
      </c>
      <c r="Y55" s="58">
        <f t="shared" si="2"/>
        <v>0.14269999999999999</v>
      </c>
      <c r="Z55" s="58">
        <f>AVERAGE(T55,V55,X55)</f>
        <v>4</v>
      </c>
      <c r="AA55" s="58">
        <f>AVERAGE(U55,W55,Y55)</f>
        <v>3.6780133333333329</v>
      </c>
      <c r="AB55" s="58">
        <f t="shared" si="2"/>
        <v>9</v>
      </c>
      <c r="AC55" s="58">
        <f t="shared" si="2"/>
        <v>5.3658099999999997</v>
      </c>
      <c r="AD55" s="58">
        <f t="shared" si="2"/>
        <v>7</v>
      </c>
      <c r="AE55" s="58">
        <f t="shared" si="2"/>
        <v>4.8765000000000001</v>
      </c>
      <c r="AF55" s="58">
        <f t="shared" si="2"/>
        <v>2</v>
      </c>
      <c r="AG55" s="58">
        <f t="shared" si="2"/>
        <v>0.19035000000000002</v>
      </c>
      <c r="AH55" s="58">
        <f>AVERAGE(AB55,AD55,AF55)</f>
        <v>6</v>
      </c>
      <c r="AI55" s="58">
        <f>AVERAGE(AC55,AE55,AG55)</f>
        <v>3.4775533333333333</v>
      </c>
      <c r="AJ55" s="58">
        <f t="shared" si="2"/>
        <v>10</v>
      </c>
      <c r="AK55" s="58">
        <f t="shared" si="2"/>
        <v>1.1727799999999999</v>
      </c>
      <c r="AL55" s="58">
        <f t="shared" si="2"/>
        <v>14</v>
      </c>
      <c r="AM55" s="58">
        <f t="shared" si="2"/>
        <v>4.5853100000000007</v>
      </c>
      <c r="AN55" s="58">
        <f t="shared" si="2"/>
        <v>1</v>
      </c>
      <c r="AO55" s="58">
        <f t="shared" si="2"/>
        <v>7.2709999999999997E-2</v>
      </c>
      <c r="AP55" s="58">
        <f>AVERAGE(AJ55,AL55,AN55)</f>
        <v>8.3333333333333339</v>
      </c>
      <c r="AQ55" s="58">
        <f>AVERAGE(AK55,AM55,AO55)</f>
        <v>1.9436000000000002</v>
      </c>
      <c r="AR55" s="58">
        <f t="shared" si="2"/>
        <v>36</v>
      </c>
      <c r="AS55" s="58">
        <f t="shared" si="2"/>
        <v>1.04338</v>
      </c>
      <c r="AT55" s="58">
        <f t="shared" si="2"/>
        <v>32</v>
      </c>
      <c r="AU55" s="58">
        <f t="shared" si="2"/>
        <v>3.0356899999999998</v>
      </c>
      <c r="AV55" s="58">
        <f t="shared" si="2"/>
        <v>2</v>
      </c>
      <c r="AW55" s="58">
        <f t="shared" si="2"/>
        <v>7.9640000000000002E-2</v>
      </c>
      <c r="AX55" s="58">
        <f>AVERAGE(AR55,AT55,AV55)</f>
        <v>23.333333333333332</v>
      </c>
      <c r="AY55" s="58">
        <f>AVERAGE(AS55,AU55,AW55)</f>
        <v>1.3862366666666668</v>
      </c>
    </row>
    <row r="56" spans="1:51" x14ac:dyDescent="0.2">
      <c r="A56" t="s">
        <v>3</v>
      </c>
      <c r="B56" s="14" t="s">
        <v>87</v>
      </c>
      <c r="C56" s="15" t="s">
        <v>31</v>
      </c>
      <c r="D56" s="16">
        <v>0</v>
      </c>
      <c r="E56" s="17">
        <v>0</v>
      </c>
      <c r="F56" s="18">
        <v>3</v>
      </c>
      <c r="G56" s="19">
        <v>0.20780000000000001</v>
      </c>
      <c r="H56" s="18">
        <v>0</v>
      </c>
      <c r="I56" s="19">
        <v>0</v>
      </c>
      <c r="J56" s="15"/>
      <c r="K56" s="15"/>
      <c r="L56" s="16">
        <v>0</v>
      </c>
      <c r="M56" s="17">
        <v>0</v>
      </c>
      <c r="N56" s="16">
        <v>0</v>
      </c>
      <c r="O56" s="17">
        <v>0</v>
      </c>
      <c r="P56" s="16">
        <v>0</v>
      </c>
      <c r="Q56" s="17">
        <v>0</v>
      </c>
      <c r="R56" s="49"/>
      <c r="S56" s="49"/>
      <c r="T56" s="16">
        <v>0</v>
      </c>
      <c r="U56" s="17">
        <v>0</v>
      </c>
      <c r="V56" s="16">
        <v>0</v>
      </c>
      <c r="W56" s="17">
        <v>0</v>
      </c>
      <c r="X56" s="16">
        <v>1</v>
      </c>
      <c r="Y56" s="17">
        <v>3.569E-2</v>
      </c>
      <c r="Z56" s="49"/>
      <c r="AA56" s="49"/>
      <c r="AB56" s="16">
        <v>0</v>
      </c>
      <c r="AC56" s="17">
        <v>0</v>
      </c>
      <c r="AD56" s="16">
        <v>0</v>
      </c>
      <c r="AE56" s="17">
        <v>0</v>
      </c>
      <c r="AF56" s="16">
        <v>0</v>
      </c>
      <c r="AG56" s="17">
        <v>0</v>
      </c>
      <c r="AH56" s="49"/>
      <c r="AI56" s="49"/>
      <c r="AJ56" s="16">
        <v>0</v>
      </c>
      <c r="AK56" s="17">
        <v>0</v>
      </c>
      <c r="AL56" s="16">
        <v>2</v>
      </c>
      <c r="AM56" s="17">
        <v>0.32563999999999999</v>
      </c>
      <c r="AN56" s="16">
        <v>1</v>
      </c>
      <c r="AO56" s="17">
        <v>0.11906</v>
      </c>
      <c r="AP56" s="49"/>
      <c r="AQ56" s="49"/>
      <c r="AR56" s="16">
        <v>0</v>
      </c>
      <c r="AS56" s="17">
        <v>0</v>
      </c>
      <c r="AT56" s="16">
        <v>0</v>
      </c>
      <c r="AU56" s="17">
        <v>0</v>
      </c>
      <c r="AV56" s="16">
        <v>0</v>
      </c>
      <c r="AW56" s="17">
        <v>0</v>
      </c>
    </row>
    <row r="57" spans="1:51" x14ac:dyDescent="0.2">
      <c r="A57" t="s">
        <v>3</v>
      </c>
      <c r="B57" s="14" t="s">
        <v>88</v>
      </c>
      <c r="C57" s="15" t="s">
        <v>31</v>
      </c>
      <c r="D57" s="16">
        <v>1</v>
      </c>
      <c r="E57" s="17">
        <v>2.077E-2</v>
      </c>
      <c r="F57" s="18">
        <v>0</v>
      </c>
      <c r="G57" s="19">
        <v>0</v>
      </c>
      <c r="H57" s="18">
        <v>1</v>
      </c>
      <c r="I57" s="19">
        <v>3.569E-2</v>
      </c>
      <c r="J57" s="15"/>
      <c r="K57" s="15"/>
      <c r="L57" s="16">
        <v>0</v>
      </c>
      <c r="M57" s="17">
        <v>0</v>
      </c>
      <c r="N57" s="16">
        <v>0</v>
      </c>
      <c r="O57" s="17">
        <v>0</v>
      </c>
      <c r="P57" s="16">
        <v>0</v>
      </c>
      <c r="Q57" s="17">
        <v>0</v>
      </c>
      <c r="R57" s="49"/>
      <c r="S57" s="49"/>
      <c r="T57" s="16">
        <v>0</v>
      </c>
      <c r="U57" s="17">
        <v>0</v>
      </c>
      <c r="V57" s="16">
        <v>0</v>
      </c>
      <c r="W57" s="17">
        <v>0</v>
      </c>
      <c r="X57" s="16">
        <v>0</v>
      </c>
      <c r="Y57" s="17">
        <v>0</v>
      </c>
      <c r="Z57" s="49"/>
      <c r="AA57" s="49"/>
      <c r="AB57" s="16">
        <v>0</v>
      </c>
      <c r="AC57" s="17">
        <v>0</v>
      </c>
      <c r="AD57" s="16">
        <v>0</v>
      </c>
      <c r="AE57" s="17">
        <v>0</v>
      </c>
      <c r="AF57" s="16">
        <v>0</v>
      </c>
      <c r="AG57" s="17">
        <v>0</v>
      </c>
      <c r="AH57" s="49"/>
      <c r="AI57" s="49"/>
      <c r="AJ57" s="16">
        <v>0</v>
      </c>
      <c r="AK57" s="17">
        <v>0</v>
      </c>
      <c r="AL57" s="16">
        <v>1</v>
      </c>
      <c r="AM57" s="17">
        <v>1.0699999999999999E-2</v>
      </c>
      <c r="AN57" s="16">
        <v>0</v>
      </c>
      <c r="AO57" s="17">
        <v>0</v>
      </c>
      <c r="AP57" s="49"/>
      <c r="AQ57" s="49"/>
      <c r="AR57" s="16">
        <v>0</v>
      </c>
      <c r="AS57" s="17">
        <v>0</v>
      </c>
      <c r="AT57" s="16">
        <v>0</v>
      </c>
      <c r="AU57" s="17">
        <v>0</v>
      </c>
      <c r="AV57" s="16">
        <v>0</v>
      </c>
      <c r="AW57" s="17">
        <v>0</v>
      </c>
    </row>
    <row r="58" spans="1:51" x14ac:dyDescent="0.2">
      <c r="A58" t="s">
        <v>3</v>
      </c>
      <c r="B58" s="14" t="s">
        <v>89</v>
      </c>
      <c r="C58" s="15" t="s">
        <v>44</v>
      </c>
      <c r="D58" s="16">
        <v>0</v>
      </c>
      <c r="E58" s="17">
        <v>0</v>
      </c>
      <c r="F58" s="18">
        <v>1</v>
      </c>
      <c r="G58" s="19">
        <v>0.31744600000000001</v>
      </c>
      <c r="H58" s="18">
        <v>2</v>
      </c>
      <c r="I58" s="19">
        <v>0.16971</v>
      </c>
      <c r="J58" s="15"/>
      <c r="K58" s="15"/>
      <c r="L58" s="16">
        <v>0</v>
      </c>
      <c r="M58" s="17">
        <v>0</v>
      </c>
      <c r="N58" s="16">
        <v>0</v>
      </c>
      <c r="O58" s="17">
        <v>0</v>
      </c>
      <c r="P58" s="16">
        <v>0</v>
      </c>
      <c r="Q58" s="17">
        <v>0</v>
      </c>
      <c r="R58" s="49"/>
      <c r="S58" s="49"/>
      <c r="T58" s="16">
        <v>0</v>
      </c>
      <c r="U58" s="17">
        <v>0</v>
      </c>
      <c r="V58" s="16">
        <v>1</v>
      </c>
      <c r="W58" s="17">
        <v>0.31746000000000002</v>
      </c>
      <c r="X58" s="16">
        <v>0</v>
      </c>
      <c r="Y58" s="17">
        <v>0</v>
      </c>
      <c r="Z58" s="49"/>
      <c r="AA58" s="49"/>
      <c r="AB58" s="16">
        <v>0</v>
      </c>
      <c r="AC58" s="17">
        <v>0</v>
      </c>
      <c r="AD58" s="16">
        <v>0</v>
      </c>
      <c r="AE58" s="17">
        <v>0</v>
      </c>
      <c r="AF58" s="16">
        <v>2</v>
      </c>
      <c r="AG58" s="17">
        <v>0.16971</v>
      </c>
      <c r="AH58" s="49"/>
      <c r="AI58" s="49"/>
      <c r="AJ58" s="16">
        <v>0</v>
      </c>
      <c r="AK58" s="17">
        <v>0</v>
      </c>
      <c r="AL58" s="16">
        <v>1</v>
      </c>
      <c r="AM58" s="17">
        <v>0.16413</v>
      </c>
      <c r="AN58" s="16">
        <v>2</v>
      </c>
      <c r="AO58" s="17">
        <v>0.11434999999999999</v>
      </c>
      <c r="AP58" s="49"/>
      <c r="AQ58" s="49"/>
      <c r="AR58" s="16">
        <v>0</v>
      </c>
      <c r="AS58" s="17">
        <v>0</v>
      </c>
      <c r="AT58" s="16">
        <v>0</v>
      </c>
      <c r="AU58" s="17">
        <v>0</v>
      </c>
      <c r="AV58" s="16">
        <v>1</v>
      </c>
      <c r="AW58" s="17">
        <v>0.16413</v>
      </c>
    </row>
    <row r="59" spans="1:51" x14ac:dyDescent="0.2">
      <c r="A59" t="s">
        <v>3</v>
      </c>
      <c r="B59" s="14" t="s">
        <v>90</v>
      </c>
      <c r="C59" s="15" t="s">
        <v>44</v>
      </c>
      <c r="D59" s="16">
        <v>4</v>
      </c>
      <c r="E59" s="17">
        <v>0.50514000000000003</v>
      </c>
      <c r="F59" s="18">
        <v>0</v>
      </c>
      <c r="G59" s="19">
        <v>0</v>
      </c>
      <c r="H59" s="18">
        <v>3</v>
      </c>
      <c r="I59" s="19">
        <v>0.53147999999999995</v>
      </c>
      <c r="J59" s="15"/>
      <c r="K59" s="15"/>
      <c r="L59" s="16">
        <v>0</v>
      </c>
      <c r="M59" s="17">
        <v>0</v>
      </c>
      <c r="N59" s="16">
        <v>7</v>
      </c>
      <c r="O59" s="17">
        <v>0.41042000000000001</v>
      </c>
      <c r="P59" s="16">
        <v>3</v>
      </c>
      <c r="Q59" s="17">
        <v>0.94476000000000004</v>
      </c>
      <c r="R59" s="49"/>
      <c r="S59" s="49"/>
      <c r="T59" s="16">
        <v>5</v>
      </c>
      <c r="U59" s="17">
        <v>0.37779000000000001</v>
      </c>
      <c r="V59" s="16">
        <v>1</v>
      </c>
      <c r="W59" s="17">
        <v>0.34362999999999999</v>
      </c>
      <c r="X59" s="16">
        <v>11</v>
      </c>
      <c r="Y59" s="17">
        <v>0.31879999999999997</v>
      </c>
      <c r="Z59" s="49"/>
      <c r="AA59" s="49"/>
      <c r="AB59" s="16">
        <v>3</v>
      </c>
      <c r="AC59" s="17">
        <v>0.42137999999999998</v>
      </c>
      <c r="AD59" s="16">
        <v>1</v>
      </c>
      <c r="AE59" s="17">
        <v>0.17716000000000001</v>
      </c>
      <c r="AF59" s="16">
        <v>0</v>
      </c>
      <c r="AG59" s="17">
        <v>0</v>
      </c>
      <c r="AH59" s="49"/>
      <c r="AI59" s="49"/>
      <c r="AJ59" s="16">
        <v>0</v>
      </c>
      <c r="AK59" s="17">
        <v>0</v>
      </c>
      <c r="AL59" s="16">
        <v>1</v>
      </c>
      <c r="AM59" s="17">
        <v>0.34362999999999999</v>
      </c>
      <c r="AN59" s="16">
        <v>5</v>
      </c>
      <c r="AO59" s="17">
        <v>0.54249999999999998</v>
      </c>
      <c r="AP59" s="49"/>
      <c r="AQ59" s="49"/>
      <c r="AR59" s="16">
        <v>17</v>
      </c>
      <c r="AS59" s="17">
        <v>0.38954</v>
      </c>
      <c r="AT59" s="16">
        <v>13</v>
      </c>
      <c r="AU59" s="17">
        <v>0.56037999999999999</v>
      </c>
      <c r="AV59" s="16">
        <v>9</v>
      </c>
      <c r="AW59" s="17">
        <v>0.35816999999999999</v>
      </c>
    </row>
    <row r="60" spans="1:51" x14ac:dyDescent="0.2">
      <c r="A60" t="s">
        <v>3</v>
      </c>
      <c r="B60" s="14" t="s">
        <v>91</v>
      </c>
      <c r="C60" s="15" t="s">
        <v>44</v>
      </c>
      <c r="D60" s="16">
        <v>2</v>
      </c>
      <c r="E60" s="17">
        <v>0.32563999999999999</v>
      </c>
      <c r="F60" s="18">
        <v>0</v>
      </c>
      <c r="G60" s="19">
        <v>0</v>
      </c>
      <c r="H60" s="18">
        <v>1</v>
      </c>
      <c r="I60" s="19">
        <v>0.31596000000000002</v>
      </c>
      <c r="J60" s="15"/>
      <c r="K60" s="15"/>
      <c r="L60" s="16">
        <v>1</v>
      </c>
      <c r="M60" s="17">
        <v>4.2583399999999996</v>
      </c>
      <c r="N60" s="16">
        <v>3</v>
      </c>
      <c r="O60" s="17">
        <v>1.6293</v>
      </c>
      <c r="P60" s="16">
        <v>1</v>
      </c>
      <c r="Q60" s="17">
        <v>4.2583399999999996</v>
      </c>
      <c r="R60" s="49"/>
      <c r="S60" s="49"/>
      <c r="T60" s="16">
        <v>1</v>
      </c>
      <c r="U60" s="17">
        <v>0.31596000000000002</v>
      </c>
      <c r="V60" s="16">
        <v>2</v>
      </c>
      <c r="W60" s="17">
        <v>2.6701199999999998</v>
      </c>
      <c r="X60" s="16">
        <v>0</v>
      </c>
      <c r="Y60" s="17">
        <v>0</v>
      </c>
      <c r="Z60" s="49"/>
      <c r="AA60" s="49"/>
      <c r="AB60" s="16">
        <v>0</v>
      </c>
      <c r="AC60" s="17">
        <v>0</v>
      </c>
      <c r="AD60" s="16">
        <v>1</v>
      </c>
      <c r="AE60" s="17">
        <v>0.31596000000000002</v>
      </c>
      <c r="AF60" s="16">
        <v>0</v>
      </c>
      <c r="AG60" s="17">
        <v>0</v>
      </c>
      <c r="AH60" s="49"/>
      <c r="AI60" s="49"/>
      <c r="AJ60" s="16">
        <v>1</v>
      </c>
      <c r="AK60" s="17">
        <v>6.9269999999999998E-2</v>
      </c>
      <c r="AL60" s="16">
        <v>0</v>
      </c>
      <c r="AM60" s="17">
        <v>0</v>
      </c>
      <c r="AN60" s="16">
        <v>1</v>
      </c>
      <c r="AO60" s="17">
        <v>1.3600000000000001E-3</v>
      </c>
      <c r="AP60" s="49"/>
      <c r="AQ60" s="49"/>
      <c r="AR60" s="16">
        <v>0</v>
      </c>
      <c r="AS60" s="17">
        <v>0</v>
      </c>
      <c r="AT60" s="16">
        <v>0</v>
      </c>
      <c r="AU60" s="17">
        <v>0</v>
      </c>
      <c r="AV60" s="16">
        <v>0</v>
      </c>
      <c r="AW60" s="17">
        <v>0</v>
      </c>
    </row>
    <row r="61" spans="1:51" x14ac:dyDescent="0.2">
      <c r="A61" t="s">
        <v>3</v>
      </c>
      <c r="B61" s="14" t="s">
        <v>92</v>
      </c>
      <c r="C61" s="15" t="s">
        <v>44</v>
      </c>
      <c r="D61" s="16">
        <v>0</v>
      </c>
      <c r="E61" s="17">
        <v>0</v>
      </c>
      <c r="F61" s="18">
        <v>0</v>
      </c>
      <c r="G61" s="19">
        <v>0</v>
      </c>
      <c r="H61" s="18">
        <v>0</v>
      </c>
      <c r="I61" s="19">
        <v>0</v>
      </c>
      <c r="J61" s="15"/>
      <c r="K61" s="15"/>
      <c r="L61" s="16">
        <v>0</v>
      </c>
      <c r="M61" s="17">
        <v>0</v>
      </c>
      <c r="N61" s="16">
        <v>0</v>
      </c>
      <c r="O61" s="17">
        <v>0</v>
      </c>
      <c r="P61" s="16">
        <v>0</v>
      </c>
      <c r="Q61" s="17">
        <v>0</v>
      </c>
      <c r="R61" s="49"/>
      <c r="S61" s="49"/>
      <c r="T61" s="16">
        <v>0</v>
      </c>
      <c r="U61" s="17">
        <v>0</v>
      </c>
      <c r="V61" s="16">
        <v>0</v>
      </c>
      <c r="W61" s="17">
        <v>0</v>
      </c>
      <c r="X61" s="16">
        <v>4</v>
      </c>
      <c r="Y61" s="17">
        <v>0.27211999999999997</v>
      </c>
      <c r="Z61" s="49"/>
      <c r="AA61" s="49"/>
      <c r="AB61" s="16">
        <v>0</v>
      </c>
      <c r="AC61" s="17">
        <v>0</v>
      </c>
      <c r="AD61" s="16">
        <v>0</v>
      </c>
      <c r="AE61" s="17">
        <v>0</v>
      </c>
      <c r="AF61" s="16">
        <v>0</v>
      </c>
      <c r="AG61" s="17">
        <v>0</v>
      </c>
      <c r="AH61" s="49"/>
      <c r="AI61" s="49"/>
      <c r="AJ61" s="16">
        <v>0</v>
      </c>
      <c r="AK61" s="17">
        <v>0</v>
      </c>
      <c r="AL61" s="16">
        <v>0</v>
      </c>
      <c r="AM61" s="17">
        <v>0</v>
      </c>
      <c r="AN61" s="16">
        <v>8</v>
      </c>
      <c r="AO61" s="17">
        <v>0.67871000000000004</v>
      </c>
      <c r="AP61" s="49"/>
      <c r="AQ61" s="49"/>
      <c r="AR61" s="16">
        <v>0</v>
      </c>
      <c r="AS61" s="17">
        <v>0</v>
      </c>
      <c r="AT61" s="16">
        <v>0</v>
      </c>
      <c r="AU61" s="17">
        <v>0</v>
      </c>
      <c r="AV61" s="16">
        <v>0</v>
      </c>
      <c r="AW61" s="17">
        <v>0</v>
      </c>
    </row>
    <row r="62" spans="1:51" x14ac:dyDescent="0.2">
      <c r="A62" t="s">
        <v>3</v>
      </c>
      <c r="B62" s="14" t="s">
        <v>93</v>
      </c>
      <c r="C62" s="15" t="s">
        <v>44</v>
      </c>
      <c r="D62" s="16">
        <v>0</v>
      </c>
      <c r="E62" s="17">
        <v>0</v>
      </c>
      <c r="F62" s="18">
        <v>1</v>
      </c>
      <c r="G62" s="19">
        <v>7.0099999999999996E-2</v>
      </c>
      <c r="H62" s="18">
        <v>2</v>
      </c>
      <c r="I62" s="19">
        <v>0.32816000000000001</v>
      </c>
      <c r="J62" s="15"/>
      <c r="K62" s="15"/>
      <c r="L62" s="16">
        <v>5</v>
      </c>
      <c r="M62" s="17">
        <v>0.30907000000000001</v>
      </c>
      <c r="N62" s="16">
        <v>0</v>
      </c>
      <c r="O62" s="17">
        <v>0</v>
      </c>
      <c r="P62" s="16">
        <v>1</v>
      </c>
      <c r="Q62" s="17">
        <v>0.16408</v>
      </c>
      <c r="R62" s="49"/>
      <c r="S62" s="49"/>
      <c r="T62" s="16">
        <v>0</v>
      </c>
      <c r="U62" s="17">
        <v>0</v>
      </c>
      <c r="V62" s="16">
        <v>0</v>
      </c>
      <c r="W62" s="17">
        <v>0</v>
      </c>
      <c r="X62" s="16">
        <v>1</v>
      </c>
      <c r="Y62" s="17">
        <v>0.16408</v>
      </c>
      <c r="Z62" s="49"/>
      <c r="AA62" s="49"/>
      <c r="AB62" s="16">
        <v>0</v>
      </c>
      <c r="AC62" s="17">
        <v>0</v>
      </c>
      <c r="AD62" s="16">
        <v>2</v>
      </c>
      <c r="AE62" s="17">
        <v>0.32816000000000001</v>
      </c>
      <c r="AF62" s="16">
        <v>0</v>
      </c>
      <c r="AG62" s="17">
        <v>0</v>
      </c>
      <c r="AH62" s="49"/>
      <c r="AI62" s="49"/>
      <c r="AJ62" s="16">
        <v>0</v>
      </c>
      <c r="AK62" s="17">
        <v>0</v>
      </c>
      <c r="AL62" s="16">
        <v>0</v>
      </c>
      <c r="AM62" s="17">
        <v>0</v>
      </c>
      <c r="AN62" s="16">
        <v>3</v>
      </c>
      <c r="AO62" s="17">
        <v>0.48666000000000004</v>
      </c>
      <c r="AP62" s="49"/>
      <c r="AQ62" s="49"/>
      <c r="AR62" s="16">
        <v>4</v>
      </c>
      <c r="AS62" s="17">
        <v>0.4425</v>
      </c>
      <c r="AT62" s="16">
        <v>0</v>
      </c>
      <c r="AU62" s="17">
        <v>0</v>
      </c>
      <c r="AV62" s="16">
        <v>15</v>
      </c>
      <c r="AW62" s="17">
        <v>0.29056999999999999</v>
      </c>
    </row>
    <row r="63" spans="1:51" x14ac:dyDescent="0.2">
      <c r="A63" t="s">
        <v>3</v>
      </c>
      <c r="B63" s="14" t="s">
        <v>94</v>
      </c>
      <c r="C63" s="15" t="s">
        <v>44</v>
      </c>
      <c r="D63" s="16">
        <v>0</v>
      </c>
      <c r="E63" s="17">
        <v>0</v>
      </c>
      <c r="F63" s="18">
        <v>3</v>
      </c>
      <c r="G63" s="19">
        <v>0.49237999999999998</v>
      </c>
      <c r="H63" s="18">
        <v>0</v>
      </c>
      <c r="I63" s="19">
        <v>0</v>
      </c>
      <c r="J63" s="15"/>
      <c r="K63" s="15"/>
      <c r="L63" s="16">
        <v>0</v>
      </c>
      <c r="M63" s="17">
        <v>0</v>
      </c>
      <c r="N63" s="16">
        <v>0</v>
      </c>
      <c r="O63" s="17">
        <v>0</v>
      </c>
      <c r="P63" s="16">
        <v>0</v>
      </c>
      <c r="Q63" s="17">
        <v>0</v>
      </c>
      <c r="R63" s="49"/>
      <c r="S63" s="49"/>
      <c r="T63" s="16">
        <v>0</v>
      </c>
      <c r="U63" s="17">
        <v>0</v>
      </c>
      <c r="V63" s="16">
        <v>0</v>
      </c>
      <c r="W63" s="17">
        <v>0</v>
      </c>
      <c r="X63" s="16">
        <v>0</v>
      </c>
      <c r="Y63" s="17">
        <v>0</v>
      </c>
      <c r="Z63" s="49"/>
      <c r="AA63" s="49"/>
      <c r="AB63" s="16">
        <v>0</v>
      </c>
      <c r="AC63" s="17">
        <v>0</v>
      </c>
      <c r="AD63" s="16">
        <v>0</v>
      </c>
      <c r="AE63" s="17">
        <v>0</v>
      </c>
      <c r="AF63" s="16">
        <v>0</v>
      </c>
      <c r="AG63" s="17">
        <v>0</v>
      </c>
      <c r="AH63" s="49"/>
      <c r="AI63" s="49"/>
      <c r="AJ63" s="16">
        <v>0</v>
      </c>
      <c r="AK63" s="17">
        <v>0</v>
      </c>
      <c r="AL63" s="16">
        <v>0</v>
      </c>
      <c r="AM63" s="17">
        <v>0</v>
      </c>
      <c r="AN63" s="16">
        <v>0</v>
      </c>
      <c r="AO63" s="17">
        <v>0</v>
      </c>
      <c r="AP63" s="49"/>
      <c r="AQ63" s="49"/>
      <c r="AR63" s="16">
        <v>0</v>
      </c>
      <c r="AS63" s="17">
        <v>0</v>
      </c>
      <c r="AT63" s="16">
        <v>0</v>
      </c>
      <c r="AU63" s="17">
        <v>0</v>
      </c>
      <c r="AV63" s="16">
        <v>0</v>
      </c>
      <c r="AW63" s="17">
        <v>0</v>
      </c>
    </row>
    <row r="64" spans="1:51" x14ac:dyDescent="0.2">
      <c r="A64" t="s">
        <v>3</v>
      </c>
      <c r="B64" s="14" t="s">
        <v>95</v>
      </c>
      <c r="C64" s="15" t="s">
        <v>44</v>
      </c>
      <c r="D64" s="16">
        <v>0</v>
      </c>
      <c r="E64" s="17">
        <v>0</v>
      </c>
      <c r="F64" s="18">
        <v>1</v>
      </c>
      <c r="G64" s="19">
        <v>0.35043000000000002</v>
      </c>
      <c r="H64" s="18">
        <v>4</v>
      </c>
      <c r="I64" s="19">
        <v>1.14283</v>
      </c>
      <c r="J64" s="15"/>
      <c r="K64" s="15"/>
      <c r="L64" s="16">
        <v>0</v>
      </c>
      <c r="M64" s="17">
        <v>0</v>
      </c>
      <c r="N64" s="16">
        <v>0</v>
      </c>
      <c r="O64" s="17">
        <v>0</v>
      </c>
      <c r="P64" s="16">
        <v>0</v>
      </c>
      <c r="Q64" s="17">
        <v>0</v>
      </c>
      <c r="R64" s="49"/>
      <c r="S64" s="49"/>
      <c r="T64" s="16">
        <v>0</v>
      </c>
      <c r="U64" s="17">
        <v>0</v>
      </c>
      <c r="V64" s="16">
        <v>0</v>
      </c>
      <c r="W64" s="17">
        <v>0</v>
      </c>
      <c r="X64" s="16">
        <v>0</v>
      </c>
      <c r="Y64" s="17">
        <v>0</v>
      </c>
      <c r="Z64" s="49"/>
      <c r="AA64" s="49"/>
      <c r="AB64" s="16">
        <v>0</v>
      </c>
      <c r="AC64" s="17">
        <v>0</v>
      </c>
      <c r="AD64" s="16">
        <v>0</v>
      </c>
      <c r="AE64" s="17">
        <v>0</v>
      </c>
      <c r="AF64" s="16">
        <v>0</v>
      </c>
      <c r="AG64" s="17">
        <v>0</v>
      </c>
      <c r="AH64" s="49"/>
      <c r="AI64" s="49"/>
      <c r="AJ64" s="16">
        <v>0</v>
      </c>
      <c r="AK64" s="17">
        <v>0</v>
      </c>
      <c r="AL64" s="16">
        <v>3</v>
      </c>
      <c r="AM64" s="17">
        <v>0.70191000000000003</v>
      </c>
      <c r="AN64" s="16">
        <v>2</v>
      </c>
      <c r="AO64" s="17">
        <v>0.46794000000000002</v>
      </c>
      <c r="AP64" s="49"/>
      <c r="AQ64" s="49"/>
      <c r="AR64" s="16">
        <v>1</v>
      </c>
      <c r="AS64" s="17">
        <v>8.5529999999999995E-2</v>
      </c>
      <c r="AT64" s="16">
        <v>0</v>
      </c>
      <c r="AU64" s="17">
        <v>0</v>
      </c>
      <c r="AV64" s="16">
        <v>4</v>
      </c>
      <c r="AW64" s="17">
        <v>0.45843</v>
      </c>
    </row>
    <row r="65" spans="1:51" x14ac:dyDescent="0.2">
      <c r="A65" t="s">
        <v>3</v>
      </c>
      <c r="B65" s="14" t="s">
        <v>96</v>
      </c>
      <c r="C65" s="15" t="s">
        <v>44</v>
      </c>
      <c r="D65" s="16">
        <v>0</v>
      </c>
      <c r="E65" s="17">
        <v>0</v>
      </c>
      <c r="F65" s="18">
        <v>0</v>
      </c>
      <c r="G65" s="19">
        <v>0</v>
      </c>
      <c r="H65" s="18">
        <v>0</v>
      </c>
      <c r="I65" s="19">
        <v>0</v>
      </c>
      <c r="J65" s="15"/>
      <c r="K65" s="15"/>
      <c r="L65" s="16">
        <v>0</v>
      </c>
      <c r="M65" s="17">
        <v>0</v>
      </c>
      <c r="N65" s="16">
        <v>0</v>
      </c>
      <c r="O65" s="17">
        <v>0</v>
      </c>
      <c r="P65" s="16">
        <v>0</v>
      </c>
      <c r="Q65" s="17">
        <v>0</v>
      </c>
      <c r="R65" s="49"/>
      <c r="S65" s="49"/>
      <c r="T65" s="16">
        <v>0</v>
      </c>
      <c r="U65" s="17">
        <v>0</v>
      </c>
      <c r="V65" s="16">
        <v>0</v>
      </c>
      <c r="W65" s="17">
        <v>0</v>
      </c>
      <c r="X65" s="16">
        <v>0</v>
      </c>
      <c r="Y65" s="17">
        <v>0</v>
      </c>
      <c r="Z65" s="49"/>
      <c r="AA65" s="49"/>
      <c r="AB65" s="16">
        <v>0</v>
      </c>
      <c r="AC65" s="17">
        <v>0</v>
      </c>
      <c r="AD65" s="16">
        <v>0</v>
      </c>
      <c r="AE65" s="17">
        <v>0</v>
      </c>
      <c r="AF65" s="16">
        <v>0</v>
      </c>
      <c r="AG65" s="17">
        <v>0</v>
      </c>
      <c r="AH65" s="49"/>
      <c r="AI65" s="49"/>
      <c r="AJ65" s="16">
        <v>0</v>
      </c>
      <c r="AK65" s="17">
        <v>0</v>
      </c>
      <c r="AL65" s="16">
        <v>1</v>
      </c>
      <c r="AM65" s="17">
        <v>4.2211499999999997</v>
      </c>
      <c r="AN65" s="16">
        <v>0</v>
      </c>
      <c r="AO65" s="17">
        <v>0</v>
      </c>
      <c r="AP65" s="49"/>
      <c r="AQ65" s="49"/>
      <c r="AR65" s="16">
        <v>0</v>
      </c>
      <c r="AS65" s="17">
        <v>0</v>
      </c>
      <c r="AT65" s="16">
        <v>0</v>
      </c>
      <c r="AU65" s="17">
        <v>0</v>
      </c>
      <c r="AV65" s="16">
        <v>0</v>
      </c>
      <c r="AW65" s="17">
        <v>0</v>
      </c>
    </row>
    <row r="66" spans="1:51" x14ac:dyDescent="0.2">
      <c r="A66" s="24" t="s">
        <v>3</v>
      </c>
      <c r="B66" s="25" t="s">
        <v>97</v>
      </c>
      <c r="C66" s="26" t="s">
        <v>44</v>
      </c>
      <c r="D66" s="27">
        <v>0</v>
      </c>
      <c r="E66" s="28">
        <v>0</v>
      </c>
      <c r="F66" s="29">
        <v>0</v>
      </c>
      <c r="G66" s="30">
        <v>0</v>
      </c>
      <c r="H66" s="29">
        <v>0</v>
      </c>
      <c r="I66" s="30">
        <v>0</v>
      </c>
      <c r="J66" s="26"/>
      <c r="K66" s="26"/>
      <c r="L66" s="27">
        <v>0</v>
      </c>
      <c r="M66" s="28">
        <v>0</v>
      </c>
      <c r="N66" s="27">
        <v>0</v>
      </c>
      <c r="O66" s="28">
        <v>0</v>
      </c>
      <c r="P66" s="27">
        <v>0</v>
      </c>
      <c r="Q66" s="28">
        <v>0</v>
      </c>
      <c r="R66" s="50"/>
      <c r="S66" s="50"/>
      <c r="T66" s="27">
        <v>0</v>
      </c>
      <c r="U66" s="28">
        <v>0</v>
      </c>
      <c r="V66" s="27">
        <v>0</v>
      </c>
      <c r="W66" s="28">
        <v>0</v>
      </c>
      <c r="X66" s="27">
        <v>0</v>
      </c>
      <c r="Y66" s="28">
        <v>0</v>
      </c>
      <c r="Z66" s="50"/>
      <c r="AA66" s="50"/>
      <c r="AB66" s="27">
        <v>0</v>
      </c>
      <c r="AC66" s="28">
        <v>0</v>
      </c>
      <c r="AD66" s="27">
        <v>0</v>
      </c>
      <c r="AE66" s="28">
        <v>0</v>
      </c>
      <c r="AF66" s="27">
        <v>0</v>
      </c>
      <c r="AG66" s="28">
        <v>0</v>
      </c>
      <c r="AH66" s="50"/>
      <c r="AI66" s="50"/>
      <c r="AJ66" s="27">
        <v>0</v>
      </c>
      <c r="AK66" s="28">
        <v>0</v>
      </c>
      <c r="AL66" s="27">
        <v>0</v>
      </c>
      <c r="AM66" s="28">
        <v>0</v>
      </c>
      <c r="AN66" s="27">
        <v>0</v>
      </c>
      <c r="AO66" s="28">
        <v>0</v>
      </c>
      <c r="AP66" s="50"/>
      <c r="AQ66" s="50"/>
      <c r="AR66" s="27">
        <v>0</v>
      </c>
      <c r="AS66" s="28">
        <v>0</v>
      </c>
      <c r="AT66" s="27">
        <v>0</v>
      </c>
      <c r="AU66" s="28">
        <v>0</v>
      </c>
      <c r="AV66" s="27">
        <v>0</v>
      </c>
      <c r="AW66" s="28">
        <v>0</v>
      </c>
    </row>
    <row r="67" spans="1:51" x14ac:dyDescent="0.2">
      <c r="A67" t="s">
        <v>3</v>
      </c>
      <c r="B67" s="14" t="s">
        <v>98</v>
      </c>
      <c r="C67" s="15" t="s">
        <v>44</v>
      </c>
      <c r="D67" s="16">
        <v>0</v>
      </c>
      <c r="E67" s="17">
        <v>0</v>
      </c>
      <c r="F67" s="18">
        <v>1</v>
      </c>
      <c r="G67" s="19">
        <v>0.54398000000000002</v>
      </c>
      <c r="H67" s="18">
        <v>3</v>
      </c>
      <c r="I67" s="19">
        <v>0.95201999999999998</v>
      </c>
      <c r="J67" s="15"/>
      <c r="K67" s="15"/>
      <c r="L67" s="16">
        <v>0</v>
      </c>
      <c r="M67" s="17">
        <v>0</v>
      </c>
      <c r="N67" s="16">
        <v>0</v>
      </c>
      <c r="O67" s="17">
        <v>0</v>
      </c>
      <c r="P67" s="16">
        <v>0</v>
      </c>
      <c r="Q67" s="17">
        <v>0</v>
      </c>
      <c r="R67" s="49"/>
      <c r="S67" s="49"/>
      <c r="T67" s="16">
        <v>0</v>
      </c>
      <c r="U67" s="17">
        <v>0</v>
      </c>
      <c r="V67" s="16">
        <v>0</v>
      </c>
      <c r="W67" s="17">
        <v>0</v>
      </c>
      <c r="X67" s="16">
        <v>0</v>
      </c>
      <c r="Y67" s="17">
        <v>0</v>
      </c>
      <c r="Z67" s="49"/>
      <c r="AA67" s="49"/>
      <c r="AB67" s="16">
        <v>0</v>
      </c>
      <c r="AC67" s="17">
        <v>0</v>
      </c>
      <c r="AD67" s="16">
        <v>0</v>
      </c>
      <c r="AE67" s="17">
        <v>0</v>
      </c>
      <c r="AF67" s="16">
        <v>0</v>
      </c>
      <c r="AG67" s="17">
        <v>0</v>
      </c>
      <c r="AH67" s="49"/>
      <c r="AI67" s="49"/>
      <c r="AJ67" s="16">
        <v>0</v>
      </c>
      <c r="AK67" s="17">
        <v>0</v>
      </c>
      <c r="AL67" s="16">
        <v>0</v>
      </c>
      <c r="AM67" s="17">
        <v>0</v>
      </c>
      <c r="AN67" s="16">
        <v>0</v>
      </c>
      <c r="AO67" s="17">
        <v>0</v>
      </c>
      <c r="AP67" s="49"/>
      <c r="AQ67" s="49"/>
      <c r="AR67" s="16">
        <v>0</v>
      </c>
      <c r="AS67" s="17">
        <v>0</v>
      </c>
      <c r="AT67" s="16">
        <v>0</v>
      </c>
      <c r="AU67" s="17">
        <v>0</v>
      </c>
      <c r="AV67" s="16">
        <v>0</v>
      </c>
      <c r="AW67" s="17">
        <v>0</v>
      </c>
    </row>
    <row r="68" spans="1:51" x14ac:dyDescent="0.2">
      <c r="A68" t="s">
        <v>3</v>
      </c>
      <c r="B68" s="25" t="s">
        <v>99</v>
      </c>
      <c r="C68" s="26" t="s">
        <v>44</v>
      </c>
      <c r="D68" s="16">
        <v>0</v>
      </c>
      <c r="E68" s="17">
        <v>0</v>
      </c>
      <c r="F68" s="29">
        <v>0</v>
      </c>
      <c r="G68" s="30">
        <v>0</v>
      </c>
      <c r="H68" s="29">
        <v>0</v>
      </c>
      <c r="I68" s="30">
        <v>0</v>
      </c>
      <c r="J68" s="26"/>
      <c r="K68" s="26"/>
      <c r="L68" s="16">
        <v>0</v>
      </c>
      <c r="M68" s="17">
        <v>0</v>
      </c>
      <c r="N68" s="16">
        <v>0</v>
      </c>
      <c r="O68" s="17">
        <v>0</v>
      </c>
      <c r="P68" s="16">
        <v>0</v>
      </c>
      <c r="Q68" s="17">
        <v>0</v>
      </c>
      <c r="R68" s="49"/>
      <c r="S68" s="49"/>
      <c r="T68" s="16">
        <v>0</v>
      </c>
      <c r="U68" s="17">
        <v>0</v>
      </c>
      <c r="V68" s="16">
        <v>0</v>
      </c>
      <c r="W68" s="17">
        <v>0</v>
      </c>
      <c r="X68" s="16">
        <v>0</v>
      </c>
      <c r="Y68" s="17">
        <v>0</v>
      </c>
      <c r="Z68" s="49"/>
      <c r="AA68" s="49"/>
      <c r="AB68" s="16">
        <v>0</v>
      </c>
      <c r="AC68" s="17">
        <v>0</v>
      </c>
      <c r="AD68" s="16">
        <v>0</v>
      </c>
      <c r="AE68" s="17">
        <v>0</v>
      </c>
      <c r="AF68" s="16">
        <v>0</v>
      </c>
      <c r="AG68" s="17">
        <v>0</v>
      </c>
      <c r="AH68" s="49"/>
      <c r="AI68" s="49"/>
      <c r="AJ68" s="16">
        <v>0</v>
      </c>
      <c r="AK68" s="17">
        <v>0</v>
      </c>
      <c r="AL68" s="16">
        <v>0</v>
      </c>
      <c r="AM68" s="17">
        <v>0</v>
      </c>
      <c r="AN68" s="16">
        <v>0</v>
      </c>
      <c r="AO68" s="17">
        <v>0</v>
      </c>
      <c r="AP68" s="49"/>
      <c r="AQ68" s="49"/>
      <c r="AR68" s="16">
        <v>0</v>
      </c>
      <c r="AS68" s="17">
        <v>0</v>
      </c>
      <c r="AT68" s="16">
        <v>0</v>
      </c>
      <c r="AU68" s="17">
        <v>0</v>
      </c>
      <c r="AV68" s="16">
        <v>0</v>
      </c>
      <c r="AW68" s="17">
        <v>0</v>
      </c>
    </row>
    <row r="69" spans="1:51" x14ac:dyDescent="0.2">
      <c r="A69" t="s">
        <v>3</v>
      </c>
      <c r="B69" s="14" t="s">
        <v>100</v>
      </c>
      <c r="C69" s="15" t="s">
        <v>44</v>
      </c>
      <c r="D69" s="16">
        <v>0</v>
      </c>
      <c r="E69" s="17">
        <v>0</v>
      </c>
      <c r="F69" s="18">
        <v>0</v>
      </c>
      <c r="G69" s="19">
        <v>0</v>
      </c>
      <c r="H69" s="18">
        <v>0</v>
      </c>
      <c r="I69" s="19">
        <v>0</v>
      </c>
      <c r="J69" s="15"/>
      <c r="K69" s="15"/>
      <c r="L69" s="16">
        <v>0</v>
      </c>
      <c r="M69" s="17">
        <v>0</v>
      </c>
      <c r="N69" s="16">
        <v>0</v>
      </c>
      <c r="O69" s="17">
        <v>0</v>
      </c>
      <c r="P69" s="16">
        <v>0</v>
      </c>
      <c r="Q69" s="17">
        <v>0</v>
      </c>
      <c r="R69" s="49"/>
      <c r="S69" s="49"/>
      <c r="T69" s="16">
        <v>0</v>
      </c>
      <c r="U69" s="17">
        <v>0</v>
      </c>
      <c r="V69" s="16">
        <v>0</v>
      </c>
      <c r="W69" s="17">
        <v>0</v>
      </c>
      <c r="X69" s="16">
        <v>0</v>
      </c>
      <c r="Y69" s="17">
        <v>0</v>
      </c>
      <c r="Z69" s="49"/>
      <c r="AA69" s="49"/>
      <c r="AB69" s="16">
        <v>0</v>
      </c>
      <c r="AC69" s="17">
        <v>0</v>
      </c>
      <c r="AD69" s="16">
        <v>0</v>
      </c>
      <c r="AE69" s="17">
        <v>0</v>
      </c>
      <c r="AF69" s="16">
        <v>0</v>
      </c>
      <c r="AG69" s="17">
        <v>0</v>
      </c>
      <c r="AH69" s="49"/>
      <c r="AI69" s="49"/>
      <c r="AJ69" s="16">
        <v>0</v>
      </c>
      <c r="AK69" s="17">
        <v>0</v>
      </c>
      <c r="AL69" s="16">
        <v>0</v>
      </c>
      <c r="AM69" s="17">
        <v>0</v>
      </c>
      <c r="AN69" s="16">
        <v>0</v>
      </c>
      <c r="AO69" s="17">
        <v>0</v>
      </c>
      <c r="AP69" s="49"/>
      <c r="AQ69" s="49"/>
      <c r="AR69" s="16">
        <v>0</v>
      </c>
      <c r="AS69" s="17">
        <v>0</v>
      </c>
      <c r="AT69" s="16">
        <v>0</v>
      </c>
      <c r="AU69" s="17">
        <v>0</v>
      </c>
      <c r="AV69" s="16">
        <v>0</v>
      </c>
      <c r="AW69" s="17">
        <v>0</v>
      </c>
    </row>
    <row r="70" spans="1:51" x14ac:dyDescent="0.2">
      <c r="A70" t="s">
        <v>3</v>
      </c>
      <c r="B70" s="14" t="s">
        <v>101</v>
      </c>
      <c r="C70" s="15" t="s">
        <v>44</v>
      </c>
      <c r="D70" s="16">
        <v>0</v>
      </c>
      <c r="E70" s="17">
        <v>0</v>
      </c>
      <c r="F70" s="18">
        <v>0</v>
      </c>
      <c r="G70" s="19">
        <v>0</v>
      </c>
      <c r="H70" s="18">
        <v>0</v>
      </c>
      <c r="I70" s="19">
        <v>0</v>
      </c>
      <c r="J70" s="15"/>
      <c r="K70" s="15"/>
      <c r="L70" s="16">
        <v>0</v>
      </c>
      <c r="M70" s="17">
        <v>0</v>
      </c>
      <c r="N70" s="16">
        <v>0</v>
      </c>
      <c r="O70" s="17">
        <v>0</v>
      </c>
      <c r="P70" s="16">
        <v>0</v>
      </c>
      <c r="Q70" s="17">
        <v>0</v>
      </c>
      <c r="R70" s="49"/>
      <c r="S70" s="49"/>
      <c r="T70" s="16">
        <v>0</v>
      </c>
      <c r="U70" s="17">
        <v>0</v>
      </c>
      <c r="V70" s="16">
        <v>0</v>
      </c>
      <c r="W70" s="17">
        <v>0</v>
      </c>
      <c r="X70" s="16">
        <v>0</v>
      </c>
      <c r="Y70" s="17">
        <v>0</v>
      </c>
      <c r="Z70" s="49"/>
      <c r="AA70" s="49"/>
      <c r="AB70" s="16">
        <v>0</v>
      </c>
      <c r="AC70" s="17">
        <v>0</v>
      </c>
      <c r="AD70" s="16">
        <v>0</v>
      </c>
      <c r="AE70" s="17">
        <v>0</v>
      </c>
      <c r="AF70" s="16">
        <v>0</v>
      </c>
      <c r="AG70" s="17">
        <v>0</v>
      </c>
      <c r="AH70" s="49"/>
      <c r="AI70" s="49"/>
      <c r="AJ70" s="16">
        <v>0</v>
      </c>
      <c r="AK70" s="17">
        <v>0</v>
      </c>
      <c r="AL70" s="16">
        <v>0</v>
      </c>
      <c r="AM70" s="17">
        <v>0</v>
      </c>
      <c r="AN70" s="16">
        <v>0</v>
      </c>
      <c r="AO70" s="17">
        <v>0</v>
      </c>
      <c r="AP70" s="49"/>
      <c r="AQ70" s="49"/>
      <c r="AR70" s="16">
        <v>0</v>
      </c>
      <c r="AS70" s="17">
        <v>0</v>
      </c>
      <c r="AT70" s="16">
        <v>0</v>
      </c>
      <c r="AU70" s="17">
        <v>0</v>
      </c>
      <c r="AV70" s="16">
        <v>0</v>
      </c>
      <c r="AW70" s="17">
        <v>0</v>
      </c>
    </row>
    <row r="71" spans="1:51" x14ac:dyDescent="0.2">
      <c r="A71" t="s">
        <v>3</v>
      </c>
      <c r="B71" s="25" t="s">
        <v>102</v>
      </c>
      <c r="C71" s="26" t="s">
        <v>44</v>
      </c>
      <c r="D71" s="16">
        <v>0</v>
      </c>
      <c r="E71" s="17">
        <v>0</v>
      </c>
      <c r="F71" s="29">
        <v>0</v>
      </c>
      <c r="G71" s="30">
        <v>0</v>
      </c>
      <c r="H71" s="29">
        <v>0</v>
      </c>
      <c r="I71" s="30">
        <v>0</v>
      </c>
      <c r="J71" s="26"/>
      <c r="K71" s="26"/>
      <c r="L71" s="16">
        <v>0</v>
      </c>
      <c r="M71" s="17">
        <v>0</v>
      </c>
      <c r="N71" s="16">
        <v>0</v>
      </c>
      <c r="O71" s="17">
        <v>0</v>
      </c>
      <c r="P71" s="16">
        <v>0</v>
      </c>
      <c r="Q71" s="17">
        <v>0</v>
      </c>
      <c r="R71" s="49"/>
      <c r="S71" s="49"/>
      <c r="T71" s="16">
        <v>0</v>
      </c>
      <c r="U71" s="17">
        <v>0</v>
      </c>
      <c r="V71" s="16">
        <v>0</v>
      </c>
      <c r="W71" s="17">
        <v>0</v>
      </c>
      <c r="X71" s="16">
        <v>0</v>
      </c>
      <c r="Y71" s="17">
        <v>0</v>
      </c>
      <c r="Z71" s="49"/>
      <c r="AA71" s="49"/>
      <c r="AB71" s="16">
        <v>0</v>
      </c>
      <c r="AC71" s="17">
        <v>0</v>
      </c>
      <c r="AD71" s="16">
        <v>0</v>
      </c>
      <c r="AE71" s="17">
        <v>0</v>
      </c>
      <c r="AF71" s="16">
        <v>0</v>
      </c>
      <c r="AG71" s="17">
        <v>0</v>
      </c>
      <c r="AH71" s="49"/>
      <c r="AI71" s="49"/>
      <c r="AJ71" s="16">
        <v>0</v>
      </c>
      <c r="AK71" s="17">
        <v>0</v>
      </c>
      <c r="AL71" s="16">
        <v>0</v>
      </c>
      <c r="AM71" s="17">
        <v>0</v>
      </c>
      <c r="AN71" s="16">
        <v>0</v>
      </c>
      <c r="AO71" s="17">
        <v>0</v>
      </c>
      <c r="AP71" s="49"/>
      <c r="AQ71" s="49"/>
      <c r="AR71" s="16">
        <v>0</v>
      </c>
      <c r="AS71" s="17">
        <v>0</v>
      </c>
      <c r="AT71" s="16">
        <v>0</v>
      </c>
      <c r="AU71" s="17">
        <v>0</v>
      </c>
      <c r="AV71" s="16">
        <v>0</v>
      </c>
      <c r="AW71" s="17">
        <v>0</v>
      </c>
    </row>
    <row r="72" spans="1:51" s="55" customFormat="1" x14ac:dyDescent="0.2">
      <c r="A72" s="55" t="s">
        <v>3</v>
      </c>
      <c r="B72" s="56"/>
      <c r="C72" s="57"/>
      <c r="D72" s="58">
        <f>SUM(D56:D71)</f>
        <v>7</v>
      </c>
      <c r="E72" s="58">
        <f t="shared" ref="E72:AW72" si="3">SUM(E56:E71)</f>
        <v>0.85155000000000003</v>
      </c>
      <c r="F72" s="58">
        <f t="shared" si="3"/>
        <v>10</v>
      </c>
      <c r="G72" s="58">
        <f t="shared" si="3"/>
        <v>1.9821360000000001</v>
      </c>
      <c r="H72" s="58">
        <f t="shared" si="3"/>
        <v>16</v>
      </c>
      <c r="I72" s="58">
        <f t="shared" si="3"/>
        <v>3.4758500000000003</v>
      </c>
      <c r="J72" s="58">
        <f>AVERAGE(D72,F72,H72)</f>
        <v>11</v>
      </c>
      <c r="K72" s="58">
        <f>AVERAGE(E72,G72,I72)</f>
        <v>2.103178666666667</v>
      </c>
      <c r="L72" s="58">
        <f t="shared" si="3"/>
        <v>6</v>
      </c>
      <c r="M72" s="58">
        <f t="shared" si="3"/>
        <v>4.5674099999999997</v>
      </c>
      <c r="N72" s="58">
        <f t="shared" si="3"/>
        <v>10</v>
      </c>
      <c r="O72" s="58">
        <f t="shared" si="3"/>
        <v>2.03972</v>
      </c>
      <c r="P72" s="58">
        <f t="shared" si="3"/>
        <v>5</v>
      </c>
      <c r="Q72" s="58">
        <f t="shared" si="3"/>
        <v>5.3671799999999994</v>
      </c>
      <c r="R72" s="58">
        <f>AVERAGE(L72,N72,P72)</f>
        <v>7</v>
      </c>
      <c r="S72" s="58">
        <f>AVERAGE(M72,O72,Q72)</f>
        <v>3.9914366666666665</v>
      </c>
      <c r="T72" s="58">
        <f t="shared" si="3"/>
        <v>6</v>
      </c>
      <c r="U72" s="58">
        <f t="shared" si="3"/>
        <v>0.69375000000000009</v>
      </c>
      <c r="V72" s="58">
        <f t="shared" si="3"/>
        <v>4</v>
      </c>
      <c r="W72" s="58">
        <f t="shared" si="3"/>
        <v>3.3312099999999996</v>
      </c>
      <c r="X72" s="58">
        <f t="shared" si="3"/>
        <v>17</v>
      </c>
      <c r="Y72" s="58">
        <f t="shared" si="3"/>
        <v>0.79068999999999989</v>
      </c>
      <c r="Z72" s="58">
        <f>AVERAGE(T72,V72,X72)</f>
        <v>9</v>
      </c>
      <c r="AA72" s="58">
        <f>AVERAGE(U72,W72,Y72)</f>
        <v>1.6052166666666665</v>
      </c>
      <c r="AB72" s="58">
        <f t="shared" si="3"/>
        <v>3</v>
      </c>
      <c r="AC72" s="58">
        <f t="shared" si="3"/>
        <v>0.42137999999999998</v>
      </c>
      <c r="AD72" s="58">
        <f t="shared" si="3"/>
        <v>4</v>
      </c>
      <c r="AE72" s="58">
        <f t="shared" si="3"/>
        <v>0.82128000000000001</v>
      </c>
      <c r="AF72" s="58">
        <f t="shared" si="3"/>
        <v>2</v>
      </c>
      <c r="AG72" s="58">
        <f t="shared" si="3"/>
        <v>0.16971</v>
      </c>
      <c r="AH72" s="58">
        <f>AVERAGE(AB72,AD72,AF72)</f>
        <v>3</v>
      </c>
      <c r="AI72" s="58">
        <f>AVERAGE(AC72,AE72,AG72)</f>
        <v>0.47078999999999999</v>
      </c>
      <c r="AJ72" s="58">
        <f t="shared" si="3"/>
        <v>1</v>
      </c>
      <c r="AK72" s="58">
        <f t="shared" si="3"/>
        <v>6.9269999999999998E-2</v>
      </c>
      <c r="AL72" s="58">
        <f t="shared" si="3"/>
        <v>9</v>
      </c>
      <c r="AM72" s="58">
        <f t="shared" si="3"/>
        <v>5.7671599999999996</v>
      </c>
      <c r="AN72" s="58">
        <f t="shared" si="3"/>
        <v>22</v>
      </c>
      <c r="AO72" s="58">
        <f t="shared" si="3"/>
        <v>2.4105800000000004</v>
      </c>
      <c r="AP72" s="58">
        <f>AVERAGE(AJ72,AL72,AN72)</f>
        <v>10.666666666666666</v>
      </c>
      <c r="AQ72" s="58">
        <f>AVERAGE(AK72,AM72,AO72)</f>
        <v>2.749003333333333</v>
      </c>
      <c r="AR72" s="58">
        <f t="shared" si="3"/>
        <v>22</v>
      </c>
      <c r="AS72" s="58">
        <f t="shared" si="3"/>
        <v>0.91757</v>
      </c>
      <c r="AT72" s="58">
        <f t="shared" si="3"/>
        <v>13</v>
      </c>
      <c r="AU72" s="58">
        <f t="shared" si="3"/>
        <v>0.56037999999999999</v>
      </c>
      <c r="AV72" s="58">
        <f t="shared" si="3"/>
        <v>29</v>
      </c>
      <c r="AW72" s="58">
        <f t="shared" si="3"/>
        <v>1.2713000000000001</v>
      </c>
      <c r="AX72" s="58">
        <f>AVERAGE(AR72,AT72,AV72)</f>
        <v>21.333333333333332</v>
      </c>
      <c r="AY72" s="58">
        <f>AVERAGE(AS72,AU72,AW72)</f>
        <v>0.91641666666666666</v>
      </c>
    </row>
    <row r="73" spans="1:51" x14ac:dyDescent="0.2">
      <c r="A73" t="s">
        <v>4</v>
      </c>
      <c r="B73" s="14" t="s">
        <v>103</v>
      </c>
      <c r="C73" s="15" t="s">
        <v>78</v>
      </c>
      <c r="D73" s="16">
        <v>0</v>
      </c>
      <c r="E73" s="17">
        <v>0</v>
      </c>
      <c r="F73" s="18">
        <v>0</v>
      </c>
      <c r="G73" s="19">
        <v>0</v>
      </c>
      <c r="H73" s="18">
        <v>0</v>
      </c>
      <c r="I73" s="19">
        <v>0</v>
      </c>
      <c r="J73" s="15"/>
      <c r="K73" s="15"/>
      <c r="L73" s="16">
        <v>0</v>
      </c>
      <c r="M73" s="17">
        <v>0</v>
      </c>
      <c r="N73" s="16">
        <v>0</v>
      </c>
      <c r="O73" s="17">
        <v>0</v>
      </c>
      <c r="P73" s="16">
        <v>0</v>
      </c>
      <c r="Q73" s="17">
        <v>0</v>
      </c>
      <c r="R73" s="49"/>
      <c r="S73" s="49"/>
      <c r="T73" s="16">
        <v>0</v>
      </c>
      <c r="U73" s="17">
        <v>0</v>
      </c>
      <c r="V73" s="16">
        <v>0</v>
      </c>
      <c r="W73" s="17">
        <v>0</v>
      </c>
      <c r="X73" s="16">
        <v>1</v>
      </c>
      <c r="Y73" s="17">
        <v>0.64141700000000001</v>
      </c>
      <c r="Z73" s="49"/>
      <c r="AA73" s="49"/>
      <c r="AB73" s="16">
        <v>1</v>
      </c>
      <c r="AC73" s="17">
        <v>0.11763</v>
      </c>
      <c r="AD73" s="16">
        <v>1</v>
      </c>
      <c r="AE73" s="17">
        <v>0.11763</v>
      </c>
      <c r="AF73" s="16">
        <v>0</v>
      </c>
      <c r="AG73" s="17">
        <v>0</v>
      </c>
      <c r="AH73" s="49"/>
      <c r="AI73" s="49"/>
      <c r="AJ73" s="16">
        <v>0</v>
      </c>
      <c r="AK73" s="17">
        <v>0</v>
      </c>
      <c r="AL73" s="16">
        <v>0</v>
      </c>
      <c r="AM73" s="17">
        <v>0</v>
      </c>
      <c r="AN73" s="16">
        <v>0</v>
      </c>
      <c r="AO73" s="17">
        <v>0</v>
      </c>
      <c r="AP73" s="49"/>
      <c r="AQ73" s="49"/>
      <c r="AR73" s="16">
        <v>0</v>
      </c>
      <c r="AS73" s="17">
        <v>0</v>
      </c>
      <c r="AT73" s="16">
        <v>0</v>
      </c>
      <c r="AU73" s="17">
        <v>0</v>
      </c>
      <c r="AV73" s="16">
        <v>0</v>
      </c>
      <c r="AW73" s="17">
        <v>0</v>
      </c>
    </row>
    <row r="74" spans="1:51" x14ac:dyDescent="0.2">
      <c r="A74" t="s">
        <v>4</v>
      </c>
      <c r="B74" s="14" t="s">
        <v>104</v>
      </c>
      <c r="C74" s="15" t="s">
        <v>78</v>
      </c>
      <c r="D74" s="16">
        <v>0</v>
      </c>
      <c r="E74" s="17">
        <v>0</v>
      </c>
      <c r="F74" s="18">
        <v>0</v>
      </c>
      <c r="G74" s="19">
        <v>0</v>
      </c>
      <c r="H74" s="18">
        <v>2</v>
      </c>
      <c r="I74" s="19">
        <v>1.923</v>
      </c>
      <c r="J74" s="15"/>
      <c r="K74" s="15"/>
      <c r="L74" s="16">
        <v>0</v>
      </c>
      <c r="M74" s="17">
        <v>0</v>
      </c>
      <c r="N74" s="16">
        <v>0</v>
      </c>
      <c r="O74" s="17">
        <v>0</v>
      </c>
      <c r="P74" s="16">
        <v>0</v>
      </c>
      <c r="Q74" s="17">
        <v>0</v>
      </c>
      <c r="R74" s="49"/>
      <c r="S74" s="49"/>
      <c r="T74" s="16">
        <v>0</v>
      </c>
      <c r="U74" s="17">
        <v>0</v>
      </c>
      <c r="V74" s="16">
        <v>0</v>
      </c>
      <c r="W74" s="17">
        <v>0</v>
      </c>
      <c r="X74" s="16">
        <v>0</v>
      </c>
      <c r="Y74" s="17">
        <v>0</v>
      </c>
      <c r="Z74" s="49"/>
      <c r="AA74" s="49"/>
      <c r="AB74" s="16">
        <v>0</v>
      </c>
      <c r="AC74" s="17">
        <v>0</v>
      </c>
      <c r="AD74" s="16">
        <v>0</v>
      </c>
      <c r="AE74" s="17">
        <v>0</v>
      </c>
      <c r="AF74" s="16">
        <v>0</v>
      </c>
      <c r="AG74" s="17">
        <v>0</v>
      </c>
      <c r="AH74" s="49"/>
      <c r="AI74" s="49"/>
      <c r="AJ74" s="16">
        <v>0</v>
      </c>
      <c r="AK74" s="17">
        <v>0</v>
      </c>
      <c r="AL74" s="16">
        <v>0</v>
      </c>
      <c r="AM74" s="17">
        <v>0</v>
      </c>
      <c r="AN74" s="16">
        <v>0</v>
      </c>
      <c r="AO74" s="17">
        <v>0</v>
      </c>
      <c r="AP74" s="49"/>
      <c r="AQ74" s="49"/>
      <c r="AR74" s="16">
        <v>0</v>
      </c>
      <c r="AS74" s="17">
        <v>0</v>
      </c>
      <c r="AT74" s="16">
        <v>0</v>
      </c>
      <c r="AU74" s="17">
        <v>0</v>
      </c>
      <c r="AV74" s="16">
        <v>0</v>
      </c>
      <c r="AW74" s="17">
        <v>0</v>
      </c>
    </row>
    <row r="75" spans="1:51" x14ac:dyDescent="0.2">
      <c r="A75" t="s">
        <v>4</v>
      </c>
      <c r="B75" s="14" t="s">
        <v>105</v>
      </c>
      <c r="C75" s="15" t="s">
        <v>78</v>
      </c>
      <c r="D75" s="16">
        <v>2</v>
      </c>
      <c r="E75" s="17">
        <v>0.61055999999999999</v>
      </c>
      <c r="F75" s="18">
        <v>0</v>
      </c>
      <c r="G75" s="19">
        <v>0</v>
      </c>
      <c r="H75" s="18">
        <v>2</v>
      </c>
      <c r="I75" s="19">
        <v>0.61055999999999999</v>
      </c>
      <c r="J75" s="15"/>
      <c r="K75" s="15"/>
      <c r="L75" s="16">
        <v>1</v>
      </c>
      <c r="M75" s="17">
        <v>0.27221000000000001</v>
      </c>
      <c r="N75" s="16">
        <v>1</v>
      </c>
      <c r="O75" s="17">
        <v>0.27221000000000001</v>
      </c>
      <c r="P75" s="16">
        <v>1</v>
      </c>
      <c r="Q75" s="17">
        <v>0.27221000000000001</v>
      </c>
      <c r="R75" s="49"/>
      <c r="S75" s="49"/>
      <c r="T75" s="16">
        <v>2</v>
      </c>
      <c r="U75" s="17">
        <v>0.61055999999999999</v>
      </c>
      <c r="V75" s="16">
        <v>1</v>
      </c>
      <c r="W75" s="17">
        <v>0.75070999999999999</v>
      </c>
      <c r="X75" s="16">
        <v>0</v>
      </c>
      <c r="Y75" s="17">
        <v>0</v>
      </c>
      <c r="Z75" s="49"/>
      <c r="AA75" s="49"/>
      <c r="AB75" s="16">
        <v>2</v>
      </c>
      <c r="AC75" s="17">
        <v>0.37331000000000003</v>
      </c>
      <c r="AD75" s="16">
        <v>2</v>
      </c>
      <c r="AE75" s="17">
        <v>0.76788999999999996</v>
      </c>
      <c r="AF75" s="16">
        <v>2</v>
      </c>
      <c r="AG75" s="17">
        <v>0.88961000000000001</v>
      </c>
      <c r="AH75" s="49"/>
      <c r="AI75" s="49"/>
      <c r="AJ75" s="16">
        <v>2</v>
      </c>
      <c r="AK75" s="17">
        <v>0.54440999999999995</v>
      </c>
      <c r="AL75" s="16">
        <v>0</v>
      </c>
      <c r="AM75" s="17">
        <v>0</v>
      </c>
      <c r="AN75" s="16">
        <v>0</v>
      </c>
      <c r="AO75" s="17">
        <v>0</v>
      </c>
      <c r="AP75" s="49"/>
      <c r="AQ75" s="49"/>
      <c r="AR75" s="16">
        <v>2</v>
      </c>
      <c r="AS75" s="17">
        <v>1.3950500000000001</v>
      </c>
      <c r="AT75" s="16">
        <v>3</v>
      </c>
      <c r="AU75" s="17">
        <v>2.2754600000000003</v>
      </c>
      <c r="AV75" s="16">
        <v>1</v>
      </c>
      <c r="AW75" s="17">
        <v>5.8349999999999999E-2</v>
      </c>
    </row>
    <row r="76" spans="1:51" x14ac:dyDescent="0.2">
      <c r="A76" t="s">
        <v>4</v>
      </c>
      <c r="B76" s="14" t="s">
        <v>106</v>
      </c>
      <c r="C76" s="15" t="s">
        <v>78</v>
      </c>
      <c r="D76" s="16">
        <v>0</v>
      </c>
      <c r="E76" s="17">
        <v>0</v>
      </c>
      <c r="F76" s="18">
        <v>0</v>
      </c>
      <c r="G76" s="19">
        <v>0</v>
      </c>
      <c r="H76" s="18">
        <v>0</v>
      </c>
      <c r="I76" s="19">
        <v>0</v>
      </c>
      <c r="J76" s="15"/>
      <c r="K76" s="15"/>
      <c r="L76" s="16">
        <v>0</v>
      </c>
      <c r="M76" s="17">
        <v>0</v>
      </c>
      <c r="N76" s="16">
        <v>0</v>
      </c>
      <c r="O76" s="17">
        <v>0</v>
      </c>
      <c r="P76" s="16">
        <v>0</v>
      </c>
      <c r="Q76" s="17">
        <v>0</v>
      </c>
      <c r="R76" s="49"/>
      <c r="S76" s="49"/>
      <c r="T76" s="16">
        <v>0</v>
      </c>
      <c r="U76" s="17">
        <v>0</v>
      </c>
      <c r="V76" s="16">
        <v>0</v>
      </c>
      <c r="W76" s="17">
        <v>0</v>
      </c>
      <c r="X76" s="16">
        <v>0</v>
      </c>
      <c r="Y76" s="17">
        <v>0</v>
      </c>
      <c r="Z76" s="49"/>
      <c r="AA76" s="49"/>
      <c r="AB76" s="16">
        <v>0</v>
      </c>
      <c r="AC76" s="17">
        <v>0</v>
      </c>
      <c r="AD76" s="16">
        <v>0</v>
      </c>
      <c r="AE76" s="17">
        <v>0</v>
      </c>
      <c r="AF76" s="16">
        <v>0</v>
      </c>
      <c r="AG76" s="17">
        <v>0</v>
      </c>
      <c r="AH76" s="49"/>
      <c r="AI76" s="49"/>
      <c r="AJ76" s="16">
        <v>0</v>
      </c>
      <c r="AK76" s="17">
        <v>0</v>
      </c>
      <c r="AL76" s="16">
        <v>0</v>
      </c>
      <c r="AM76" s="17">
        <v>0</v>
      </c>
      <c r="AN76" s="16">
        <v>0</v>
      </c>
      <c r="AO76" s="17">
        <v>0</v>
      </c>
      <c r="AP76" s="49"/>
      <c r="AQ76" s="49"/>
      <c r="AR76" s="16">
        <v>0</v>
      </c>
      <c r="AS76" s="17">
        <v>0</v>
      </c>
      <c r="AT76" s="16">
        <v>0</v>
      </c>
      <c r="AU76" s="17">
        <v>0</v>
      </c>
      <c r="AV76" s="16">
        <v>0</v>
      </c>
      <c r="AW76" s="17">
        <v>0</v>
      </c>
    </row>
    <row r="77" spans="1:51" x14ac:dyDescent="0.2">
      <c r="A77" t="s">
        <v>4</v>
      </c>
      <c r="B77" s="14" t="s">
        <v>107</v>
      </c>
      <c r="C77" s="15" t="s">
        <v>78</v>
      </c>
      <c r="D77" s="16">
        <v>0</v>
      </c>
      <c r="E77" s="17">
        <v>0</v>
      </c>
      <c r="F77" s="18">
        <v>0</v>
      </c>
      <c r="G77" s="19">
        <v>0</v>
      </c>
      <c r="H77" s="18">
        <v>0</v>
      </c>
      <c r="I77" s="19">
        <v>0</v>
      </c>
      <c r="J77" s="15"/>
      <c r="K77" s="15"/>
      <c r="L77" s="16">
        <v>0</v>
      </c>
      <c r="M77" s="17">
        <v>0</v>
      </c>
      <c r="N77" s="16">
        <v>0</v>
      </c>
      <c r="O77" s="17">
        <v>0</v>
      </c>
      <c r="P77" s="16">
        <v>2</v>
      </c>
      <c r="Q77" s="17">
        <v>0.32412999999999997</v>
      </c>
      <c r="R77" s="49"/>
      <c r="S77" s="49"/>
      <c r="T77" s="16">
        <v>0</v>
      </c>
      <c r="U77" s="17">
        <v>0</v>
      </c>
      <c r="V77" s="16">
        <v>0</v>
      </c>
      <c r="W77" s="17">
        <v>0</v>
      </c>
      <c r="X77" s="16">
        <v>0</v>
      </c>
      <c r="Y77" s="17">
        <v>0</v>
      </c>
      <c r="Z77" s="49"/>
      <c r="AA77" s="49"/>
      <c r="AB77" s="16">
        <v>1</v>
      </c>
      <c r="AC77" s="17">
        <v>4.9169999999999998E-2</v>
      </c>
      <c r="AD77" s="16">
        <v>0</v>
      </c>
      <c r="AE77" s="17">
        <v>0</v>
      </c>
      <c r="AF77" s="16">
        <v>0</v>
      </c>
      <c r="AG77" s="17">
        <v>0</v>
      </c>
      <c r="AH77" s="49"/>
      <c r="AI77" s="49"/>
      <c r="AJ77" s="16">
        <v>0</v>
      </c>
      <c r="AK77" s="17">
        <v>0</v>
      </c>
      <c r="AL77" s="16">
        <v>0</v>
      </c>
      <c r="AM77" s="17">
        <v>0</v>
      </c>
      <c r="AN77" s="16">
        <v>0</v>
      </c>
      <c r="AO77" s="17">
        <v>0</v>
      </c>
      <c r="AP77" s="49"/>
      <c r="AQ77" s="49"/>
      <c r="AR77" s="16">
        <v>0</v>
      </c>
      <c r="AS77" s="17">
        <v>0</v>
      </c>
      <c r="AT77" s="16">
        <v>0</v>
      </c>
      <c r="AU77" s="17">
        <v>0</v>
      </c>
      <c r="AV77" s="16">
        <v>0</v>
      </c>
      <c r="AW77" s="17">
        <v>0</v>
      </c>
    </row>
    <row r="78" spans="1:51" x14ac:dyDescent="0.2">
      <c r="A78" t="s">
        <v>4</v>
      </c>
      <c r="B78" s="14" t="s">
        <v>108</v>
      </c>
      <c r="C78" s="15" t="s">
        <v>78</v>
      </c>
      <c r="D78" s="16">
        <v>0</v>
      </c>
      <c r="E78" s="17">
        <v>0</v>
      </c>
      <c r="F78" s="18">
        <v>0</v>
      </c>
      <c r="G78" s="19">
        <v>0</v>
      </c>
      <c r="H78" s="18">
        <v>0</v>
      </c>
      <c r="I78" s="19">
        <v>0</v>
      </c>
      <c r="J78" s="15"/>
      <c r="K78" s="15"/>
      <c r="L78" s="16">
        <v>0</v>
      </c>
      <c r="M78" s="17">
        <v>0</v>
      </c>
      <c r="N78" s="16">
        <v>1</v>
      </c>
      <c r="O78" s="17">
        <v>0.44985000000000003</v>
      </c>
      <c r="P78" s="16">
        <v>0</v>
      </c>
      <c r="Q78" s="17">
        <v>0</v>
      </c>
      <c r="R78" s="49"/>
      <c r="S78" s="49"/>
      <c r="T78" s="16">
        <v>0</v>
      </c>
      <c r="U78" s="17">
        <v>0</v>
      </c>
      <c r="V78" s="16">
        <v>0</v>
      </c>
      <c r="W78" s="17">
        <v>0</v>
      </c>
      <c r="X78" s="16">
        <v>0</v>
      </c>
      <c r="Y78" s="17">
        <v>0</v>
      </c>
      <c r="Z78" s="49"/>
      <c r="AA78" s="49"/>
      <c r="AB78" s="16">
        <v>0</v>
      </c>
      <c r="AC78" s="17">
        <v>0</v>
      </c>
      <c r="AD78" s="16">
        <v>0</v>
      </c>
      <c r="AE78" s="17">
        <v>0</v>
      </c>
      <c r="AF78" s="16">
        <v>0</v>
      </c>
      <c r="AG78" s="17">
        <v>0</v>
      </c>
      <c r="AH78" s="49"/>
      <c r="AI78" s="49"/>
      <c r="AJ78" s="16">
        <v>0</v>
      </c>
      <c r="AK78" s="17">
        <v>0</v>
      </c>
      <c r="AL78" s="16">
        <v>0</v>
      </c>
      <c r="AM78" s="17">
        <v>0</v>
      </c>
      <c r="AN78" s="16">
        <v>0</v>
      </c>
      <c r="AO78" s="17">
        <v>0</v>
      </c>
      <c r="AP78" s="49"/>
      <c r="AQ78" s="49"/>
      <c r="AR78" s="16">
        <v>0</v>
      </c>
      <c r="AS78" s="17">
        <v>0</v>
      </c>
      <c r="AT78" s="16">
        <v>0</v>
      </c>
      <c r="AU78" s="17">
        <v>0</v>
      </c>
      <c r="AV78" s="16">
        <v>0</v>
      </c>
      <c r="AW78" s="17">
        <v>0</v>
      </c>
    </row>
    <row r="79" spans="1:51" x14ac:dyDescent="0.2">
      <c r="A79" t="s">
        <v>4</v>
      </c>
      <c r="B79" s="14" t="s">
        <v>109</v>
      </c>
      <c r="C79" s="15" t="s">
        <v>78</v>
      </c>
      <c r="D79" s="16">
        <v>0</v>
      </c>
      <c r="E79" s="17">
        <v>0</v>
      </c>
      <c r="F79" s="18">
        <v>1</v>
      </c>
      <c r="G79" s="19">
        <v>3.1E-2</v>
      </c>
      <c r="H79" s="18">
        <v>0</v>
      </c>
      <c r="I79" s="19">
        <v>0</v>
      </c>
      <c r="J79" s="15"/>
      <c r="K79" s="15"/>
      <c r="L79" s="16">
        <v>10</v>
      </c>
      <c r="M79" s="17">
        <v>0.31001000000000001</v>
      </c>
      <c r="N79" s="16">
        <v>5</v>
      </c>
      <c r="O79" s="17">
        <v>0.22120000000000001</v>
      </c>
      <c r="P79" s="16">
        <v>3</v>
      </c>
      <c r="Q79" s="17">
        <v>0.14360000000000001</v>
      </c>
      <c r="R79" s="49"/>
      <c r="S79" s="49"/>
      <c r="T79" s="16">
        <v>2</v>
      </c>
      <c r="U79" s="17">
        <v>6.2E-2</v>
      </c>
      <c r="V79" s="16">
        <v>1</v>
      </c>
      <c r="W79" s="17">
        <v>4.7870000000000003E-2</v>
      </c>
      <c r="X79" s="16">
        <v>0</v>
      </c>
      <c r="Y79" s="17">
        <v>0</v>
      </c>
      <c r="Z79" s="49"/>
      <c r="AA79" s="49"/>
      <c r="AB79" s="16">
        <v>2</v>
      </c>
      <c r="AC79" s="17">
        <v>6.2E-2</v>
      </c>
      <c r="AD79" s="16">
        <v>1</v>
      </c>
      <c r="AE79" s="17">
        <v>6.9739999999999996E-2</v>
      </c>
      <c r="AF79" s="16">
        <v>0</v>
      </c>
      <c r="AG79" s="17">
        <v>0</v>
      </c>
      <c r="AH79" s="49"/>
      <c r="AI79" s="49"/>
      <c r="AJ79" s="16">
        <v>0</v>
      </c>
      <c r="AK79" s="17">
        <v>0</v>
      </c>
      <c r="AL79" s="16">
        <v>1</v>
      </c>
      <c r="AM79" s="17">
        <v>3.1E-2</v>
      </c>
      <c r="AN79" s="16">
        <v>1</v>
      </c>
      <c r="AO79" s="17">
        <v>3.1E-2</v>
      </c>
      <c r="AP79" s="49"/>
      <c r="AQ79" s="49"/>
      <c r="AR79" s="16">
        <v>0</v>
      </c>
      <c r="AS79" s="17">
        <v>0</v>
      </c>
      <c r="AT79" s="16">
        <v>0</v>
      </c>
      <c r="AU79" s="17">
        <v>0</v>
      </c>
      <c r="AV79" s="16">
        <v>0</v>
      </c>
      <c r="AW79" s="17">
        <v>0</v>
      </c>
    </row>
    <row r="80" spans="1:51" x14ac:dyDescent="0.2">
      <c r="A80" t="s">
        <v>4</v>
      </c>
      <c r="B80" s="14" t="s">
        <v>110</v>
      </c>
      <c r="C80" s="15" t="s">
        <v>78</v>
      </c>
      <c r="D80" s="16">
        <v>0</v>
      </c>
      <c r="E80" s="17">
        <v>0</v>
      </c>
      <c r="F80" s="18">
        <v>0</v>
      </c>
      <c r="G80" s="19">
        <v>0</v>
      </c>
      <c r="H80" s="18">
        <v>0</v>
      </c>
      <c r="I80" s="19">
        <v>0</v>
      </c>
      <c r="J80" s="15"/>
      <c r="K80" s="15"/>
      <c r="L80" s="16">
        <v>0</v>
      </c>
      <c r="M80" s="17">
        <v>0</v>
      </c>
      <c r="N80" s="16">
        <v>0</v>
      </c>
      <c r="O80" s="17">
        <v>0</v>
      </c>
      <c r="P80" s="16">
        <v>1</v>
      </c>
      <c r="Q80" s="17">
        <v>2.64E-2</v>
      </c>
      <c r="R80" s="49"/>
      <c r="S80" s="49"/>
      <c r="T80" s="16">
        <v>0</v>
      </c>
      <c r="U80" s="17">
        <v>0</v>
      </c>
      <c r="V80" s="16">
        <v>0</v>
      </c>
      <c r="W80" s="17">
        <v>0</v>
      </c>
      <c r="X80" s="16">
        <v>0</v>
      </c>
      <c r="Y80" s="17">
        <v>0</v>
      </c>
      <c r="Z80" s="49"/>
      <c r="AA80" s="49"/>
      <c r="AB80" s="16">
        <v>0</v>
      </c>
      <c r="AC80" s="17">
        <v>0</v>
      </c>
      <c r="AD80" s="16">
        <v>0</v>
      </c>
      <c r="AE80" s="17">
        <v>0</v>
      </c>
      <c r="AF80" s="16">
        <v>0</v>
      </c>
      <c r="AG80" s="17">
        <v>0</v>
      </c>
      <c r="AH80" s="49"/>
      <c r="AI80" s="49"/>
      <c r="AJ80" s="16">
        <v>0</v>
      </c>
      <c r="AK80" s="17">
        <v>0</v>
      </c>
      <c r="AL80" s="16">
        <v>0</v>
      </c>
      <c r="AM80" s="17">
        <v>0</v>
      </c>
      <c r="AN80" s="16">
        <v>0</v>
      </c>
      <c r="AO80" s="17">
        <v>0</v>
      </c>
      <c r="AP80" s="49"/>
      <c r="AQ80" s="49"/>
      <c r="AR80" s="16">
        <v>0</v>
      </c>
      <c r="AS80" s="17">
        <v>0</v>
      </c>
      <c r="AT80" s="16">
        <v>0</v>
      </c>
      <c r="AU80" s="17">
        <v>0</v>
      </c>
      <c r="AV80" s="16">
        <v>0</v>
      </c>
      <c r="AW80" s="17">
        <v>0</v>
      </c>
    </row>
    <row r="81" spans="1:51" x14ac:dyDescent="0.2">
      <c r="A81" t="s">
        <v>4</v>
      </c>
      <c r="B81" s="14" t="s">
        <v>111</v>
      </c>
      <c r="C81" s="15" t="s">
        <v>78</v>
      </c>
      <c r="D81" s="16">
        <v>0</v>
      </c>
      <c r="E81" s="17">
        <v>0</v>
      </c>
      <c r="F81" s="18">
        <v>0</v>
      </c>
      <c r="G81" s="19">
        <v>0</v>
      </c>
      <c r="H81" s="18">
        <v>0</v>
      </c>
      <c r="I81" s="19">
        <v>0</v>
      </c>
      <c r="J81" s="15"/>
      <c r="K81" s="15"/>
      <c r="L81" s="16">
        <v>0</v>
      </c>
      <c r="M81" s="17">
        <v>0</v>
      </c>
      <c r="N81" s="16">
        <v>0</v>
      </c>
      <c r="O81" s="17">
        <v>0</v>
      </c>
      <c r="P81" s="16">
        <v>0</v>
      </c>
      <c r="Q81" s="17">
        <v>0</v>
      </c>
      <c r="R81" s="49"/>
      <c r="S81" s="49"/>
      <c r="T81" s="16">
        <v>0</v>
      </c>
      <c r="U81" s="17">
        <v>0</v>
      </c>
      <c r="V81" s="16">
        <v>0</v>
      </c>
      <c r="W81" s="17">
        <v>0</v>
      </c>
      <c r="X81" s="16">
        <v>0</v>
      </c>
      <c r="Y81" s="17">
        <v>0</v>
      </c>
      <c r="Z81" s="49"/>
      <c r="AA81" s="49"/>
      <c r="AB81" s="16">
        <v>0</v>
      </c>
      <c r="AC81" s="17">
        <v>0</v>
      </c>
      <c r="AD81" s="16">
        <v>0</v>
      </c>
      <c r="AE81" s="17">
        <v>0</v>
      </c>
      <c r="AF81" s="16">
        <v>0</v>
      </c>
      <c r="AG81" s="17">
        <v>0</v>
      </c>
      <c r="AH81" s="49"/>
      <c r="AI81" s="49"/>
      <c r="AJ81" s="16">
        <v>0</v>
      </c>
      <c r="AK81" s="17">
        <v>0</v>
      </c>
      <c r="AL81" s="16">
        <v>0</v>
      </c>
      <c r="AM81" s="17">
        <v>0</v>
      </c>
      <c r="AN81" s="16">
        <v>0</v>
      </c>
      <c r="AO81" s="17">
        <v>0</v>
      </c>
      <c r="AP81" s="49"/>
      <c r="AQ81" s="49"/>
      <c r="AR81" s="16">
        <v>0</v>
      </c>
      <c r="AS81" s="17">
        <v>0</v>
      </c>
      <c r="AT81" s="16">
        <v>0</v>
      </c>
      <c r="AU81" s="17">
        <v>0</v>
      </c>
      <c r="AV81" s="16">
        <v>0</v>
      </c>
      <c r="AW81" s="17">
        <v>0</v>
      </c>
    </row>
    <row r="82" spans="1:51" x14ac:dyDescent="0.2">
      <c r="A82" t="s">
        <v>4</v>
      </c>
      <c r="B82" s="14" t="s">
        <v>112</v>
      </c>
      <c r="C82" s="15" t="s">
        <v>78</v>
      </c>
      <c r="D82" s="16">
        <v>0</v>
      </c>
      <c r="E82" s="17">
        <v>0</v>
      </c>
      <c r="F82" s="18">
        <v>0</v>
      </c>
      <c r="G82" s="19">
        <v>0</v>
      </c>
      <c r="H82" s="18">
        <v>0</v>
      </c>
      <c r="I82" s="19">
        <v>0</v>
      </c>
      <c r="J82" s="15"/>
      <c r="K82" s="15"/>
      <c r="L82" s="16">
        <v>0</v>
      </c>
      <c r="M82" s="17">
        <v>0</v>
      </c>
      <c r="N82" s="16">
        <v>0</v>
      </c>
      <c r="O82" s="17">
        <v>0</v>
      </c>
      <c r="P82" s="16">
        <v>0</v>
      </c>
      <c r="Q82" s="17">
        <v>0</v>
      </c>
      <c r="R82" s="49"/>
      <c r="S82" s="49"/>
      <c r="T82" s="16">
        <v>0</v>
      </c>
      <c r="U82" s="17">
        <v>0</v>
      </c>
      <c r="V82" s="16">
        <v>0</v>
      </c>
      <c r="W82" s="17">
        <v>0</v>
      </c>
      <c r="X82" s="16">
        <v>0</v>
      </c>
      <c r="Y82" s="17">
        <v>0</v>
      </c>
      <c r="Z82" s="49"/>
      <c r="AA82" s="49"/>
      <c r="AB82" s="16">
        <v>0</v>
      </c>
      <c r="AC82" s="17">
        <v>0</v>
      </c>
      <c r="AD82" s="16">
        <v>0</v>
      </c>
      <c r="AE82" s="17">
        <v>0</v>
      </c>
      <c r="AF82" s="16">
        <v>0</v>
      </c>
      <c r="AG82" s="17">
        <v>0</v>
      </c>
      <c r="AH82" s="49"/>
      <c r="AI82" s="49"/>
      <c r="AJ82" s="16">
        <v>0</v>
      </c>
      <c r="AK82" s="17">
        <v>0</v>
      </c>
      <c r="AL82" s="16">
        <v>0</v>
      </c>
      <c r="AM82" s="17">
        <v>0</v>
      </c>
      <c r="AN82" s="16">
        <v>0</v>
      </c>
      <c r="AO82" s="17">
        <v>0</v>
      </c>
      <c r="AP82" s="49"/>
      <c r="AQ82" s="49"/>
      <c r="AR82" s="16">
        <v>0</v>
      </c>
      <c r="AS82" s="17">
        <v>0</v>
      </c>
      <c r="AT82" s="16">
        <v>0</v>
      </c>
      <c r="AU82" s="17">
        <v>0</v>
      </c>
      <c r="AV82" s="16">
        <v>0</v>
      </c>
      <c r="AW82" s="17">
        <v>0</v>
      </c>
    </row>
    <row r="83" spans="1:51" x14ac:dyDescent="0.2">
      <c r="A83" t="s">
        <v>4</v>
      </c>
      <c r="B83" s="14" t="s">
        <v>113</v>
      </c>
      <c r="C83" s="15" t="s">
        <v>78</v>
      </c>
      <c r="D83" s="16">
        <v>0</v>
      </c>
      <c r="E83" s="17">
        <v>0</v>
      </c>
      <c r="F83" s="18">
        <v>0</v>
      </c>
      <c r="G83" s="19">
        <v>0</v>
      </c>
      <c r="H83" s="18">
        <v>0</v>
      </c>
      <c r="I83" s="19">
        <v>0</v>
      </c>
      <c r="J83" s="15"/>
      <c r="K83" s="15"/>
      <c r="L83" s="16">
        <v>0</v>
      </c>
      <c r="M83" s="17">
        <v>0</v>
      </c>
      <c r="N83" s="16">
        <v>0</v>
      </c>
      <c r="O83" s="17">
        <v>0</v>
      </c>
      <c r="P83" s="16">
        <v>0</v>
      </c>
      <c r="Q83" s="17">
        <v>0</v>
      </c>
      <c r="R83" s="49"/>
      <c r="S83" s="49"/>
      <c r="T83" s="16">
        <v>0</v>
      </c>
      <c r="U83" s="17">
        <v>0</v>
      </c>
      <c r="V83" s="16">
        <v>0</v>
      </c>
      <c r="W83" s="17">
        <v>0</v>
      </c>
      <c r="X83" s="16">
        <v>0</v>
      </c>
      <c r="Y83" s="17">
        <v>0</v>
      </c>
      <c r="Z83" s="49"/>
      <c r="AA83" s="49"/>
      <c r="AB83" s="16">
        <v>0</v>
      </c>
      <c r="AC83" s="17">
        <v>0</v>
      </c>
      <c r="AD83" s="16">
        <v>0</v>
      </c>
      <c r="AE83" s="17">
        <v>0</v>
      </c>
      <c r="AF83" s="16">
        <v>0</v>
      </c>
      <c r="AG83" s="17">
        <v>0</v>
      </c>
      <c r="AH83" s="49"/>
      <c r="AI83" s="49"/>
      <c r="AJ83" s="16">
        <v>0</v>
      </c>
      <c r="AK83" s="17">
        <v>0</v>
      </c>
      <c r="AL83" s="16">
        <v>0</v>
      </c>
      <c r="AM83" s="17">
        <v>0</v>
      </c>
      <c r="AN83" s="16">
        <v>0</v>
      </c>
      <c r="AO83" s="17">
        <v>0</v>
      </c>
      <c r="AP83" s="49"/>
      <c r="AQ83" s="49"/>
      <c r="AR83" s="16">
        <v>0</v>
      </c>
      <c r="AS83" s="17">
        <v>0</v>
      </c>
      <c r="AT83" s="16">
        <v>0</v>
      </c>
      <c r="AU83" s="17">
        <v>0</v>
      </c>
      <c r="AV83" s="16">
        <v>0</v>
      </c>
      <c r="AW83" s="17">
        <v>0</v>
      </c>
    </row>
    <row r="84" spans="1:51" x14ac:dyDescent="0.2">
      <c r="A84" t="s">
        <v>4</v>
      </c>
      <c r="B84" s="14" t="s">
        <v>114</v>
      </c>
      <c r="C84" s="15" t="s">
        <v>78</v>
      </c>
      <c r="D84" s="16">
        <v>0</v>
      </c>
      <c r="E84" s="17">
        <v>0</v>
      </c>
      <c r="F84" s="18">
        <v>0</v>
      </c>
      <c r="G84" s="19">
        <v>0</v>
      </c>
      <c r="H84" s="18">
        <v>1</v>
      </c>
      <c r="I84" s="19">
        <v>0.39412999999999998</v>
      </c>
      <c r="J84" s="15"/>
      <c r="K84" s="15"/>
      <c r="L84" s="16">
        <v>0</v>
      </c>
      <c r="M84" s="17">
        <v>0</v>
      </c>
      <c r="N84" s="16">
        <v>0</v>
      </c>
      <c r="O84" s="17">
        <v>0</v>
      </c>
      <c r="P84" s="16">
        <v>0</v>
      </c>
      <c r="Q84" s="17">
        <v>0</v>
      </c>
      <c r="R84" s="49"/>
      <c r="S84" s="49"/>
      <c r="T84" s="16">
        <v>0</v>
      </c>
      <c r="U84" s="17">
        <v>0</v>
      </c>
      <c r="V84" s="16">
        <v>0</v>
      </c>
      <c r="W84" s="17">
        <v>0</v>
      </c>
      <c r="X84" s="16">
        <v>0</v>
      </c>
      <c r="Y84" s="17">
        <v>0</v>
      </c>
      <c r="Z84" s="49"/>
      <c r="AA84" s="49"/>
      <c r="AB84" s="16">
        <v>0</v>
      </c>
      <c r="AC84" s="17">
        <v>0</v>
      </c>
      <c r="AD84" s="16">
        <v>0</v>
      </c>
      <c r="AE84" s="17">
        <v>0</v>
      </c>
      <c r="AF84" s="16">
        <v>0</v>
      </c>
      <c r="AG84" s="17">
        <v>0</v>
      </c>
      <c r="AH84" s="49"/>
      <c r="AI84" s="49"/>
      <c r="AJ84" s="16">
        <v>0</v>
      </c>
      <c r="AK84" s="17">
        <v>0</v>
      </c>
      <c r="AL84" s="16">
        <v>0</v>
      </c>
      <c r="AM84" s="17">
        <v>0</v>
      </c>
      <c r="AN84" s="16">
        <v>0</v>
      </c>
      <c r="AO84" s="17">
        <v>0</v>
      </c>
      <c r="AP84" s="49"/>
      <c r="AQ84" s="49"/>
      <c r="AR84" s="16">
        <v>0</v>
      </c>
      <c r="AS84" s="17">
        <v>0</v>
      </c>
      <c r="AT84" s="16">
        <v>0</v>
      </c>
      <c r="AU84" s="17">
        <v>0</v>
      </c>
      <c r="AV84" s="16">
        <v>0</v>
      </c>
      <c r="AW84" s="17">
        <v>0</v>
      </c>
    </row>
    <row r="85" spans="1:51" x14ac:dyDescent="0.2">
      <c r="A85" t="s">
        <v>4</v>
      </c>
      <c r="B85" s="14" t="s">
        <v>115</v>
      </c>
      <c r="C85" s="15" t="s">
        <v>78</v>
      </c>
      <c r="D85" s="16">
        <v>0</v>
      </c>
      <c r="E85" s="17">
        <v>0</v>
      </c>
      <c r="F85" s="18">
        <v>0</v>
      </c>
      <c r="G85" s="19">
        <v>0</v>
      </c>
      <c r="H85" s="18">
        <v>0</v>
      </c>
      <c r="I85" s="19">
        <v>0</v>
      </c>
      <c r="J85" s="15"/>
      <c r="K85" s="15"/>
      <c r="L85" s="16">
        <v>0</v>
      </c>
      <c r="M85" s="17">
        <v>0</v>
      </c>
      <c r="N85" s="16">
        <v>0</v>
      </c>
      <c r="O85" s="17">
        <v>0</v>
      </c>
      <c r="P85" s="16">
        <v>0</v>
      </c>
      <c r="Q85" s="17">
        <v>0</v>
      </c>
      <c r="R85" s="49"/>
      <c r="S85" s="49"/>
      <c r="T85" s="16">
        <v>0</v>
      </c>
      <c r="U85" s="17">
        <v>0</v>
      </c>
      <c r="V85" s="16">
        <v>1</v>
      </c>
      <c r="W85" s="17">
        <v>0.11439000000000001</v>
      </c>
      <c r="X85" s="16">
        <v>0</v>
      </c>
      <c r="Y85" s="17">
        <v>0</v>
      </c>
      <c r="Z85" s="49"/>
      <c r="AA85" s="49"/>
      <c r="AB85" s="16">
        <v>0</v>
      </c>
      <c r="AC85" s="17">
        <v>0</v>
      </c>
      <c r="AD85" s="16">
        <v>0</v>
      </c>
      <c r="AE85" s="17">
        <v>0</v>
      </c>
      <c r="AF85" s="16">
        <v>0</v>
      </c>
      <c r="AG85" s="17">
        <v>0</v>
      </c>
      <c r="AH85" s="49"/>
      <c r="AI85" s="49"/>
      <c r="AJ85" s="16">
        <v>0</v>
      </c>
      <c r="AK85" s="17">
        <v>0</v>
      </c>
      <c r="AL85" s="16">
        <v>0</v>
      </c>
      <c r="AM85" s="17">
        <v>0</v>
      </c>
      <c r="AN85" s="16">
        <v>0</v>
      </c>
      <c r="AO85" s="17">
        <v>0</v>
      </c>
      <c r="AP85" s="49"/>
      <c r="AQ85" s="49"/>
      <c r="AR85" s="16">
        <v>0</v>
      </c>
      <c r="AS85" s="17">
        <v>0</v>
      </c>
      <c r="AT85" s="16">
        <v>0</v>
      </c>
      <c r="AU85" s="17">
        <v>0</v>
      </c>
      <c r="AV85" s="16">
        <v>0</v>
      </c>
      <c r="AW85" s="17">
        <v>0</v>
      </c>
    </row>
    <row r="86" spans="1:51" x14ac:dyDescent="0.2">
      <c r="A86" t="s">
        <v>4</v>
      </c>
      <c r="B86" s="14" t="s">
        <v>116</v>
      </c>
      <c r="C86" s="15" t="s">
        <v>78</v>
      </c>
      <c r="D86" s="16">
        <v>0</v>
      </c>
      <c r="E86" s="17">
        <v>0</v>
      </c>
      <c r="F86" s="18">
        <v>0</v>
      </c>
      <c r="G86" s="19">
        <v>0</v>
      </c>
      <c r="H86" s="18">
        <v>0</v>
      </c>
      <c r="I86" s="19">
        <v>0</v>
      </c>
      <c r="J86" s="15"/>
      <c r="K86" s="15"/>
      <c r="L86" s="16">
        <v>0</v>
      </c>
      <c r="M86" s="17">
        <v>0</v>
      </c>
      <c r="N86" s="16">
        <v>0</v>
      </c>
      <c r="O86" s="17">
        <v>0</v>
      </c>
      <c r="P86" s="16">
        <v>0</v>
      </c>
      <c r="Q86" s="17">
        <v>0</v>
      </c>
      <c r="R86" s="49"/>
      <c r="S86" s="49"/>
      <c r="T86" s="16">
        <v>0</v>
      </c>
      <c r="U86" s="17">
        <v>0</v>
      </c>
      <c r="V86" s="16">
        <v>0</v>
      </c>
      <c r="W86" s="17">
        <v>0</v>
      </c>
      <c r="X86" s="16">
        <v>0</v>
      </c>
      <c r="Y86" s="17">
        <v>0</v>
      </c>
      <c r="Z86" s="49"/>
      <c r="AA86" s="49"/>
      <c r="AB86" s="16">
        <v>0</v>
      </c>
      <c r="AC86" s="17">
        <v>0</v>
      </c>
      <c r="AD86" s="16">
        <v>0</v>
      </c>
      <c r="AE86" s="17">
        <v>0</v>
      </c>
      <c r="AF86" s="16">
        <v>0</v>
      </c>
      <c r="AG86" s="17">
        <v>0</v>
      </c>
      <c r="AH86" s="49"/>
      <c r="AI86" s="49"/>
      <c r="AJ86" s="16">
        <v>0</v>
      </c>
      <c r="AK86" s="17">
        <v>0</v>
      </c>
      <c r="AL86" s="16">
        <v>0</v>
      </c>
      <c r="AM86" s="17">
        <v>0</v>
      </c>
      <c r="AN86" s="16">
        <v>0</v>
      </c>
      <c r="AO86" s="17">
        <v>0</v>
      </c>
      <c r="AP86" s="49"/>
      <c r="AQ86" s="49"/>
      <c r="AR86" s="16">
        <v>0</v>
      </c>
      <c r="AS86" s="17">
        <v>0</v>
      </c>
      <c r="AT86" s="16">
        <v>0</v>
      </c>
      <c r="AU86" s="17">
        <v>0</v>
      </c>
      <c r="AV86" s="16">
        <v>0</v>
      </c>
      <c r="AW86" s="17">
        <v>0</v>
      </c>
    </row>
    <row r="87" spans="1:51" x14ac:dyDescent="0.2">
      <c r="A87" t="s">
        <v>4</v>
      </c>
      <c r="B87" s="14" t="s">
        <v>117</v>
      </c>
      <c r="C87" s="15" t="s">
        <v>78</v>
      </c>
      <c r="D87" s="16">
        <v>0</v>
      </c>
      <c r="E87" s="17">
        <v>0</v>
      </c>
      <c r="F87" s="18">
        <v>0</v>
      </c>
      <c r="G87" s="19">
        <v>0</v>
      </c>
      <c r="H87" s="18">
        <v>0</v>
      </c>
      <c r="I87" s="19">
        <v>0</v>
      </c>
      <c r="J87" s="15"/>
      <c r="K87" s="15"/>
      <c r="L87" s="16">
        <v>0</v>
      </c>
      <c r="M87" s="17">
        <v>0</v>
      </c>
      <c r="N87" s="16">
        <v>0</v>
      </c>
      <c r="O87" s="17">
        <v>0</v>
      </c>
      <c r="P87" s="16">
        <v>1</v>
      </c>
      <c r="Q87" s="17">
        <v>20.832039999999999</v>
      </c>
      <c r="R87" s="49"/>
      <c r="S87" s="49"/>
      <c r="T87" s="16">
        <v>1</v>
      </c>
      <c r="U87" s="17">
        <v>3.2738299999999998</v>
      </c>
      <c r="V87" s="16">
        <v>0</v>
      </c>
      <c r="W87" s="17">
        <v>0</v>
      </c>
      <c r="X87" s="16">
        <v>0</v>
      </c>
      <c r="Y87" s="17">
        <v>0</v>
      </c>
      <c r="Z87" s="49"/>
      <c r="AA87" s="49"/>
      <c r="AB87" s="16">
        <v>0</v>
      </c>
      <c r="AC87" s="17">
        <v>0</v>
      </c>
      <c r="AD87" s="16">
        <v>0</v>
      </c>
      <c r="AE87" s="17">
        <v>0</v>
      </c>
      <c r="AF87" s="16">
        <v>0</v>
      </c>
      <c r="AG87" s="17">
        <v>0</v>
      </c>
      <c r="AH87" s="49"/>
      <c r="AI87" s="49"/>
      <c r="AJ87" s="16">
        <v>0</v>
      </c>
      <c r="AK87" s="17">
        <v>0</v>
      </c>
      <c r="AL87" s="16">
        <v>0</v>
      </c>
      <c r="AM87" s="17">
        <v>0</v>
      </c>
      <c r="AN87" s="16">
        <v>0</v>
      </c>
      <c r="AO87" s="17">
        <v>0</v>
      </c>
      <c r="AP87" s="49"/>
      <c r="AQ87" s="49"/>
      <c r="AR87" s="16">
        <v>0</v>
      </c>
      <c r="AS87" s="17">
        <v>0</v>
      </c>
      <c r="AT87" s="16">
        <v>0</v>
      </c>
      <c r="AU87" s="17">
        <v>0</v>
      </c>
      <c r="AV87" s="16">
        <v>0</v>
      </c>
      <c r="AW87" s="17">
        <v>0</v>
      </c>
    </row>
    <row r="88" spans="1:51" x14ac:dyDescent="0.2">
      <c r="A88" t="s">
        <v>4</v>
      </c>
      <c r="B88" s="14" t="s">
        <v>118</v>
      </c>
      <c r="C88" s="15" t="s">
        <v>36</v>
      </c>
      <c r="D88" s="16">
        <v>0</v>
      </c>
      <c r="E88" s="17">
        <v>0</v>
      </c>
      <c r="F88" s="18">
        <v>0</v>
      </c>
      <c r="G88" s="19">
        <v>0</v>
      </c>
      <c r="H88" s="18">
        <v>0</v>
      </c>
      <c r="I88" s="19">
        <v>0</v>
      </c>
      <c r="J88" s="15"/>
      <c r="K88" s="15"/>
      <c r="L88" s="16">
        <v>0</v>
      </c>
      <c r="M88" s="17">
        <v>0</v>
      </c>
      <c r="N88" s="16">
        <v>40</v>
      </c>
      <c r="O88" s="17">
        <v>0.57565999999999995</v>
      </c>
      <c r="P88" s="16">
        <v>0</v>
      </c>
      <c r="Q88" s="17">
        <v>0</v>
      </c>
      <c r="R88" s="49"/>
      <c r="S88" s="49"/>
      <c r="T88" s="16">
        <v>0</v>
      </c>
      <c r="U88" s="17">
        <v>0</v>
      </c>
      <c r="V88" s="16">
        <v>0</v>
      </c>
      <c r="W88" s="17">
        <v>0</v>
      </c>
      <c r="X88" s="16">
        <v>0</v>
      </c>
      <c r="Y88" s="17">
        <v>0</v>
      </c>
      <c r="Z88" s="49"/>
      <c r="AA88" s="49"/>
      <c r="AB88" s="16">
        <v>0</v>
      </c>
      <c r="AC88" s="17">
        <v>0</v>
      </c>
      <c r="AD88" s="16">
        <v>0</v>
      </c>
      <c r="AE88" s="17">
        <v>0</v>
      </c>
      <c r="AF88" s="16">
        <v>0</v>
      </c>
      <c r="AG88" s="17">
        <v>0</v>
      </c>
      <c r="AH88" s="49"/>
      <c r="AI88" s="49"/>
      <c r="AJ88" s="16">
        <v>0</v>
      </c>
      <c r="AK88" s="17">
        <v>0</v>
      </c>
      <c r="AL88" s="16">
        <v>0</v>
      </c>
      <c r="AM88" s="17">
        <v>0</v>
      </c>
      <c r="AN88" s="16">
        <v>0</v>
      </c>
      <c r="AO88" s="17">
        <v>0</v>
      </c>
      <c r="AP88" s="49"/>
      <c r="AQ88" s="49"/>
      <c r="AR88" s="16">
        <v>0</v>
      </c>
      <c r="AS88" s="17">
        <v>0</v>
      </c>
      <c r="AT88" s="16">
        <v>0</v>
      </c>
      <c r="AU88" s="17">
        <v>0</v>
      </c>
      <c r="AV88" s="16">
        <v>0</v>
      </c>
      <c r="AW88" s="17">
        <v>0</v>
      </c>
    </row>
    <row r="89" spans="1:51" x14ac:dyDescent="0.2">
      <c r="A89" t="s">
        <v>4</v>
      </c>
      <c r="B89" s="14" t="s">
        <v>119</v>
      </c>
      <c r="C89" s="15" t="s">
        <v>78</v>
      </c>
      <c r="D89" s="16">
        <v>1</v>
      </c>
      <c r="E89" s="17">
        <v>5.5626199999999999</v>
      </c>
      <c r="F89" s="18">
        <v>1</v>
      </c>
      <c r="G89" s="19">
        <v>17.65436</v>
      </c>
      <c r="H89" s="18">
        <v>1</v>
      </c>
      <c r="I89" s="19">
        <v>1.8711899999999999</v>
      </c>
      <c r="J89" s="15"/>
      <c r="K89" s="15"/>
      <c r="L89" s="16">
        <v>0</v>
      </c>
      <c r="M89" s="17">
        <v>0</v>
      </c>
      <c r="N89" s="16">
        <v>1</v>
      </c>
      <c r="O89" s="17">
        <v>3.3767999999999998</v>
      </c>
      <c r="P89" s="16">
        <v>0</v>
      </c>
      <c r="Q89" s="17">
        <v>0</v>
      </c>
      <c r="R89" s="49"/>
      <c r="S89" s="49"/>
      <c r="T89" s="16">
        <v>0</v>
      </c>
      <c r="U89" s="17">
        <v>0</v>
      </c>
      <c r="V89" s="16">
        <v>1</v>
      </c>
      <c r="W89" s="17">
        <v>3.3767999999999998</v>
      </c>
      <c r="X89" s="16">
        <v>1</v>
      </c>
      <c r="Y89" s="17">
        <v>1.8711899999999999</v>
      </c>
      <c r="Z89" s="49"/>
      <c r="AA89" s="49"/>
      <c r="AB89" s="16">
        <v>0</v>
      </c>
      <c r="AC89" s="17">
        <v>0</v>
      </c>
      <c r="AD89" s="16">
        <v>0</v>
      </c>
      <c r="AE89" s="17">
        <v>0</v>
      </c>
      <c r="AF89" s="16">
        <v>0</v>
      </c>
      <c r="AG89" s="17">
        <v>0</v>
      </c>
      <c r="AH89" s="49"/>
      <c r="AI89" s="49"/>
      <c r="AJ89" s="16">
        <v>1</v>
      </c>
      <c r="AK89" s="17">
        <v>5.5626199999999999</v>
      </c>
      <c r="AL89" s="16">
        <v>1</v>
      </c>
      <c r="AM89" s="17">
        <v>5.56562</v>
      </c>
      <c r="AN89" s="16">
        <v>1</v>
      </c>
      <c r="AO89" s="17">
        <v>5.5626199999999999</v>
      </c>
      <c r="AP89" s="49"/>
      <c r="AQ89" s="49"/>
      <c r="AR89" s="16">
        <v>0</v>
      </c>
      <c r="AS89" s="17">
        <v>0</v>
      </c>
      <c r="AT89" s="16">
        <v>0</v>
      </c>
      <c r="AU89" s="17">
        <v>0</v>
      </c>
      <c r="AV89" s="16">
        <v>0</v>
      </c>
      <c r="AW89" s="17">
        <v>0</v>
      </c>
    </row>
    <row r="90" spans="1:51" x14ac:dyDescent="0.2">
      <c r="A90" t="s">
        <v>4</v>
      </c>
      <c r="B90" s="14" t="s">
        <v>120</v>
      </c>
      <c r="C90" s="15" t="s">
        <v>78</v>
      </c>
      <c r="D90" s="16">
        <v>0</v>
      </c>
      <c r="E90" s="17">
        <v>0</v>
      </c>
      <c r="F90" s="18">
        <v>0</v>
      </c>
      <c r="G90" s="19">
        <v>0</v>
      </c>
      <c r="H90" s="18">
        <v>0</v>
      </c>
      <c r="I90" s="19">
        <v>0</v>
      </c>
      <c r="J90" s="15"/>
      <c r="K90" s="15"/>
      <c r="L90" s="16">
        <v>1</v>
      </c>
      <c r="M90" s="17">
        <v>7.9858200000000004</v>
      </c>
      <c r="N90" s="16">
        <v>0</v>
      </c>
      <c r="O90" s="17">
        <v>0</v>
      </c>
      <c r="P90" s="16">
        <v>0</v>
      </c>
      <c r="Q90" s="17">
        <v>0</v>
      </c>
      <c r="R90" s="49"/>
      <c r="S90" s="49"/>
      <c r="T90" s="16">
        <v>0</v>
      </c>
      <c r="U90" s="17">
        <v>0</v>
      </c>
      <c r="V90" s="16">
        <v>0</v>
      </c>
      <c r="W90" s="17">
        <v>0</v>
      </c>
      <c r="X90" s="16">
        <v>1</v>
      </c>
      <c r="Y90" s="17">
        <v>4.2076000000000002</v>
      </c>
      <c r="Z90" s="49"/>
      <c r="AA90" s="49"/>
      <c r="AB90" s="16">
        <v>0</v>
      </c>
      <c r="AC90" s="17">
        <v>0</v>
      </c>
      <c r="AD90" s="16">
        <v>0</v>
      </c>
      <c r="AE90" s="17">
        <v>0</v>
      </c>
      <c r="AF90" s="16">
        <v>0</v>
      </c>
      <c r="AG90" s="17">
        <v>0</v>
      </c>
      <c r="AH90" s="49"/>
      <c r="AI90" s="49"/>
      <c r="AJ90" s="16">
        <v>0</v>
      </c>
      <c r="AK90" s="17">
        <v>0</v>
      </c>
      <c r="AL90" s="16">
        <v>0</v>
      </c>
      <c r="AM90" s="17">
        <v>0</v>
      </c>
      <c r="AN90" s="16">
        <v>0</v>
      </c>
      <c r="AO90" s="17">
        <v>0</v>
      </c>
      <c r="AP90" s="49"/>
      <c r="AQ90" s="49"/>
      <c r="AR90" s="16">
        <v>0</v>
      </c>
      <c r="AS90" s="17">
        <v>0</v>
      </c>
      <c r="AT90" s="16">
        <v>0</v>
      </c>
      <c r="AU90" s="17">
        <v>0</v>
      </c>
      <c r="AV90" s="16">
        <v>0</v>
      </c>
      <c r="AW90" s="17">
        <v>0</v>
      </c>
    </row>
    <row r="91" spans="1:51" x14ac:dyDescent="0.2">
      <c r="A91" s="24" t="s">
        <v>4</v>
      </c>
      <c r="B91" s="25" t="s">
        <v>121</v>
      </c>
      <c r="C91" s="26" t="s">
        <v>58</v>
      </c>
      <c r="D91" s="27">
        <v>0</v>
      </c>
      <c r="E91" s="28">
        <v>0</v>
      </c>
      <c r="F91" s="29">
        <v>0</v>
      </c>
      <c r="G91" s="30">
        <v>0</v>
      </c>
      <c r="H91" s="29">
        <v>0</v>
      </c>
      <c r="I91" s="30">
        <v>0</v>
      </c>
      <c r="J91" s="26"/>
      <c r="K91" s="26"/>
      <c r="L91" s="27">
        <v>0</v>
      </c>
      <c r="M91" s="28">
        <v>0</v>
      </c>
      <c r="N91" s="27">
        <v>0</v>
      </c>
      <c r="O91" s="28">
        <v>0</v>
      </c>
      <c r="P91" s="27">
        <v>0</v>
      </c>
      <c r="Q91" s="28">
        <v>0</v>
      </c>
      <c r="R91" s="50"/>
      <c r="S91" s="50"/>
      <c r="T91" s="27">
        <v>0</v>
      </c>
      <c r="U91" s="28">
        <v>0</v>
      </c>
      <c r="V91" s="27">
        <v>4</v>
      </c>
      <c r="W91" s="28">
        <v>1.2579999999999999E-2</v>
      </c>
      <c r="X91" s="27">
        <v>0</v>
      </c>
      <c r="Y91" s="28">
        <v>0</v>
      </c>
      <c r="Z91" s="50"/>
      <c r="AA91" s="50"/>
      <c r="AB91" s="27">
        <v>0</v>
      </c>
      <c r="AC91" s="28">
        <v>0</v>
      </c>
      <c r="AD91" s="27">
        <v>1</v>
      </c>
      <c r="AE91" s="28">
        <v>7.9299999999999995E-3</v>
      </c>
      <c r="AF91" s="27">
        <v>0</v>
      </c>
      <c r="AG91" s="28">
        <v>0</v>
      </c>
      <c r="AH91" s="50"/>
      <c r="AI91" s="50"/>
      <c r="AJ91" s="27">
        <v>0</v>
      </c>
      <c r="AK91" s="28">
        <v>0</v>
      </c>
      <c r="AL91" s="27">
        <v>0</v>
      </c>
      <c r="AM91" s="28">
        <v>0</v>
      </c>
      <c r="AN91" s="27">
        <v>0</v>
      </c>
      <c r="AO91" s="28">
        <v>0</v>
      </c>
      <c r="AP91" s="50"/>
      <c r="AQ91" s="50"/>
      <c r="AR91" s="27">
        <v>0</v>
      </c>
      <c r="AS91" s="28">
        <v>0</v>
      </c>
      <c r="AT91" s="27">
        <v>0</v>
      </c>
      <c r="AU91" s="28">
        <v>0</v>
      </c>
      <c r="AV91" s="27">
        <v>0</v>
      </c>
      <c r="AW91" s="28">
        <v>0</v>
      </c>
    </row>
    <row r="92" spans="1:51" x14ac:dyDescent="0.2">
      <c r="A92" t="s">
        <v>4</v>
      </c>
      <c r="B92" s="14" t="s">
        <v>122</v>
      </c>
      <c r="C92" s="15" t="s">
        <v>36</v>
      </c>
      <c r="D92" s="16">
        <v>0</v>
      </c>
      <c r="E92" s="17">
        <v>0</v>
      </c>
      <c r="F92" s="18">
        <v>0</v>
      </c>
      <c r="G92" s="19">
        <v>0</v>
      </c>
      <c r="H92" s="18">
        <v>0</v>
      </c>
      <c r="I92" s="19">
        <v>0</v>
      </c>
      <c r="J92" s="15"/>
      <c r="K92" s="15"/>
      <c r="L92" s="16">
        <v>6</v>
      </c>
      <c r="M92" s="17">
        <v>1.9040000000000001E-2</v>
      </c>
      <c r="N92" s="16">
        <v>14</v>
      </c>
      <c r="O92" s="17">
        <v>0.10639</v>
      </c>
      <c r="P92" s="16">
        <v>110</v>
      </c>
      <c r="Q92" s="17">
        <v>0.20075000000000001</v>
      </c>
      <c r="R92" s="49"/>
      <c r="S92" s="49"/>
      <c r="T92" s="16">
        <v>40</v>
      </c>
      <c r="U92" s="17">
        <v>0.12695000000000001</v>
      </c>
      <c r="V92" s="16">
        <v>12</v>
      </c>
      <c r="W92" s="17">
        <v>3.8080000000000003E-2</v>
      </c>
      <c r="X92" s="16">
        <v>130</v>
      </c>
      <c r="Y92" s="17">
        <v>0.38884000000000002</v>
      </c>
      <c r="Z92" s="49"/>
      <c r="AA92" s="49"/>
      <c r="AB92" s="16">
        <v>0</v>
      </c>
      <c r="AC92" s="17">
        <v>0</v>
      </c>
      <c r="AD92" s="16">
        <v>0</v>
      </c>
      <c r="AE92" s="17">
        <v>0</v>
      </c>
      <c r="AF92" s="16">
        <v>0</v>
      </c>
      <c r="AG92" s="17">
        <v>0</v>
      </c>
      <c r="AH92" s="49"/>
      <c r="AI92" s="49"/>
      <c r="AJ92" s="16">
        <v>0</v>
      </c>
      <c r="AK92" s="17">
        <v>0</v>
      </c>
      <c r="AL92" s="16">
        <v>0</v>
      </c>
      <c r="AM92" s="17">
        <v>0</v>
      </c>
      <c r="AN92" s="16">
        <v>0</v>
      </c>
      <c r="AO92" s="17">
        <v>0</v>
      </c>
      <c r="AP92" s="49"/>
      <c r="AQ92" s="49"/>
      <c r="AR92" s="16">
        <v>0</v>
      </c>
      <c r="AS92" s="17">
        <v>0</v>
      </c>
      <c r="AT92" s="16">
        <v>0</v>
      </c>
      <c r="AU92" s="17">
        <v>0</v>
      </c>
      <c r="AV92" s="16">
        <v>0</v>
      </c>
      <c r="AW92" s="17">
        <v>0</v>
      </c>
    </row>
    <row r="93" spans="1:51" x14ac:dyDescent="0.2">
      <c r="A93" t="s">
        <v>4</v>
      </c>
      <c r="B93" s="14" t="s">
        <v>123</v>
      </c>
      <c r="C93" s="15" t="s">
        <v>78</v>
      </c>
      <c r="D93" s="16">
        <v>1</v>
      </c>
      <c r="E93" s="17">
        <v>5.85351</v>
      </c>
      <c r="F93" s="18">
        <v>1</v>
      </c>
      <c r="G93" s="19">
        <v>2.0772499999999998</v>
      </c>
      <c r="H93" s="18">
        <v>0</v>
      </c>
      <c r="I93" s="19">
        <v>0</v>
      </c>
      <c r="J93" s="15"/>
      <c r="K93" s="15"/>
      <c r="L93" s="16">
        <v>0</v>
      </c>
      <c r="M93" s="17">
        <v>0</v>
      </c>
      <c r="N93" s="16">
        <v>0</v>
      </c>
      <c r="O93" s="17">
        <v>0</v>
      </c>
      <c r="P93" s="16">
        <v>0</v>
      </c>
      <c r="Q93" s="17">
        <v>0</v>
      </c>
      <c r="R93" s="49"/>
      <c r="S93" s="49"/>
      <c r="T93" s="16">
        <v>0</v>
      </c>
      <c r="U93" s="17">
        <v>0</v>
      </c>
      <c r="V93" s="16">
        <v>0</v>
      </c>
      <c r="W93" s="17">
        <v>0</v>
      </c>
      <c r="X93" s="16">
        <v>0</v>
      </c>
      <c r="Y93" s="17">
        <v>0</v>
      </c>
      <c r="Z93" s="49"/>
      <c r="AA93" s="49"/>
      <c r="AB93" s="16">
        <v>0</v>
      </c>
      <c r="AC93" s="17">
        <v>0</v>
      </c>
      <c r="AD93" s="16">
        <v>0</v>
      </c>
      <c r="AE93" s="17">
        <v>0</v>
      </c>
      <c r="AF93" s="16">
        <v>0</v>
      </c>
      <c r="AG93" s="17">
        <v>0</v>
      </c>
      <c r="AH93" s="49"/>
      <c r="AI93" s="49"/>
      <c r="AJ93" s="16">
        <v>0</v>
      </c>
      <c r="AK93" s="17">
        <v>0</v>
      </c>
      <c r="AL93" s="16">
        <v>0</v>
      </c>
      <c r="AM93" s="17">
        <v>0</v>
      </c>
      <c r="AN93" s="16">
        <v>1</v>
      </c>
      <c r="AO93" s="17">
        <v>3.6415600000000001</v>
      </c>
      <c r="AP93" s="49"/>
      <c r="AQ93" s="49"/>
      <c r="AR93" s="16">
        <v>0</v>
      </c>
      <c r="AS93" s="17">
        <v>0</v>
      </c>
      <c r="AT93" s="16">
        <v>0</v>
      </c>
      <c r="AU93" s="17">
        <v>0</v>
      </c>
      <c r="AV93" s="16">
        <v>0</v>
      </c>
      <c r="AW93" s="17">
        <v>0</v>
      </c>
    </row>
    <row r="94" spans="1:51" s="55" customFormat="1" x14ac:dyDescent="0.2">
      <c r="A94" s="55" t="s">
        <v>4</v>
      </c>
      <c r="D94" s="55">
        <f>SUM(D73:D93)</f>
        <v>4</v>
      </c>
      <c r="E94" s="55">
        <f t="shared" ref="E94:AW94" si="4">SUM(E73:E93)</f>
        <v>12.02669</v>
      </c>
      <c r="F94" s="55">
        <f t="shared" si="4"/>
        <v>3</v>
      </c>
      <c r="G94" s="55">
        <f t="shared" si="4"/>
        <v>19.762609999999999</v>
      </c>
      <c r="H94" s="55">
        <f t="shared" si="4"/>
        <v>6</v>
      </c>
      <c r="I94" s="55">
        <f t="shared" si="4"/>
        <v>4.7988800000000005</v>
      </c>
      <c r="J94" s="58">
        <f>AVERAGE(D94,F94,H94)</f>
        <v>4.333333333333333</v>
      </c>
      <c r="K94" s="58">
        <f>AVERAGE(E94,G94,I94)</f>
        <v>12.196059999999997</v>
      </c>
      <c r="L94" s="55">
        <f t="shared" si="4"/>
        <v>18</v>
      </c>
      <c r="M94" s="55">
        <f t="shared" si="4"/>
        <v>8.5870800000000003</v>
      </c>
      <c r="N94" s="55">
        <f t="shared" si="4"/>
        <v>62</v>
      </c>
      <c r="O94" s="55">
        <f t="shared" si="4"/>
        <v>5.0021100000000001</v>
      </c>
      <c r="P94" s="55">
        <f t="shared" si="4"/>
        <v>118</v>
      </c>
      <c r="Q94" s="55">
        <f t="shared" si="4"/>
        <v>21.799129999999998</v>
      </c>
      <c r="R94" s="58">
        <f>AVERAGE(L94,N94,P94)</f>
        <v>66</v>
      </c>
      <c r="S94" s="58">
        <f>AVERAGE(M94,O94,Q94)</f>
        <v>11.796106666666667</v>
      </c>
      <c r="T94" s="55">
        <f t="shared" si="4"/>
        <v>45</v>
      </c>
      <c r="U94" s="55">
        <f t="shared" si="4"/>
        <v>4.07334</v>
      </c>
      <c r="V94" s="55">
        <f t="shared" si="4"/>
        <v>20</v>
      </c>
      <c r="W94" s="55">
        <f t="shared" si="4"/>
        <v>4.3404299999999996</v>
      </c>
      <c r="X94" s="55">
        <f t="shared" si="4"/>
        <v>133</v>
      </c>
      <c r="Y94" s="55">
        <f t="shared" si="4"/>
        <v>7.1090470000000003</v>
      </c>
      <c r="Z94" s="55">
        <f t="shared" si="4"/>
        <v>0</v>
      </c>
      <c r="AA94" s="55">
        <f t="shared" si="4"/>
        <v>0</v>
      </c>
      <c r="AB94" s="55">
        <f t="shared" si="4"/>
        <v>6</v>
      </c>
      <c r="AC94" s="55">
        <f t="shared" si="4"/>
        <v>0.60211000000000015</v>
      </c>
      <c r="AD94" s="55">
        <f t="shared" si="4"/>
        <v>5</v>
      </c>
      <c r="AE94" s="55">
        <f t="shared" si="4"/>
        <v>0.96318999999999999</v>
      </c>
      <c r="AF94" s="55">
        <f t="shared" si="4"/>
        <v>2</v>
      </c>
      <c r="AG94" s="55">
        <f t="shared" si="4"/>
        <v>0.88961000000000001</v>
      </c>
      <c r="AH94" s="55">
        <f t="shared" si="4"/>
        <v>0</v>
      </c>
      <c r="AI94" s="55">
        <f t="shared" si="4"/>
        <v>0</v>
      </c>
      <c r="AJ94" s="55">
        <f t="shared" si="4"/>
        <v>3</v>
      </c>
      <c r="AK94" s="55">
        <f t="shared" si="4"/>
        <v>6.10703</v>
      </c>
      <c r="AL94" s="55">
        <f t="shared" si="4"/>
        <v>2</v>
      </c>
      <c r="AM94" s="55">
        <f t="shared" si="4"/>
        <v>5.5966199999999997</v>
      </c>
      <c r="AN94" s="55">
        <f t="shared" si="4"/>
        <v>3</v>
      </c>
      <c r="AO94" s="55">
        <f t="shared" si="4"/>
        <v>9.2351799999999997</v>
      </c>
      <c r="AP94" s="58">
        <f>AVERAGE(AJ94,AL94,AN94)</f>
        <v>2.6666666666666665</v>
      </c>
      <c r="AQ94" s="58">
        <f>AVERAGE(AK94,AM94,AO94)</f>
        <v>6.9796100000000001</v>
      </c>
      <c r="AR94" s="55">
        <f t="shared" si="4"/>
        <v>2</v>
      </c>
      <c r="AS94" s="55">
        <f t="shared" si="4"/>
        <v>1.3950500000000001</v>
      </c>
      <c r="AT94" s="55">
        <f t="shared" si="4"/>
        <v>3</v>
      </c>
      <c r="AU94" s="55">
        <f t="shared" si="4"/>
        <v>2.2754600000000003</v>
      </c>
      <c r="AV94" s="55">
        <f t="shared" si="4"/>
        <v>1</v>
      </c>
      <c r="AW94" s="55">
        <f t="shared" si="4"/>
        <v>5.8349999999999999E-2</v>
      </c>
      <c r="AX94" s="58">
        <f>AVERAGE(AR94,AT94,AV94)</f>
        <v>2</v>
      </c>
      <c r="AY94" s="58">
        <f>AVERAGE(AS94,AU94,AW94)</f>
        <v>1.2429533333333334</v>
      </c>
    </row>
  </sheetData>
  <autoFilter ref="A2:AZ94" xr:uid="{00000000-0009-0000-0000-00000A000000}"/>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summary stats</vt:lpstr>
      <vt:lpstr>thresholds calcs-grouper</vt:lpstr>
      <vt:lpstr>Kisite</vt:lpstr>
      <vt:lpstr>Kiunga</vt:lpstr>
      <vt:lpstr>Mayotte - Saziley</vt:lpstr>
      <vt:lpstr>Reunion- Planch'_Alizes</vt:lpstr>
      <vt:lpstr>Bai Ternay -Seychelles</vt:lpstr>
      <vt:lpstr>Mafia</vt:lpstr>
      <vt:lpstr>Chagos</vt:lpstr>
      <vt:lpstr>Glorieuses</vt:lpstr>
      <vt:lpstr>Glorieuses_raw</vt:lpstr>
    </vt:vector>
  </TitlesOfParts>
  <Company>CORDIO 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Kennedy Osuka</dc:creator>
  <cp:lastModifiedBy>Melita Samoilys</cp:lastModifiedBy>
  <dcterms:created xsi:type="dcterms:W3CDTF">2019-09-24T21:42:45Z</dcterms:created>
  <dcterms:modified xsi:type="dcterms:W3CDTF">2020-01-20T14:05:26Z</dcterms:modified>
</cp:coreProperties>
</file>