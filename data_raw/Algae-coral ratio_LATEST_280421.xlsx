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\Coral-Juvenile-Manuscript\Comoro NCRA\data_raw\"/>
    </mc:Choice>
  </mc:AlternateContent>
  <xr:revisionPtr revIDLastSave="0" documentId="13_ncr:1_{7562D781-AAD5-4FE7-82D5-EDA4B361D343}" xr6:coauthVersionLast="47" xr6:coauthVersionMax="47" xr10:uidLastSave="{00000000-0000-0000-0000-000000000000}"/>
  <bookViews>
    <workbookView xWindow="-110" yWindow="-110" windowWidth="19420" windowHeight="10300" activeTab="3" xr2:uid="{E0E87E59-8C5E-DE4E-8334-D24F11D467E6}"/>
  </bookViews>
  <sheets>
    <sheet name="result" sheetId="2" r:id="rId1"/>
    <sheet name="result tables" sheetId="4" r:id="rId2"/>
    <sheet name="pivot" sheetId="3" r:id="rId3"/>
    <sheet name="data" sheetId="1" r:id="rId4"/>
  </sheets>
  <definedNames>
    <definedName name="_xlnm._FilterDatabase" localSheetId="3" hidden="1">data!$A$1:$P$303</definedName>
    <definedName name="_xlnm._FilterDatabase" localSheetId="0" hidden="1">result!$A$11:$AD$124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2" l="1"/>
  <c r="K124" i="2" s="1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P301" i="1"/>
  <c r="O300" i="1"/>
  <c r="P288" i="1"/>
  <c r="O287" i="1"/>
  <c r="P285" i="1"/>
  <c r="O284" i="1"/>
  <c r="P282" i="1"/>
  <c r="O281" i="1"/>
  <c r="P279" i="1"/>
  <c r="O277" i="1"/>
  <c r="P275" i="1"/>
  <c r="O274" i="1"/>
  <c r="P272" i="1"/>
  <c r="O271" i="1"/>
  <c r="O265" i="1"/>
  <c r="P264" i="1"/>
  <c r="O263" i="1"/>
  <c r="P262" i="1"/>
  <c r="O261" i="1"/>
  <c r="P260" i="1"/>
  <c r="O259" i="1"/>
  <c r="P258" i="1"/>
  <c r="O257" i="1"/>
  <c r="P256" i="1"/>
  <c r="O255" i="1"/>
  <c r="P252" i="1"/>
  <c r="O251" i="1"/>
  <c r="P250" i="1"/>
  <c r="O249" i="1"/>
  <c r="P294" i="1"/>
  <c r="O289" i="1"/>
  <c r="P295" i="1"/>
  <c r="O290" i="1"/>
  <c r="P296" i="1"/>
  <c r="O296" i="1"/>
  <c r="J124" i="2" l="1"/>
  <c r="N4" i="1"/>
  <c r="N5" i="1"/>
  <c r="N3" i="1"/>
  <c r="P3" i="1"/>
  <c r="N2" i="1"/>
  <c r="J42" i="2"/>
  <c r="K42" i="2"/>
  <c r="O9" i="1" l="1"/>
  <c r="O6" i="1"/>
  <c r="P243" i="1"/>
  <c r="P242" i="1"/>
  <c r="P239" i="1"/>
  <c r="J100" i="2"/>
  <c r="K100" i="2"/>
  <c r="J101" i="2"/>
  <c r="K101" i="2"/>
  <c r="J102" i="2"/>
  <c r="K102" i="2"/>
  <c r="J103" i="2"/>
  <c r="K103" i="2"/>
  <c r="J99" i="2"/>
  <c r="K99" i="2"/>
  <c r="K96" i="2" l="1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J97" i="2"/>
  <c r="K97" i="2"/>
  <c r="J98" i="2"/>
  <c r="K98" i="2"/>
  <c r="P140" i="1"/>
  <c r="O139" i="1"/>
  <c r="P137" i="1"/>
  <c r="O136" i="1"/>
  <c r="P134" i="1"/>
  <c r="O133" i="1"/>
  <c r="P131" i="1"/>
  <c r="O130" i="1"/>
  <c r="P128" i="1"/>
  <c r="O127" i="1"/>
  <c r="P125" i="1"/>
  <c r="O124" i="1"/>
  <c r="P122" i="1"/>
  <c r="O121" i="1"/>
  <c r="P119" i="1"/>
  <c r="O118" i="1"/>
  <c r="P116" i="1"/>
  <c r="O115" i="1"/>
  <c r="P113" i="1"/>
  <c r="O112" i="1"/>
  <c r="P110" i="1"/>
  <c r="O109" i="1"/>
  <c r="P107" i="1"/>
  <c r="O106" i="1"/>
  <c r="P104" i="1"/>
  <c r="O103" i="1"/>
  <c r="P101" i="1"/>
  <c r="O100" i="1"/>
  <c r="P98" i="1"/>
  <c r="O97" i="1"/>
  <c r="P95" i="1"/>
  <c r="O94" i="1"/>
  <c r="P92" i="1"/>
  <c r="O91" i="1"/>
  <c r="P89" i="1"/>
  <c r="O88" i="1"/>
  <c r="P86" i="1"/>
  <c r="O85" i="1"/>
  <c r="P83" i="1"/>
  <c r="O82" i="1"/>
  <c r="P80" i="1"/>
  <c r="O79" i="1"/>
  <c r="P77" i="1"/>
  <c r="O76" i="1"/>
  <c r="P74" i="1"/>
  <c r="O73" i="1"/>
  <c r="P71" i="1"/>
  <c r="O70" i="1"/>
  <c r="P68" i="1"/>
  <c r="O67" i="1"/>
  <c r="P65" i="1"/>
  <c r="O64" i="1"/>
  <c r="P62" i="1"/>
  <c r="O61" i="1"/>
  <c r="P59" i="1"/>
  <c r="O58" i="1"/>
  <c r="P56" i="1"/>
  <c r="O55" i="1"/>
  <c r="P53" i="1"/>
  <c r="O52" i="1"/>
  <c r="P50" i="1"/>
  <c r="O49" i="1"/>
  <c r="P47" i="1"/>
  <c r="O46" i="1"/>
  <c r="P44" i="1"/>
  <c r="O43" i="1"/>
  <c r="O12" i="1" l="1"/>
  <c r="J58" i="2" l="1"/>
  <c r="K58" i="2"/>
  <c r="J57" i="2"/>
  <c r="K57" i="2"/>
  <c r="J56" i="2"/>
  <c r="K56" i="2"/>
  <c r="J55" i="2"/>
  <c r="K55" i="2"/>
  <c r="Q72" i="2" l="1"/>
  <c r="R60" i="2" l="1"/>
  <c r="I4" i="2" l="1"/>
  <c r="I5" i="2"/>
  <c r="I6" i="2"/>
  <c r="I7" i="2"/>
  <c r="I8" i="2"/>
  <c r="H8" i="2"/>
  <c r="H7" i="2"/>
  <c r="H6" i="2"/>
  <c r="H5" i="2"/>
  <c r="H4" i="2"/>
  <c r="J53" i="2"/>
  <c r="K53" i="2"/>
  <c r="J51" i="2"/>
  <c r="K51" i="2"/>
  <c r="J54" i="2"/>
  <c r="K54" i="2"/>
  <c r="J52" i="2"/>
  <c r="K52" i="2"/>
  <c r="J38" i="2"/>
  <c r="K38" i="2"/>
  <c r="J12" i="2"/>
  <c r="K12" i="2"/>
  <c r="J14" i="2"/>
  <c r="K14" i="2"/>
  <c r="J33" i="2"/>
  <c r="K33" i="2"/>
  <c r="J18" i="2"/>
  <c r="K18" i="2"/>
  <c r="J41" i="2"/>
  <c r="K41" i="2"/>
  <c r="J27" i="2"/>
  <c r="K27" i="2"/>
  <c r="J47" i="2"/>
  <c r="K47" i="2"/>
  <c r="J24" i="2"/>
  <c r="K24" i="2"/>
  <c r="J30" i="2"/>
  <c r="K30" i="2"/>
  <c r="J23" i="2"/>
  <c r="K23" i="2"/>
  <c r="J29" i="2"/>
  <c r="K29" i="2"/>
  <c r="J36" i="2"/>
  <c r="K36" i="2"/>
  <c r="J21" i="2"/>
  <c r="K21" i="2"/>
  <c r="J28" i="2"/>
  <c r="K28" i="2"/>
  <c r="J22" i="2"/>
  <c r="K22" i="2"/>
  <c r="J25" i="2"/>
  <c r="K25" i="2"/>
  <c r="J13" i="2"/>
  <c r="K13" i="2"/>
  <c r="J20" i="2"/>
  <c r="K20" i="2"/>
  <c r="J15" i="2"/>
  <c r="K15" i="2"/>
  <c r="J16" i="2"/>
  <c r="K16" i="2"/>
  <c r="J40" i="2"/>
  <c r="K40" i="2"/>
  <c r="J17" i="2"/>
  <c r="K17" i="2"/>
  <c r="J19" i="2"/>
  <c r="K19" i="2"/>
  <c r="J45" i="2"/>
  <c r="K45" i="2"/>
  <c r="J37" i="2"/>
  <c r="K37" i="2"/>
  <c r="J39" i="2"/>
  <c r="K39" i="2"/>
  <c r="J43" i="2"/>
  <c r="K43" i="2"/>
  <c r="J34" i="2"/>
  <c r="K34" i="2"/>
  <c r="J50" i="2"/>
  <c r="K50" i="2"/>
  <c r="J48" i="2"/>
  <c r="K48" i="2"/>
  <c r="J44" i="2"/>
  <c r="K44" i="2"/>
  <c r="J32" i="2"/>
  <c r="K32" i="2"/>
  <c r="J31" i="2"/>
  <c r="K31" i="2"/>
  <c r="J26" i="2"/>
  <c r="K26" i="2"/>
  <c r="J35" i="2"/>
  <c r="K35" i="2"/>
  <c r="J49" i="2"/>
  <c r="K49" i="2"/>
  <c r="J46" i="2"/>
  <c r="K46" i="2"/>
  <c r="O15" i="1"/>
  <c r="P225" i="1"/>
  <c r="P223" i="1"/>
  <c r="P221" i="1"/>
  <c r="P199" i="1"/>
  <c r="P142" i="1"/>
  <c r="P24" i="1"/>
  <c r="P25" i="1"/>
  <c r="P26" i="1"/>
  <c r="P23" i="1"/>
  <c r="P219" i="1"/>
  <c r="P217" i="1"/>
  <c r="P215" i="1"/>
  <c r="P213" i="1"/>
  <c r="P211" i="1"/>
  <c r="P209" i="1"/>
  <c r="P176" i="1"/>
  <c r="P207" i="1"/>
  <c r="P205" i="1"/>
  <c r="P203" i="1"/>
  <c r="P39" i="1"/>
  <c r="P197" i="1"/>
  <c r="P175" i="1"/>
  <c r="P191" i="1"/>
  <c r="P189" i="1"/>
  <c r="P187" i="1"/>
  <c r="P185" i="1"/>
  <c r="P18" i="1"/>
  <c r="P171" i="1"/>
  <c r="P172" i="1"/>
  <c r="P173" i="1"/>
  <c r="P174" i="1"/>
  <c r="P19" i="1"/>
  <c r="P20" i="1"/>
  <c r="P21" i="1"/>
  <c r="P22" i="1"/>
  <c r="P5" i="1"/>
  <c r="P4" i="1"/>
  <c r="P2" i="1"/>
  <c r="O42" i="1"/>
  <c r="O193" i="1"/>
  <c r="O195" i="1"/>
  <c r="O194" i="1"/>
  <c r="O196" i="1"/>
  <c r="O32" i="1"/>
  <c r="O33" i="1"/>
  <c r="O248" i="1"/>
  <c r="O247" i="1"/>
  <c r="O245" i="1"/>
  <c r="O246" i="1"/>
  <c r="O34" i="1"/>
  <c r="O35" i="1"/>
  <c r="O30" i="1"/>
  <c r="O31" i="1"/>
  <c r="O38" i="1"/>
  <c r="O36" i="1"/>
  <c r="O37" i="1"/>
  <c r="O27" i="1"/>
  <c r="O28" i="1"/>
  <c r="O179" i="1"/>
  <c r="O178" i="1"/>
  <c r="O177" i="1"/>
  <c r="O180" i="1"/>
  <c r="O181" i="1"/>
  <c r="O182" i="1"/>
  <c r="O201" i="1"/>
  <c r="O227" i="1"/>
  <c r="O229" i="1"/>
  <c r="O228" i="1"/>
  <c r="O230" i="1"/>
  <c r="O231" i="1"/>
  <c r="O232" i="1"/>
  <c r="O233" i="1"/>
  <c r="O234" i="1"/>
  <c r="O235" i="1"/>
  <c r="O202" i="1"/>
  <c r="O236" i="1"/>
  <c r="O237" i="1"/>
  <c r="O238" i="1"/>
  <c r="O144" i="1"/>
  <c r="AD26" i="2" l="1" a="1"/>
  <c r="AD26" i="2" s="1"/>
  <c r="J4" i="2"/>
  <c r="K6" i="2"/>
  <c r="K5" i="2"/>
  <c r="K7" i="2"/>
  <c r="J6" i="2"/>
  <c r="AA26" i="2" a="1"/>
  <c r="AA26" i="2" s="1"/>
  <c r="K8" i="2"/>
  <c r="J7" i="2"/>
  <c r="J8" i="2"/>
  <c r="J5" i="2"/>
  <c r="K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93E12A30-A5CB-7346-B231-7ED2263A97BB}">
      <text>
        <r>
          <rPr>
            <b/>
            <sz val="9"/>
            <color rgb="FF000000"/>
            <rFont val="Tahoma"/>
            <family val="2"/>
          </rPr>
          <t>Large area of country e.g.  South-West or Southcoast or the name of an island e.g Mahe, Rodrigues, Zanzibar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" authorId="0" shapeId="0" xr:uid="{9007D52E-9A07-F741-BA13-6E144065CB48}">
      <text>
        <r>
          <rPr>
            <b/>
            <sz val="9"/>
            <color indexed="81"/>
            <rFont val="Tahoma"/>
            <family val="2"/>
          </rPr>
          <t>Reef zones e.g. backreef, lagoon, slope, forereef, crest, reef flat</t>
        </r>
      </text>
    </comment>
    <comment ref="L1" authorId="0" shapeId="0" xr:uid="{A57D2B5B-67B7-5640-BDB0-8B127635D9B8}">
      <text>
        <r>
          <rPr>
            <b/>
            <sz val="9"/>
            <color rgb="FF000000"/>
            <rFont val="Tahoma"/>
            <family val="2"/>
          </rPr>
          <t>See list on right for correct categories. For coral - record at genus level if possible</t>
        </r>
      </text>
    </comment>
    <comment ref="M1" authorId="0" shapeId="0" xr:uid="{F77EF0B6-CBB1-D044-BB55-AA0B5764EDD5}">
      <text>
        <r>
          <rPr>
            <b/>
            <sz val="9"/>
            <color rgb="FF000000"/>
            <rFont val="Tahoma"/>
            <family val="2"/>
          </rPr>
          <t>See list of right for correct codes</t>
        </r>
      </text>
    </comment>
    <comment ref="C247" authorId="0" shapeId="0" xr:uid="{E2C8946B-B503-C642-B010-3C83CE2CEE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During bleaching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<sst xmlns="http://schemas.openxmlformats.org/spreadsheetml/2006/main" count="3731" uniqueCount="317">
  <si>
    <t>Country</t>
  </si>
  <si>
    <t>Zone</t>
  </si>
  <si>
    <t>Kenya</t>
  </si>
  <si>
    <t>Shallow fringing reef back reef lagoon</t>
  </si>
  <si>
    <t>(blank)</t>
  </si>
  <si>
    <t>Madagascar</t>
  </si>
  <si>
    <t>Reef Flat</t>
  </si>
  <si>
    <t>Mauritius</t>
  </si>
  <si>
    <t>Back Reef Flat</t>
  </si>
  <si>
    <t>Shore Reef Flat</t>
  </si>
  <si>
    <t>Reunion</t>
  </si>
  <si>
    <t>Sychelles</t>
  </si>
  <si>
    <t>Fringing structure</t>
  </si>
  <si>
    <t>Tanzania</t>
  </si>
  <si>
    <t>Grand Total</t>
  </si>
  <si>
    <t>data source/owner</t>
  </si>
  <si>
    <t>Year</t>
  </si>
  <si>
    <t>Bleaching Period</t>
  </si>
  <si>
    <t>Include/Exclude</t>
  </si>
  <si>
    <t>Include/Exclude - acr</t>
  </si>
  <si>
    <t>Sector</t>
  </si>
  <si>
    <t>Site</t>
  </si>
  <si>
    <t>Station</t>
  </si>
  <si>
    <t>Depth (m)</t>
  </si>
  <si>
    <t>Benthic category</t>
  </si>
  <si>
    <t>Benthic code</t>
  </si>
  <si>
    <t>McClanahan et al. 2001</t>
  </si>
  <si>
    <t>Before</t>
  </si>
  <si>
    <t>yes</t>
  </si>
  <si>
    <t>Malindi/Watamu/Mombasa/Kisite MNPs</t>
  </si>
  <si>
    <t>Unspecified 9 sites (protected)</t>
  </si>
  <si>
    <t>Hard Coral</t>
  </si>
  <si>
    <t>HC</t>
  </si>
  <si>
    <t>Algae macro</t>
  </si>
  <si>
    <t>AMAC</t>
  </si>
  <si>
    <t>Algae turf</t>
  </si>
  <si>
    <t>ATRF</t>
  </si>
  <si>
    <t>CORDIO Status report 1999</t>
  </si>
  <si>
    <t>Kilifi</t>
  </si>
  <si>
    <t>Malindi Marine National Park</t>
  </si>
  <si>
    <t>Algae halimeda</t>
  </si>
  <si>
    <t>AHAL</t>
  </si>
  <si>
    <t>Muthiga &amp; McClanahan 1997</t>
  </si>
  <si>
    <t>Kwale</t>
  </si>
  <si>
    <t xml:space="preserve">Kisite Marine National Park - Control </t>
  </si>
  <si>
    <t xml:space="preserve">Kisite Marine National Park - Experiment </t>
  </si>
  <si>
    <t>Ahamada et al. 2002</t>
  </si>
  <si>
    <t>After</t>
  </si>
  <si>
    <t>North West - Nosy Be</t>
  </si>
  <si>
    <t>Dzamandjar</t>
  </si>
  <si>
    <t>Outer Slope</t>
  </si>
  <si>
    <t xml:space="preserve">Algae </t>
  </si>
  <si>
    <t>ALG</t>
  </si>
  <si>
    <t>East - Foulpointe</t>
  </si>
  <si>
    <t>Foulpointe</t>
  </si>
  <si>
    <t>Spalding &amp; Jarvis 2002</t>
  </si>
  <si>
    <t>Granitic Seychelles</t>
  </si>
  <si>
    <t>West cousine</t>
  </si>
  <si>
    <t>During</t>
  </si>
  <si>
    <t>Southern Sychelles</t>
  </si>
  <si>
    <t>West alphonse</t>
  </si>
  <si>
    <t>Macroalgae</t>
  </si>
  <si>
    <t>Algal mat</t>
  </si>
  <si>
    <t>North St Pierre</t>
  </si>
  <si>
    <t>South St Pierre</t>
  </si>
  <si>
    <t>St Gilles</t>
  </si>
  <si>
    <t>Toboggan / Planch</t>
  </si>
  <si>
    <t>St Leu</t>
  </si>
  <si>
    <t>Corne Nord / Varangue</t>
  </si>
  <si>
    <t>Chabanet et al. 1997</t>
  </si>
  <si>
    <t>1991/1992</t>
  </si>
  <si>
    <t>Reunion Island</t>
  </si>
  <si>
    <t>St-Gilles/La Saline reef complex</t>
  </si>
  <si>
    <t>live coral</t>
  </si>
  <si>
    <t xml:space="preserve"> QUOD and BIGOT 2000</t>
  </si>
  <si>
    <t>La Saline</t>
  </si>
  <si>
    <t>Planch’Alizé</t>
  </si>
  <si>
    <t>Fringing reef</t>
  </si>
  <si>
    <t>1 inner</t>
  </si>
  <si>
    <t>12 outer</t>
  </si>
  <si>
    <t>Saint Leu</t>
  </si>
  <si>
    <t>Corne Nord</t>
  </si>
  <si>
    <t>Nord Ouest</t>
  </si>
  <si>
    <t>Trou aux Biches</t>
  </si>
  <si>
    <t>Sud Est</t>
  </si>
  <si>
    <t>Bambou Virieux</t>
  </si>
  <si>
    <t>Bleached coral</t>
  </si>
  <si>
    <t>Algae</t>
  </si>
  <si>
    <t>Dead coral</t>
  </si>
  <si>
    <t>Muhando 1999</t>
  </si>
  <si>
    <t>Chapwani</t>
  </si>
  <si>
    <t>Changuu</t>
  </si>
  <si>
    <t>Bawe</t>
  </si>
  <si>
    <t>Chumbe</t>
  </si>
  <si>
    <t>Mnemba</t>
  </si>
  <si>
    <t>Obura - BSc thesis 1989</t>
  </si>
  <si>
    <t>Malindi</t>
  </si>
  <si>
    <t>Obura - Phd thesis 1995</t>
  </si>
  <si>
    <t>MFR-4m.</t>
  </si>
  <si>
    <t>MHR-6</t>
  </si>
  <si>
    <t>MHR - Malindi harbour fringing reef</t>
  </si>
  <si>
    <t>MNR</t>
  </si>
  <si>
    <t>MNR - 11 -12.5 m.</t>
  </si>
  <si>
    <t>MNR, 4-6 meters depth</t>
  </si>
  <si>
    <t>MPR</t>
  </si>
  <si>
    <t>MPR4-6</t>
  </si>
  <si>
    <t>MVG - 5-6  m. below datum</t>
  </si>
  <si>
    <t>Watamu</t>
  </si>
  <si>
    <t>Watamu Deep fore reef</t>
  </si>
  <si>
    <t>Watamuu Turtle REef, 7 m.</t>
  </si>
  <si>
    <t>WInt - 7 m. depth. Off plots 15/16</t>
  </si>
  <si>
    <t>all</t>
  </si>
  <si>
    <t>Alg</t>
  </si>
  <si>
    <t>Row Labels</t>
  </si>
  <si>
    <t>Average of HC</t>
  </si>
  <si>
    <t>Average of Alg</t>
  </si>
  <si>
    <t>Count of HC</t>
  </si>
  <si>
    <t>Count of Alg</t>
  </si>
  <si>
    <t>Trois Chameaux-O</t>
  </si>
  <si>
    <t>Trois Chameaux-I</t>
  </si>
  <si>
    <t>Seychelles</t>
  </si>
  <si>
    <t>ALG/(ALG+HC)</t>
  </si>
  <si>
    <t>ALG/HC</t>
  </si>
  <si>
    <t>average</t>
  </si>
  <si>
    <t>min</t>
  </si>
  <si>
    <t>max</t>
  </si>
  <si>
    <t>median</t>
  </si>
  <si>
    <t>std</t>
  </si>
  <si>
    <t>Ord</t>
  </si>
  <si>
    <t>FREQUENCY DISTRIBUTIONS</t>
  </si>
  <si>
    <t>OBSERVATIONS</t>
  </si>
  <si>
    <t>Almost all of the sites with AR&gt; 0.5 are in Kenya (11, 26%), only 1 of 42 is in Reunion</t>
  </si>
  <si>
    <t>Count of ALG/(ALG+HC)</t>
  </si>
  <si>
    <t>Average of ALG/(ALG+HC)2</t>
  </si>
  <si>
    <t>StdDev of ALG/(ALG+HC)3</t>
  </si>
  <si>
    <t>BY COUNTRY</t>
  </si>
  <si>
    <t>N</t>
  </si>
  <si>
    <t>M</t>
  </si>
  <si>
    <t>STDEV</t>
  </si>
  <si>
    <t>COUNTRY</t>
  </si>
  <si>
    <t>OVERALL</t>
  </si>
  <si>
    <t>Madagascar had the lowest value</t>
  </si>
  <si>
    <t>r c</t>
  </si>
  <si>
    <t>Other countries were 0.2 - 0.4</t>
  </si>
  <si>
    <t>Use a value of alg/(alg + coral) of 0.667 as the threshold? Ie. algae is twice the cover of coral</t>
  </si>
  <si>
    <t>McClanahan et al. 2009</t>
  </si>
  <si>
    <t>Dar es Salaam</t>
  </si>
  <si>
    <t>Bongoyo</t>
  </si>
  <si>
    <t>Turf algae</t>
  </si>
  <si>
    <t>Calcareous algae</t>
  </si>
  <si>
    <t>Frondose algae</t>
  </si>
  <si>
    <t>Mbudya</t>
  </si>
  <si>
    <t>Tanga</t>
  </si>
  <si>
    <t>Muhando and Mohammad 2002</t>
  </si>
  <si>
    <t>Mafia Reef</t>
  </si>
  <si>
    <t>Tutia</t>
  </si>
  <si>
    <t>Fleshy Algae</t>
  </si>
  <si>
    <t>Calodyne Reef</t>
  </si>
  <si>
    <t>Motta_et_al._2002</t>
  </si>
  <si>
    <t>Mozambique</t>
  </si>
  <si>
    <t>Inhambane</t>
  </si>
  <si>
    <t>NA</t>
  </si>
  <si>
    <t>Bazaruto_Archipelago</t>
  </si>
  <si>
    <t>Two-mile_Reef</t>
  </si>
  <si>
    <t>Maputo</t>
  </si>
  <si>
    <t>Inhaca_Island</t>
  </si>
  <si>
    <t>Baixo_Danae</t>
  </si>
  <si>
    <t>Barreira_Vermelha</t>
  </si>
  <si>
    <t>Ponta_Torres</t>
  </si>
  <si>
    <t>Nampula_Province</t>
  </si>
  <si>
    <t>Mozambique_Island</t>
  </si>
  <si>
    <t>Goa_Island</t>
  </si>
  <si>
    <t>Sete_Paus_Island</t>
  </si>
  <si>
    <t>Pemba_Bay</t>
  </si>
  <si>
    <t>Pemba</t>
  </si>
  <si>
    <t>Ponta_Maunhane</t>
  </si>
  <si>
    <t>Hardman 1999</t>
  </si>
  <si>
    <t>Mauritius Island</t>
  </si>
  <si>
    <t>LeMorne</t>
  </si>
  <si>
    <t>Lagoonal patch reef</t>
  </si>
  <si>
    <t>0.5-2</t>
  </si>
  <si>
    <t>Hardman, E. (1999). A rapid assessment of the extent of coral bleaching in Mauritius after the 1998 seawater warming event (Doctoral dissertation).</t>
  </si>
  <si>
    <t>Point Harmonie</t>
  </si>
  <si>
    <t>0-7</t>
  </si>
  <si>
    <t>Le Morne (Cannion)</t>
  </si>
  <si>
    <t>Fore reef</t>
  </si>
  <si>
    <t>5-13.8</t>
  </si>
  <si>
    <t>Trou aux Biches_4</t>
  </si>
  <si>
    <t>0-10</t>
  </si>
  <si>
    <t>Trou aux Biches_5</t>
  </si>
  <si>
    <t>Trou aux Biches_6</t>
  </si>
  <si>
    <t>0-3</t>
  </si>
  <si>
    <t>Trou aux Biches_7</t>
  </si>
  <si>
    <t>Trou aux Biches_8</t>
  </si>
  <si>
    <t>Perybere</t>
  </si>
  <si>
    <t>005-17</t>
  </si>
  <si>
    <t>Flat Island South</t>
  </si>
  <si>
    <t>0-2</t>
  </si>
  <si>
    <t>Flat Island North</t>
  </si>
  <si>
    <t>Reef crest</t>
  </si>
  <si>
    <t>Flat Island</t>
  </si>
  <si>
    <t>Trou aux Biches_14</t>
  </si>
  <si>
    <t>005-19</t>
  </si>
  <si>
    <t>Ile d'Ambre</t>
  </si>
  <si>
    <t>Ile d'Ambre_15</t>
  </si>
  <si>
    <t>Ile d'Ambre_17</t>
  </si>
  <si>
    <t>Ile d'Ambre_18</t>
  </si>
  <si>
    <t>Ile d'Ambre_19</t>
  </si>
  <si>
    <t>Trou d'Eau Douce</t>
  </si>
  <si>
    <t>Trou d'Eau Douce_20</t>
  </si>
  <si>
    <t>0-4</t>
  </si>
  <si>
    <t>Trou d'Eau Douce_21</t>
  </si>
  <si>
    <t>Trou d'Eau Douce_22</t>
  </si>
  <si>
    <t>Trou d'Eau Douce_23</t>
  </si>
  <si>
    <t>Balaclava</t>
  </si>
  <si>
    <t>Grande Baie Aquarium</t>
  </si>
  <si>
    <t>005-14</t>
  </si>
  <si>
    <t>Blue Bay</t>
  </si>
  <si>
    <t>0-8</t>
  </si>
  <si>
    <t>Blue Bay (shallow)</t>
  </si>
  <si>
    <t>Ile aux Aigrettes</t>
  </si>
  <si>
    <t>Barrier Reef</t>
  </si>
  <si>
    <t>Flic en Flac (south)</t>
  </si>
  <si>
    <t>Flic en Flac (middle)</t>
  </si>
  <si>
    <t>Flic en Flac (Baie Dangereux)</t>
  </si>
  <si>
    <t>Balaclava Maritime Hotel</t>
  </si>
  <si>
    <t>002-7</t>
  </si>
  <si>
    <t>Hibiscus Hotel</t>
  </si>
  <si>
    <t>005-7</t>
  </si>
  <si>
    <t>no # because site already considered above</t>
  </si>
  <si>
    <t>The rest</t>
  </si>
  <si>
    <t>N Tan - Ke</t>
  </si>
  <si>
    <t>Masc Isl</t>
  </si>
  <si>
    <t>Average of ALG</t>
  </si>
  <si>
    <t>Average of ALG/(ALG+HC)</t>
  </si>
  <si>
    <t>StdDev of ALG</t>
  </si>
  <si>
    <t>Count of ALG</t>
  </si>
  <si>
    <t>StdDev of HC</t>
  </si>
  <si>
    <t>Anchor's_Bay</t>
  </si>
  <si>
    <t>Mike's_Cub_Board</t>
  </si>
  <si>
    <t>Lighthouse_Reef</t>
  </si>
  <si>
    <t>Sencar_Channel</t>
  </si>
  <si>
    <t>Com</t>
  </si>
  <si>
    <t>Dela</t>
  </si>
  <si>
    <t>MadE</t>
  </si>
  <si>
    <t>MadN</t>
  </si>
  <si>
    <t>MadS</t>
  </si>
  <si>
    <t>Masc</t>
  </si>
  <si>
    <t>NMoz_Stanz</t>
  </si>
  <si>
    <t>Ntanz_Ken</t>
  </si>
  <si>
    <t>SeyN</t>
  </si>
  <si>
    <t>SeyS</t>
  </si>
  <si>
    <t>eco-rgn</t>
  </si>
  <si>
    <t>Average of HC2</t>
  </si>
  <si>
    <t>Average of ALG2</t>
  </si>
  <si>
    <t>StdDev of ALG3</t>
  </si>
  <si>
    <t>National</t>
  </si>
  <si>
    <t>Eco-region</t>
  </si>
  <si>
    <t>n</t>
  </si>
  <si>
    <t>removed from calcs post-RLE as no need to have both 93 and 94 values (duplicate, bias). Removed later year</t>
  </si>
  <si>
    <t>WIO</t>
  </si>
  <si>
    <t>cor</t>
  </si>
  <si>
    <t>MadW</t>
  </si>
  <si>
    <t>West – Belo/Mer</t>
  </si>
  <si>
    <t>Belo</t>
  </si>
  <si>
    <r>
      <t>Ahamada, S., Bigot, L., Bijoux, J., Maharavo, J., Meunier, S., Moyne-Picard, M., &amp; Paupiah, N. (2002). Status of coral reefs in the south west Indian Ocean island node: Comoros, Madagascar, Mauritius, Reunion and Seychelles. </t>
    </r>
    <r>
      <rPr>
        <i/>
        <sz val="10"/>
        <color rgb="FF222222"/>
        <rFont val="Arial"/>
        <family val="2"/>
      </rPr>
      <t>Status of the coral reefs of the world. Australian Institute of Marine Science, Townsville</t>
    </r>
    <r>
      <rPr>
        <sz val="10"/>
        <color rgb="FF222222"/>
        <rFont val="Arial"/>
        <family val="2"/>
      </rPr>
      <t>, 79-100.</t>
    </r>
  </si>
  <si>
    <t>Comoros</t>
  </si>
  <si>
    <t>Nioumachoi - Moheli</t>
  </si>
  <si>
    <t>Mea</t>
  </si>
  <si>
    <t>Candzoni</t>
  </si>
  <si>
    <t>Hard Coral+Dead coral</t>
  </si>
  <si>
    <t>-</t>
  </si>
  <si>
    <t>Etang Sale</t>
  </si>
  <si>
    <t>Bassin Pirogue</t>
  </si>
  <si>
    <t>St Pierre</t>
  </si>
  <si>
    <t>Ravine Blanche</t>
  </si>
  <si>
    <t>Riviere Banane</t>
  </si>
  <si>
    <t>Rivière banane</t>
  </si>
  <si>
    <t>Rodrigues</t>
  </si>
  <si>
    <t>Samoilys 1988</t>
  </si>
  <si>
    <t>1987/1988</t>
  </si>
  <si>
    <t>Mpunguti</t>
  </si>
  <si>
    <t>Hard Coral+DSC (dead standing coral)</t>
  </si>
  <si>
    <r>
      <t>Samoilys, M. A. (1988). </t>
    </r>
    <r>
      <rPr>
        <i/>
        <sz val="10"/>
        <color rgb="FF222222"/>
        <rFont val="Arial"/>
        <family val="2"/>
      </rPr>
      <t>A survey of the coral reef fish communities on the Kenyan coast</t>
    </r>
    <r>
      <rPr>
        <sz val="10"/>
        <color rgb="FF222222"/>
        <rFont val="Arial"/>
        <family val="2"/>
      </rPr>
      <t>. Ministry of Tourism and Industry.</t>
    </r>
  </si>
  <si>
    <t xml:space="preserve">Kilifi </t>
  </si>
  <si>
    <t>Uyombo</t>
  </si>
  <si>
    <t>Mombasa</t>
  </si>
  <si>
    <t>Bamburi</t>
  </si>
  <si>
    <t>Leven</t>
  </si>
  <si>
    <t>Quod &amp; Bigot 2000</t>
  </si>
  <si>
    <t xml:space="preserve"> south-western region of Toliara</t>
  </si>
  <si>
    <t>Ifaty</t>
  </si>
  <si>
    <t>Barrier outer slope</t>
  </si>
  <si>
    <t>Live coral</t>
  </si>
  <si>
    <t>Hard substrate with algae</t>
  </si>
  <si>
    <t>Recently dead coral with algae</t>
  </si>
  <si>
    <t>RDC</t>
  </si>
  <si>
    <t>Nosy Ve</t>
  </si>
  <si>
    <t>Inner</t>
  </si>
  <si>
    <t>Mitsamiouli</t>
  </si>
  <si>
    <t xml:space="preserve"> North-West Mitsamiouli Reef</t>
  </si>
  <si>
    <t xml:space="preserve"> Mohéli island </t>
  </si>
  <si>
    <t>Itsamia</t>
  </si>
  <si>
    <t>Hard Substrate with Algae</t>
  </si>
  <si>
    <t>Trois Chameaux - O</t>
  </si>
  <si>
    <t>Outer</t>
  </si>
  <si>
    <t>Trois Chameaux - I</t>
  </si>
  <si>
    <t>Mayotte</t>
  </si>
  <si>
    <t>Surprise</t>
  </si>
  <si>
    <t>Live Coral</t>
  </si>
  <si>
    <t>Deeper Reefs</t>
  </si>
  <si>
    <t>Geyser bank</t>
  </si>
  <si>
    <t>Others</t>
  </si>
  <si>
    <t>OT</t>
  </si>
  <si>
    <t>no algae data</t>
  </si>
  <si>
    <t>dupl</t>
  </si>
  <si>
    <t>Kuruwitu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</si>
</sst>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1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right" vertical="top"/>
    </xf>
    <xf numFmtId="49" fontId="2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2" fontId="0" fillId="0" borderId="0" xfId="0" applyNumberFormat="1"/>
    <xf numFmtId="0" fontId="0" fillId="3" borderId="0" xfId="0" applyFill="1"/>
    <xf numFmtId="165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0" fontId="0" fillId="0" borderId="0" xfId="0" applyAlignment="1">
      <alignment horizontal="left"/>
    </xf>
    <xf numFmtId="0" fontId="1" fillId="6" borderId="0" xfId="1" applyFill="1"/>
    <xf numFmtId="0" fontId="0" fillId="6" borderId="0" xfId="0" applyFill="1" applyAlignment="1">
      <alignment horizontal="right"/>
    </xf>
    <xf numFmtId="0" fontId="0" fillId="6" borderId="0" xfId="0" applyFill="1"/>
    <xf numFmtId="0" fontId="1" fillId="6" borderId="0" xfId="1" applyFill="1" applyAlignment="1">
      <alignment horizontal="right"/>
    </xf>
    <xf numFmtId="0" fontId="1" fillId="6" borderId="0" xfId="1" applyFill="1" applyAlignment="1">
      <alignment horizontal="left"/>
    </xf>
    <xf numFmtId="164" fontId="1" fillId="6" borderId="0" xfId="1" applyNumberFormat="1" applyFill="1" applyAlignment="1">
      <alignment horizontal="right"/>
    </xf>
    <xf numFmtId="0" fontId="0" fillId="7" borderId="0" xfId="0" applyFill="1"/>
    <xf numFmtId="0" fontId="0" fillId="7" borderId="0" xfId="0" applyFill="1" applyAlignment="1">
      <alignment horizontal="right"/>
    </xf>
    <xf numFmtId="0" fontId="1" fillId="7" borderId="0" xfId="1" applyFill="1"/>
    <xf numFmtId="0" fontId="10" fillId="7" borderId="0" xfId="0" applyFont="1" applyFill="1"/>
    <xf numFmtId="0" fontId="10" fillId="8" borderId="1" xfId="0" applyFont="1" applyFill="1" applyBorder="1"/>
    <xf numFmtId="164" fontId="10" fillId="8" borderId="1" xfId="0" applyNumberFormat="1" applyFont="1" applyFill="1" applyBorder="1"/>
    <xf numFmtId="165" fontId="10" fillId="8" borderId="1" xfId="0" applyNumberFormat="1" applyFont="1" applyFill="1" applyBorder="1"/>
    <xf numFmtId="0" fontId="11" fillId="0" borderId="0" xfId="0" applyFont="1"/>
    <xf numFmtId="0" fontId="8" fillId="0" borderId="0" xfId="0" applyFont="1" applyAlignment="1">
      <alignment horizontal="right"/>
    </xf>
    <xf numFmtId="0" fontId="0" fillId="5" borderId="0" xfId="0" applyFill="1" applyAlignment="1">
      <alignment horizontal="right"/>
    </xf>
    <xf numFmtId="164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right"/>
    </xf>
    <xf numFmtId="0" fontId="8" fillId="5" borderId="0" xfId="0" applyFont="1" applyFill="1" applyAlignment="1">
      <alignment horizontal="right"/>
    </xf>
    <xf numFmtId="0" fontId="8" fillId="5" borderId="0" xfId="0" applyFont="1" applyFill="1"/>
    <xf numFmtId="164" fontId="0" fillId="5" borderId="0" xfId="0" applyNumberFormat="1" applyFill="1"/>
    <xf numFmtId="164" fontId="0" fillId="7" borderId="0" xfId="0" applyNumberFormat="1" applyFill="1" applyAlignment="1">
      <alignment horizontal="center"/>
    </xf>
    <xf numFmtId="164" fontId="0" fillId="7" borderId="0" xfId="0" applyNumberFormat="1" applyFill="1"/>
    <xf numFmtId="0" fontId="11" fillId="7" borderId="0" xfId="0" applyFont="1" applyFill="1"/>
    <xf numFmtId="0" fontId="10" fillId="8" borderId="1" xfId="0" applyFont="1" applyFill="1" applyBorder="1" applyAlignment="1">
      <alignment horizontal="left"/>
    </xf>
  </cellXfs>
  <cellStyles count="2">
    <cellStyle name="Normal" xfId="0" builtinId="0"/>
    <cellStyle name="Normal 2" xfId="1" xr:uid="{456A3305-CAB4-4BFE-A31D-230DA9330B21}"/>
  </cellStyles>
  <dxfs count="13">
    <dxf>
      <numFmt numFmtId="165" formatCode="0.000"/>
    </dxf>
    <dxf>
      <numFmt numFmtId="164" formatCode="0.0"/>
    </dxf>
    <dxf>
      <numFmt numFmtId="164" formatCode="0.0"/>
    </dxf>
    <dxf>
      <numFmt numFmtId="164" formatCode="0.0"/>
    </dxf>
    <dxf>
      <numFmt numFmtId="165" formatCode="0.000"/>
    </dxf>
    <dxf>
      <numFmt numFmtId="164" formatCode="0.0"/>
    </dxf>
    <dxf>
      <numFmt numFmtId="165" formatCode="0.000"/>
    </dxf>
    <dxf>
      <numFmt numFmtId="164" formatCode="0.0"/>
    </dxf>
    <dxf>
      <numFmt numFmtId="164" formatCode="0.0"/>
    </dxf>
    <dxf>
      <numFmt numFmtId="165" formatCode="0.000"/>
    </dxf>
    <dxf>
      <numFmt numFmtId="164" formatCode="0.0"/>
    </dxf>
    <dxf>
      <numFmt numFmtId="165" formatCode="0.00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 tables'!$E$4:$E$13</c:f>
                <c:numCache>
                  <c:formatCode>General</c:formatCode>
                  <c:ptCount val="10"/>
                  <c:pt idx="0">
                    <c:v>9.0928096325055847</c:v>
                  </c:pt>
                  <c:pt idx="1">
                    <c:v>15.92691642053372</c:v>
                  </c:pt>
                  <c:pt idx="2">
                    <c:v>17.95145874604934</c:v>
                  </c:pt>
                  <c:pt idx="3">
                    <c:v>28.179241231155167</c:v>
                  </c:pt>
                  <c:pt idx="4">
                    <c:v>1.2055427546685478</c:v>
                  </c:pt>
                  <c:pt idx="5">
                    <c:v>18.185960702329329</c:v>
                  </c:pt>
                  <c:pt idx="6">
                    <c:v>8.0229670322144209</c:v>
                  </c:pt>
                  <c:pt idx="7">
                    <c:v>21.292374969806417</c:v>
                  </c:pt>
                  <c:pt idx="8">
                    <c:v>9.6793078264925381</c:v>
                  </c:pt>
                  <c:pt idx="9">
                    <c:v>19.708694970132935</c:v>
                  </c:pt>
                </c:numCache>
              </c:numRef>
            </c:plus>
            <c:minus>
              <c:numRef>
                <c:f>'result tables'!$E$4:$E$13</c:f>
                <c:numCache>
                  <c:formatCode>General</c:formatCode>
                  <c:ptCount val="10"/>
                  <c:pt idx="0">
                    <c:v>9.0928096325055847</c:v>
                  </c:pt>
                  <c:pt idx="1">
                    <c:v>15.92691642053372</c:v>
                  </c:pt>
                  <c:pt idx="2">
                    <c:v>17.95145874604934</c:v>
                  </c:pt>
                  <c:pt idx="3">
                    <c:v>28.179241231155167</c:v>
                  </c:pt>
                  <c:pt idx="4">
                    <c:v>1.2055427546685478</c:v>
                  </c:pt>
                  <c:pt idx="5">
                    <c:v>18.185960702329329</c:v>
                  </c:pt>
                  <c:pt idx="6">
                    <c:v>8.0229670322144209</c:v>
                  </c:pt>
                  <c:pt idx="7">
                    <c:v>21.292374969806417</c:v>
                  </c:pt>
                  <c:pt idx="8">
                    <c:v>9.6793078264925381</c:v>
                  </c:pt>
                  <c:pt idx="9">
                    <c:v>19.708694970132935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 tables'!$B$4:$B$13</c:f>
              <c:strCache>
                <c:ptCount val="10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WIO</c:v>
                </c:pt>
              </c:strCache>
            </c:strRef>
          </c:cat>
          <c:val>
            <c:numRef>
              <c:f>'result tables'!$D$4:$D$13</c:f>
              <c:numCache>
                <c:formatCode>0.0</c:formatCode>
                <c:ptCount val="10"/>
                <c:pt idx="0">
                  <c:v>33.458181818181828</c:v>
                </c:pt>
                <c:pt idx="1">
                  <c:v>43.5</c:v>
                </c:pt>
                <c:pt idx="2">
                  <c:v>44.206000000000003</c:v>
                </c:pt>
                <c:pt idx="3">
                  <c:v>49.68181818181818</c:v>
                </c:pt>
                <c:pt idx="4">
                  <c:v>53.866666666666667</c:v>
                </c:pt>
                <c:pt idx="5">
                  <c:v>80.875</c:v>
                </c:pt>
                <c:pt idx="6">
                  <c:v>55.56</c:v>
                </c:pt>
                <c:pt idx="7">
                  <c:v>47.684375000000003</c:v>
                </c:pt>
                <c:pt idx="8">
                  <c:v>49.17</c:v>
                </c:pt>
                <c:pt idx="9">
                  <c:v>46.328118811881183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6-44E5-8512-27906FC11643}"/>
            </c:ext>
          </c:extLst>
        </c:ser>
        <c:ser>
          <c:idx val="1"/>
          <c:order val="1"/>
          <c:tx>
            <c:v>Alg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 tables'!$G$4:$G$13</c:f>
                <c:numCache>
                  <c:formatCode>General</c:formatCode>
                  <c:ptCount val="10"/>
                  <c:pt idx="0">
                    <c:v>15.534011114284068</c:v>
                  </c:pt>
                  <c:pt idx="1">
                    <c:v>4.8562674281111553</c:v>
                  </c:pt>
                  <c:pt idx="2">
                    <c:v>19.470427262332425</c:v>
                  </c:pt>
                  <c:pt idx="3">
                    <c:v>26.608436802843368</c:v>
                  </c:pt>
                  <c:pt idx="4">
                    <c:v>5.8534889880594374</c:v>
                  </c:pt>
                  <c:pt idx="5">
                    <c:v>9.4664319219721484</c:v>
                  </c:pt>
                  <c:pt idx="6">
                    <c:v>15.888140231002494</c:v>
                  </c:pt>
                  <c:pt idx="7">
                    <c:v>17.275686520600694</c:v>
                  </c:pt>
                  <c:pt idx="8">
                    <c:v>12.930244476506315</c:v>
                  </c:pt>
                  <c:pt idx="9">
                    <c:v>18.193038093982775</c:v>
                  </c:pt>
                </c:numCache>
              </c:numRef>
            </c:plus>
            <c:minus>
              <c:numRef>
                <c:f>'result tables'!$G$4:$G$13</c:f>
                <c:numCache>
                  <c:formatCode>General</c:formatCode>
                  <c:ptCount val="10"/>
                  <c:pt idx="0">
                    <c:v>15.534011114284068</c:v>
                  </c:pt>
                  <c:pt idx="1">
                    <c:v>4.8562674281111553</c:v>
                  </c:pt>
                  <c:pt idx="2">
                    <c:v>19.470427262332425</c:v>
                  </c:pt>
                  <c:pt idx="3">
                    <c:v>26.608436802843368</c:v>
                  </c:pt>
                  <c:pt idx="4">
                    <c:v>5.8534889880594374</c:v>
                  </c:pt>
                  <c:pt idx="5">
                    <c:v>9.4664319219721484</c:v>
                  </c:pt>
                  <c:pt idx="6">
                    <c:v>15.888140231002494</c:v>
                  </c:pt>
                  <c:pt idx="7">
                    <c:v>17.275686520600694</c:v>
                  </c:pt>
                  <c:pt idx="8">
                    <c:v>12.930244476506315</c:v>
                  </c:pt>
                  <c:pt idx="9">
                    <c:v>18.193038093982775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 tables'!$B$4:$B$13</c:f>
              <c:strCache>
                <c:ptCount val="10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WIO</c:v>
                </c:pt>
              </c:strCache>
            </c:strRef>
          </c:cat>
          <c:val>
            <c:numRef>
              <c:f>'result tables'!$F$4:$F$13</c:f>
              <c:numCache>
                <c:formatCode>0.0</c:formatCode>
                <c:ptCount val="10"/>
                <c:pt idx="0">
                  <c:v>26.40818181818182</c:v>
                </c:pt>
                <c:pt idx="1">
                  <c:v>13.75</c:v>
                </c:pt>
                <c:pt idx="2">
                  <c:v>18.746000000000002</c:v>
                </c:pt>
                <c:pt idx="3">
                  <c:v>35.390909090909084</c:v>
                </c:pt>
                <c:pt idx="4">
                  <c:v>27.233333333333334</c:v>
                </c:pt>
                <c:pt idx="5">
                  <c:v>8.4</c:v>
                </c:pt>
                <c:pt idx="6">
                  <c:v>13.960000000000003</c:v>
                </c:pt>
                <c:pt idx="7">
                  <c:v>32.203125</c:v>
                </c:pt>
                <c:pt idx="8">
                  <c:v>23.23</c:v>
                </c:pt>
                <c:pt idx="9">
                  <c:v>26.342970297029712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26-44E5-8512-27906FC11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04288"/>
        <c:axId val="1493495280"/>
      </c:barChart>
      <c:catAx>
        <c:axId val="14935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495280"/>
        <c:crosses val="autoZero"/>
        <c:auto val="1"/>
        <c:lblAlgn val="ctr"/>
        <c:lblOffset val="100"/>
        <c:noMultiLvlLbl val="0"/>
      </c:catAx>
      <c:valAx>
        <c:axId val="1493495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50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 tables'!$E$17:$E$28</c:f>
                <c:numCache>
                  <c:formatCode>General</c:formatCode>
                  <c:ptCount val="12"/>
                  <c:pt idx="0">
                    <c:v>10.810164869979014</c:v>
                  </c:pt>
                  <c:pt idx="1">
                    <c:v>21.558130716738873</c:v>
                  </c:pt>
                  <c:pt idx="2">
                    <c:v>19.345886729052602</c:v>
                  </c:pt>
                  <c:pt idx="4">
                    <c:v>17.521415467935231</c:v>
                  </c:pt>
                  <c:pt idx="6">
                    <c:v>19.072607766508987</c:v>
                  </c:pt>
                  <c:pt idx="9">
                    <c:v>9.5459415460184385</c:v>
                  </c:pt>
                  <c:pt idx="10">
                    <c:v>33.536682120016685</c:v>
                  </c:pt>
                  <c:pt idx="11">
                    <c:v>19.708694970132839</c:v>
                  </c:pt>
                </c:numCache>
              </c:numRef>
            </c:plus>
            <c:minus>
              <c:numRef>
                <c:f>'result tables'!$E$17:$E$28</c:f>
                <c:numCache>
                  <c:formatCode>General</c:formatCode>
                  <c:ptCount val="12"/>
                  <c:pt idx="0">
                    <c:v>10.810164869979014</c:v>
                  </c:pt>
                  <c:pt idx="1">
                    <c:v>21.558130716738873</c:v>
                  </c:pt>
                  <c:pt idx="2">
                    <c:v>19.345886729052602</c:v>
                  </c:pt>
                  <c:pt idx="4">
                    <c:v>17.521415467935231</c:v>
                  </c:pt>
                  <c:pt idx="6">
                    <c:v>19.072607766508987</c:v>
                  </c:pt>
                  <c:pt idx="9">
                    <c:v>9.5459415460184385</c:v>
                  </c:pt>
                  <c:pt idx="10">
                    <c:v>33.536682120016685</c:v>
                  </c:pt>
                  <c:pt idx="11">
                    <c:v>19.708694970132839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 tables'!$B$17:$B$28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 tables'!$D$17:$D$28</c:f>
              <c:numCache>
                <c:formatCode>0.0</c:formatCode>
                <c:ptCount val="12"/>
                <c:pt idx="0">
                  <c:v>35.423870967741948</c:v>
                </c:pt>
                <c:pt idx="1">
                  <c:v>56.739999999999995</c:v>
                </c:pt>
                <c:pt idx="2">
                  <c:v>69.3</c:v>
                </c:pt>
                <c:pt idx="3">
                  <c:v>50.9</c:v>
                </c:pt>
                <c:pt idx="4">
                  <c:v>47</c:v>
                </c:pt>
                <c:pt idx="5">
                  <c:v>33</c:v>
                </c:pt>
                <c:pt idx="6">
                  <c:v>48.038095238095238</c:v>
                </c:pt>
                <c:pt idx="7">
                  <c:v>47.1</c:v>
                </c:pt>
                <c:pt idx="8">
                  <c:v>56.7</c:v>
                </c:pt>
                <c:pt idx="9">
                  <c:v>61.55</c:v>
                </c:pt>
                <c:pt idx="10">
                  <c:v>48.971428571428575</c:v>
                </c:pt>
                <c:pt idx="11">
                  <c:v>46.328118811881218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B-42A8-8F00-CA6CF5E4449A}"/>
            </c:ext>
          </c:extLst>
        </c:ser>
        <c:ser>
          <c:idx val="1"/>
          <c:order val="1"/>
          <c:tx>
            <c:v>ALG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'result tables'!$G$17:$G$28</c:f>
                <c:numCache>
                  <c:formatCode>General</c:formatCode>
                  <c:ptCount val="12"/>
                  <c:pt idx="0">
                    <c:v>16.669533422268568</c:v>
                  </c:pt>
                  <c:pt idx="1">
                    <c:v>21.049750592346694</c:v>
                  </c:pt>
                  <c:pt idx="2">
                    <c:v>12.552651019567442</c:v>
                  </c:pt>
                  <c:pt idx="4">
                    <c:v>5.8594652770823137</c:v>
                  </c:pt>
                  <c:pt idx="6">
                    <c:v>16.652922788458891</c:v>
                  </c:pt>
                  <c:pt idx="9">
                    <c:v>21.5667568261897</c:v>
                  </c:pt>
                  <c:pt idx="10">
                    <c:v>30.668550666766116</c:v>
                  </c:pt>
                  <c:pt idx="11">
                    <c:v>18.193038093982782</c:v>
                  </c:pt>
                </c:numCache>
              </c:numRef>
            </c:plus>
            <c:minus>
              <c:numRef>
                <c:f>'result tables'!$G$17:$G$28</c:f>
                <c:numCache>
                  <c:formatCode>General</c:formatCode>
                  <c:ptCount val="12"/>
                  <c:pt idx="0">
                    <c:v>16.669533422268568</c:v>
                  </c:pt>
                  <c:pt idx="1">
                    <c:v>21.049750592346694</c:v>
                  </c:pt>
                  <c:pt idx="2">
                    <c:v>12.552651019567442</c:v>
                  </c:pt>
                  <c:pt idx="4">
                    <c:v>5.8594652770823137</c:v>
                  </c:pt>
                  <c:pt idx="6">
                    <c:v>16.652922788458891</c:v>
                  </c:pt>
                  <c:pt idx="9">
                    <c:v>21.5667568261897</c:v>
                  </c:pt>
                  <c:pt idx="10">
                    <c:v>30.668550666766116</c:v>
                  </c:pt>
                  <c:pt idx="11">
                    <c:v>18.193038093982782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'result tables'!$B$17:$B$28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 tables'!$F$17:$F$28</c:f>
              <c:numCache>
                <c:formatCode>0.0</c:formatCode>
                <c:ptCount val="12"/>
                <c:pt idx="0">
                  <c:v>24.756129032258066</c:v>
                </c:pt>
                <c:pt idx="1">
                  <c:v>23.18</c:v>
                </c:pt>
                <c:pt idx="2">
                  <c:v>16.471428571428572</c:v>
                </c:pt>
                <c:pt idx="3">
                  <c:v>4</c:v>
                </c:pt>
                <c:pt idx="4">
                  <c:v>13.333333333333334</c:v>
                </c:pt>
                <c:pt idx="5">
                  <c:v>15</c:v>
                </c:pt>
                <c:pt idx="6">
                  <c:v>30.06666666666667</c:v>
                </c:pt>
                <c:pt idx="7">
                  <c:v>0.5</c:v>
                </c:pt>
                <c:pt idx="8">
                  <c:v>14.4</c:v>
                </c:pt>
                <c:pt idx="9">
                  <c:v>25.450000000000003</c:v>
                </c:pt>
                <c:pt idx="10">
                  <c:v>39.199999999999996</c:v>
                </c:pt>
                <c:pt idx="11">
                  <c:v>26.342970297029712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B-42A8-8F00-CA6CF5E44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3504288"/>
        <c:axId val="1493495280"/>
      </c:barChart>
      <c:catAx>
        <c:axId val="149350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495280"/>
        <c:crosses val="autoZero"/>
        <c:auto val="1"/>
        <c:lblAlgn val="ctr"/>
        <c:lblOffset val="100"/>
        <c:noMultiLvlLbl val="0"/>
      </c:catAx>
      <c:valAx>
        <c:axId val="1493495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9350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ALG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'result tables'!$B$4:$B$13</c:f>
              <c:strCache>
                <c:ptCount val="10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WIO</c:v>
                </c:pt>
              </c:strCache>
            </c:strRef>
          </c:cat>
          <c:val>
            <c:numRef>
              <c:f>'result tables'!$F$4:$F$13</c:f>
              <c:numCache>
                <c:formatCode>0.0</c:formatCode>
                <c:ptCount val="10"/>
                <c:pt idx="0">
                  <c:v>26.40818181818182</c:v>
                </c:pt>
                <c:pt idx="1">
                  <c:v>13.75</c:v>
                </c:pt>
                <c:pt idx="2">
                  <c:v>18.746000000000002</c:v>
                </c:pt>
                <c:pt idx="3">
                  <c:v>35.390909090909084</c:v>
                </c:pt>
                <c:pt idx="4">
                  <c:v>27.233333333333334</c:v>
                </c:pt>
                <c:pt idx="5">
                  <c:v>8.4</c:v>
                </c:pt>
                <c:pt idx="6">
                  <c:v>13.960000000000003</c:v>
                </c:pt>
                <c:pt idx="7">
                  <c:v>32.203125</c:v>
                </c:pt>
                <c:pt idx="8">
                  <c:v>23.23</c:v>
                </c:pt>
                <c:pt idx="9">
                  <c:v>26.342970297029712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0-4B88-8A21-0685031E7EE5}"/>
            </c:ext>
          </c:extLst>
        </c:ser>
        <c:ser>
          <c:idx val="0"/>
          <c:order val="1"/>
          <c:tx>
            <c:v>HC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tables'!$B$4:$B$13</c:f>
              <c:strCache>
                <c:ptCount val="10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WIO</c:v>
                </c:pt>
              </c:strCache>
            </c:strRef>
          </c:cat>
          <c:val>
            <c:numRef>
              <c:f>'result tables'!$D$4:$D$13</c:f>
              <c:numCache>
                <c:formatCode>0.0</c:formatCode>
                <c:ptCount val="10"/>
                <c:pt idx="0">
                  <c:v>33.458181818181828</c:v>
                </c:pt>
                <c:pt idx="1">
                  <c:v>43.5</c:v>
                </c:pt>
                <c:pt idx="2">
                  <c:v>44.206000000000003</c:v>
                </c:pt>
                <c:pt idx="3">
                  <c:v>49.68181818181818</c:v>
                </c:pt>
                <c:pt idx="4">
                  <c:v>53.866666666666667</c:v>
                </c:pt>
                <c:pt idx="5">
                  <c:v>80.875</c:v>
                </c:pt>
                <c:pt idx="6">
                  <c:v>55.56</c:v>
                </c:pt>
                <c:pt idx="7">
                  <c:v>47.684375000000003</c:v>
                </c:pt>
                <c:pt idx="8">
                  <c:v>49.17</c:v>
                </c:pt>
                <c:pt idx="9">
                  <c:v>46.328118811881183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0-4B88-8A21-0685031E7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9613343"/>
        <c:axId val="469614591"/>
      </c:barChart>
      <c:catAx>
        <c:axId val="46961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9614591"/>
        <c:crosses val="autoZero"/>
        <c:auto val="1"/>
        <c:lblAlgn val="ctr"/>
        <c:lblOffset val="100"/>
        <c:noMultiLvlLbl val="0"/>
      </c:catAx>
      <c:valAx>
        <c:axId val="46961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961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ALG-CORAL</a:t>
            </a:r>
            <a:r>
              <a:rPr lang="en-AU" baseline="0"/>
              <a:t> RATIO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0"/>
          <c:tx>
            <c:v>ALG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'result tables'!$B$4:$B$13</c:f>
              <c:strCache>
                <c:ptCount val="10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WIO</c:v>
                </c:pt>
              </c:strCache>
            </c:strRef>
          </c:cat>
          <c:val>
            <c:numRef>
              <c:f>'result tables'!$F$4:$F$13</c:f>
              <c:numCache>
                <c:formatCode>0.0</c:formatCode>
                <c:ptCount val="10"/>
                <c:pt idx="0">
                  <c:v>26.40818181818182</c:v>
                </c:pt>
                <c:pt idx="1">
                  <c:v>13.75</c:v>
                </c:pt>
                <c:pt idx="2">
                  <c:v>18.746000000000002</c:v>
                </c:pt>
                <c:pt idx="3">
                  <c:v>35.390909090909084</c:v>
                </c:pt>
                <c:pt idx="4">
                  <c:v>27.233333333333334</c:v>
                </c:pt>
                <c:pt idx="5">
                  <c:v>8.4</c:v>
                </c:pt>
                <c:pt idx="6">
                  <c:v>13.960000000000003</c:v>
                </c:pt>
                <c:pt idx="7">
                  <c:v>32.203125</c:v>
                </c:pt>
                <c:pt idx="8">
                  <c:v>23.23</c:v>
                </c:pt>
                <c:pt idx="9">
                  <c:v>26.342970297029712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E-4829-87F1-80EC155074BD}"/>
            </c:ext>
          </c:extLst>
        </c:ser>
        <c:ser>
          <c:idx val="0"/>
          <c:order val="1"/>
          <c:tx>
            <c:v>HC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tables'!$B$4:$B$13</c:f>
              <c:strCache>
                <c:ptCount val="10"/>
                <c:pt idx="0">
                  <c:v>Kenya</c:v>
                </c:pt>
                <c:pt idx="1">
                  <c:v>Seychelles</c:v>
                </c:pt>
                <c:pt idx="2">
                  <c:v>Tanzania</c:v>
                </c:pt>
                <c:pt idx="3">
                  <c:v>Mozambique</c:v>
                </c:pt>
                <c:pt idx="4">
                  <c:v>Comoros</c:v>
                </c:pt>
                <c:pt idx="5">
                  <c:v>Mayotte</c:v>
                </c:pt>
                <c:pt idx="6">
                  <c:v>Madagascar</c:v>
                </c:pt>
                <c:pt idx="7">
                  <c:v>Mauritius</c:v>
                </c:pt>
                <c:pt idx="8">
                  <c:v>Reunion</c:v>
                </c:pt>
                <c:pt idx="9">
                  <c:v>WIO</c:v>
                </c:pt>
              </c:strCache>
            </c:strRef>
          </c:cat>
          <c:val>
            <c:numRef>
              <c:f>'result tables'!$D$4:$D$13</c:f>
              <c:numCache>
                <c:formatCode>0.0</c:formatCode>
                <c:ptCount val="10"/>
                <c:pt idx="0">
                  <c:v>33.458181818181828</c:v>
                </c:pt>
                <c:pt idx="1">
                  <c:v>43.5</c:v>
                </c:pt>
                <c:pt idx="2">
                  <c:v>44.206000000000003</c:v>
                </c:pt>
                <c:pt idx="3">
                  <c:v>49.68181818181818</c:v>
                </c:pt>
                <c:pt idx="4">
                  <c:v>53.866666666666667</c:v>
                </c:pt>
                <c:pt idx="5">
                  <c:v>80.875</c:v>
                </c:pt>
                <c:pt idx="6">
                  <c:v>55.56</c:v>
                </c:pt>
                <c:pt idx="7">
                  <c:v>47.684375000000003</c:v>
                </c:pt>
                <c:pt idx="8">
                  <c:v>49.17</c:v>
                </c:pt>
                <c:pt idx="9">
                  <c:v>46.328118811881183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E-4829-87F1-80EC15507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7739407"/>
        <c:axId val="537736911"/>
      </c:barChart>
      <c:catAx>
        <c:axId val="5377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37736911"/>
        <c:crosses val="autoZero"/>
        <c:auto val="1"/>
        <c:lblAlgn val="ctr"/>
        <c:lblOffset val="100"/>
        <c:noMultiLvlLbl val="0"/>
      </c:catAx>
      <c:valAx>
        <c:axId val="5377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377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ALG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'result tables'!$B$17:$B$28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 tables'!$F$17:$F$28</c:f>
              <c:numCache>
                <c:formatCode>0.0</c:formatCode>
                <c:ptCount val="12"/>
                <c:pt idx="0">
                  <c:v>24.756129032258066</c:v>
                </c:pt>
                <c:pt idx="1">
                  <c:v>23.18</c:v>
                </c:pt>
                <c:pt idx="2">
                  <c:v>16.471428571428572</c:v>
                </c:pt>
                <c:pt idx="3">
                  <c:v>4</c:v>
                </c:pt>
                <c:pt idx="4">
                  <c:v>13.333333333333334</c:v>
                </c:pt>
                <c:pt idx="5">
                  <c:v>15</c:v>
                </c:pt>
                <c:pt idx="6">
                  <c:v>30.06666666666667</c:v>
                </c:pt>
                <c:pt idx="7">
                  <c:v>0.5</c:v>
                </c:pt>
                <c:pt idx="8">
                  <c:v>14.4</c:v>
                </c:pt>
                <c:pt idx="9">
                  <c:v>25.450000000000003</c:v>
                </c:pt>
                <c:pt idx="10">
                  <c:v>39.199999999999996</c:v>
                </c:pt>
                <c:pt idx="11">
                  <c:v>26.342970297029712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D-4C1D-8175-40C8BBC44886}"/>
            </c:ext>
          </c:extLst>
        </c:ser>
        <c:ser>
          <c:idx val="1"/>
          <c:order val="1"/>
          <c:tx>
            <c:v>HC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tables'!$B$17:$B$28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 tables'!$D$17:$D$28</c:f>
              <c:numCache>
                <c:formatCode>0.0</c:formatCode>
                <c:ptCount val="12"/>
                <c:pt idx="0">
                  <c:v>35.423870967741948</c:v>
                </c:pt>
                <c:pt idx="1">
                  <c:v>56.739999999999995</c:v>
                </c:pt>
                <c:pt idx="2">
                  <c:v>69.3</c:v>
                </c:pt>
                <c:pt idx="3">
                  <c:v>50.9</c:v>
                </c:pt>
                <c:pt idx="4">
                  <c:v>47</c:v>
                </c:pt>
                <c:pt idx="5">
                  <c:v>33</c:v>
                </c:pt>
                <c:pt idx="6">
                  <c:v>48.038095238095238</c:v>
                </c:pt>
                <c:pt idx="7">
                  <c:v>47.1</c:v>
                </c:pt>
                <c:pt idx="8">
                  <c:v>56.7</c:v>
                </c:pt>
                <c:pt idx="9">
                  <c:v>61.55</c:v>
                </c:pt>
                <c:pt idx="10">
                  <c:v>48.971428571428575</c:v>
                </c:pt>
                <c:pt idx="11">
                  <c:v>46.328118811881218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4C1D-8175-40C8BBC44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9613343"/>
        <c:axId val="469614591"/>
      </c:barChart>
      <c:catAx>
        <c:axId val="46961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9614591"/>
        <c:crosses val="autoZero"/>
        <c:auto val="1"/>
        <c:lblAlgn val="ctr"/>
        <c:lblOffset val="100"/>
        <c:noMultiLvlLbl val="0"/>
      </c:catAx>
      <c:valAx>
        <c:axId val="46961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961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ALG-CORAL</a:t>
            </a:r>
            <a:r>
              <a:rPr lang="en-AU" baseline="0"/>
              <a:t> RATIO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'result tables'!$B$17:$B$28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 tables'!$F$17:$F$28</c:f>
              <c:numCache>
                <c:formatCode>0.0</c:formatCode>
                <c:ptCount val="12"/>
                <c:pt idx="0">
                  <c:v>24.756129032258066</c:v>
                </c:pt>
                <c:pt idx="1">
                  <c:v>23.18</c:v>
                </c:pt>
                <c:pt idx="2">
                  <c:v>16.471428571428572</c:v>
                </c:pt>
                <c:pt idx="3">
                  <c:v>4</c:v>
                </c:pt>
                <c:pt idx="4">
                  <c:v>13.333333333333334</c:v>
                </c:pt>
                <c:pt idx="5">
                  <c:v>15</c:v>
                </c:pt>
                <c:pt idx="6">
                  <c:v>30.06666666666667</c:v>
                </c:pt>
                <c:pt idx="7">
                  <c:v>0.5</c:v>
                </c:pt>
                <c:pt idx="8">
                  <c:v>14.4</c:v>
                </c:pt>
                <c:pt idx="9">
                  <c:v>25.450000000000003</c:v>
                </c:pt>
                <c:pt idx="10">
                  <c:v>39.199999999999996</c:v>
                </c:pt>
                <c:pt idx="11">
                  <c:v>26.342970297029712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3-41E0-8C26-91F3B15A9F20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 tables'!$B$17:$B$28</c:f>
              <c:strCache>
                <c:ptCount val="12"/>
                <c:pt idx="0">
                  <c:v>Ntanz_Ken</c:v>
                </c:pt>
                <c:pt idx="1">
                  <c:v>NMoz_Stanz</c:v>
                </c:pt>
                <c:pt idx="2">
                  <c:v>Com</c:v>
                </c:pt>
                <c:pt idx="3">
                  <c:v>MadN</c:v>
                </c:pt>
                <c:pt idx="4">
                  <c:v>SeyS</c:v>
                </c:pt>
                <c:pt idx="5">
                  <c:v>SeyN</c:v>
                </c:pt>
                <c:pt idx="6">
                  <c:v>Masc</c:v>
                </c:pt>
                <c:pt idx="7">
                  <c:v>MadE</c:v>
                </c:pt>
                <c:pt idx="8">
                  <c:v>MadW</c:v>
                </c:pt>
                <c:pt idx="9">
                  <c:v>MadS</c:v>
                </c:pt>
                <c:pt idx="10">
                  <c:v>Dela</c:v>
                </c:pt>
                <c:pt idx="11">
                  <c:v>WIO</c:v>
                </c:pt>
              </c:strCache>
            </c:strRef>
          </c:cat>
          <c:val>
            <c:numRef>
              <c:f>'result tables'!$D$17:$D$28</c:f>
              <c:numCache>
                <c:formatCode>0.0</c:formatCode>
                <c:ptCount val="12"/>
                <c:pt idx="0">
                  <c:v>35.423870967741948</c:v>
                </c:pt>
                <c:pt idx="1">
                  <c:v>56.739999999999995</c:v>
                </c:pt>
                <c:pt idx="2">
                  <c:v>69.3</c:v>
                </c:pt>
                <c:pt idx="3">
                  <c:v>50.9</c:v>
                </c:pt>
                <c:pt idx="4">
                  <c:v>47</c:v>
                </c:pt>
                <c:pt idx="5">
                  <c:v>33</c:v>
                </c:pt>
                <c:pt idx="6">
                  <c:v>48.038095238095238</c:v>
                </c:pt>
                <c:pt idx="7">
                  <c:v>47.1</c:v>
                </c:pt>
                <c:pt idx="8">
                  <c:v>56.7</c:v>
                </c:pt>
                <c:pt idx="9">
                  <c:v>61.55</c:v>
                </c:pt>
                <c:pt idx="10">
                  <c:v>48.971428571428575</c:v>
                </c:pt>
                <c:pt idx="11">
                  <c:v>46.328118811881218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3-41E0-8C26-91F3B15A9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7739407"/>
        <c:axId val="537736911"/>
      </c:barChart>
      <c:catAx>
        <c:axId val="53773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37736911"/>
        <c:crosses val="autoZero"/>
        <c:auto val="1"/>
        <c:lblAlgn val="ctr"/>
        <c:lblOffset val="100"/>
        <c:noMultiLvlLbl val="0"/>
      </c:catAx>
      <c:valAx>
        <c:axId val="5377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3773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15</xdr:col>
      <xdr:colOff>570345</xdr:colOff>
      <xdr:row>17</xdr:row>
      <xdr:rowOff>83608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3F2FA-2465-4827-AE00-E77002AB8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570345</xdr:colOff>
      <xdr:row>33</xdr:row>
      <xdr:rowOff>83608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AD3EE-2FF7-4B1E-8222-CF462F9E7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335643</xdr:colOff>
      <xdr:row>2</xdr:row>
      <xdr:rowOff>140305</xdr:rowOff>
    </xdr:from>
    <xdr:to>
      <xdr:col>23</xdr:col>
      <xdr:colOff>123976</xdr:colOff>
      <xdr:row>18</xdr:row>
      <xdr:rowOff>68338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29181C-17E6-45B7-AE7F-DA8BE0DBA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477610</xdr:colOff>
      <xdr:row>2</xdr:row>
      <xdr:rowOff>155122</xdr:rowOff>
    </xdr:from>
    <xdr:to>
      <xdr:col>30</xdr:col>
      <xdr:colOff>281667</xdr:colOff>
      <xdr:row>18</xdr:row>
      <xdr:rowOff>35379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2B1188-33B1-4DEF-BE9E-139005B1B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23</xdr:col>
      <xdr:colOff>468690</xdr:colOff>
      <xdr:row>34</xdr:row>
      <xdr:rowOff>132140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B7248A-190C-44B0-A3C6-C19633016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141967</xdr:colOff>
      <xdr:row>21</xdr:row>
      <xdr:rowOff>14817</xdr:rowOff>
    </xdr:from>
    <xdr:to>
      <xdr:col>30</xdr:col>
      <xdr:colOff>626381</xdr:colOff>
      <xdr:row>34</xdr:row>
      <xdr:rowOff>99181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042F8E-AC65-43FA-9FC4-0227B91C1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al Gudka" refreshedDate="44120.666598148149" createdVersion="6" refreshedVersion="6" minRefreshableVersion="3" recordCount="246" xr:uid="{48CD567F-0276-4D6F-92D8-BB0562602D67}">
  <cacheSource type="worksheet">
    <worksheetSource ref="A1:P248" sheet="data"/>
  </cacheSource>
  <cacheFields count="16">
    <cacheField name="data source/owner" numFmtId="0">
      <sharedItems/>
    </cacheField>
    <cacheField name="Country" numFmtId="0">
      <sharedItems containsBlank="1" count="8">
        <s v="Reunion"/>
        <s v="Mauritius"/>
        <s v="Tanzania"/>
        <s v="Madagascar"/>
        <s v="Kenya"/>
        <m/>
        <s v="Sychelles"/>
        <s v="Mozambique"/>
      </sharedItems>
    </cacheField>
    <cacheField name="Year" numFmtId="0">
      <sharedItems containsMixedTypes="1" containsNumber="1" containsInteger="1" minValue="1988" maxValue="2000" count="11">
        <n v="1999"/>
        <n v="1997"/>
        <n v="1993"/>
        <n v="1994"/>
        <n v="1988"/>
        <n v="1998"/>
        <s v="1991/1992"/>
        <n v="1995"/>
        <n v="1996"/>
        <n v="1991"/>
        <n v="2000"/>
      </sharedItems>
    </cacheField>
    <cacheField name="Bleaching Period" numFmtId="0">
      <sharedItems containsBlank="1"/>
    </cacheField>
    <cacheField name="Include/Exclude" numFmtId="0">
      <sharedItems containsBlank="1"/>
    </cacheField>
    <cacheField name="Include/Exclude - acr" numFmtId="0">
      <sharedItems/>
    </cacheField>
    <cacheField name="Sector" numFmtId="0">
      <sharedItems containsBlank="1" count="21">
        <m/>
        <s v="Sud Est"/>
        <s v="St Leu"/>
        <s v="North West - Nosy Be"/>
        <s v="East - Foulpointe"/>
        <s v="Kwale"/>
        <s v="Kilifi"/>
        <s v="Southern Sychelles"/>
        <s v="St Gilles"/>
        <s v="Nord Ouest"/>
        <s v="Malindi/Watamu/Mombasa/Kisite MNPs"/>
        <s v="Granitic Seychelles"/>
        <s v="Reunion Island"/>
        <s v="Dar es Salaam"/>
        <s v="Tanga"/>
        <s v="Mafia Reef"/>
        <s v="Inhambane"/>
        <s v="Maputo"/>
        <s v="Nampula_Province"/>
        <s v="Pemba_Bay"/>
        <s v="Mauritius Island"/>
      </sharedItems>
    </cacheField>
    <cacheField name="Site" numFmtId="0">
      <sharedItems count="66">
        <s v="Saint Leu"/>
        <s v="La Saline"/>
        <s v="Bambou Virieux"/>
        <s v="Bawe"/>
        <s v="Changuu"/>
        <s v="Chapwani"/>
        <s v="Chumbe"/>
        <s v="Corne Nord / Varangue"/>
        <s v="Dzamandjar"/>
        <s v="Foulpointe"/>
        <s v="Kisite Marine National Park - Control "/>
        <s v="Kisite Marine National Park - Experiment "/>
        <s v="Kwale"/>
        <s v="Malindi"/>
        <s v="Malindi Marine National Park"/>
        <s v="MFR-4m."/>
        <s v="MHR - Malindi harbour fringing reef"/>
        <s v="MHR-6"/>
        <s v="Mnemba"/>
        <s v="MNR"/>
        <s v="MNR - 11 -12.5 m."/>
        <s v="MNR, 4-6 meters depth"/>
        <s v="MPR"/>
        <s v="MPR4-6"/>
        <s v="MVG - 5-6  m. below datum"/>
        <s v="North St Pierre"/>
        <s v="South St Pierre"/>
        <s v="Toboggan / Planch"/>
        <s v="Trou aux Biches"/>
        <s v="Unspecified 9 sites (protected)"/>
        <s v="Watamu"/>
        <s v="Watamu Deep fore reef"/>
        <s v="Watamuu Turtle REef, 7 m."/>
        <s v="West alphonse"/>
        <s v="West cousine"/>
        <s v="WInt - 7 m. depth. Off plots 15/16"/>
        <s v="St-Gilles/La Saline reef complex"/>
        <s v="Bongoyo"/>
        <s v="Mbudya"/>
        <s v="Tanga"/>
        <s v="Tutia"/>
        <s v="Bazaruto_Archipelago"/>
        <s v="Inhaca_Island"/>
        <s v="Mozambique_Island"/>
        <s v="Pemba"/>
        <s v="Balaclava"/>
        <s v="Balaclava Maritime Hotel"/>
        <s v="Barrier Reef"/>
        <s v="Blue Bay"/>
        <s v="Blue Bay (shallow)"/>
        <s v="Calodyne Reef"/>
        <s v="Flat Island"/>
        <s v="Flat Island North"/>
        <s v="Flat Island South"/>
        <s v="Flic en Flac (Baie Dangereux)"/>
        <s v="Flic en Flac (middle)"/>
        <s v="Flic en Flac (south)"/>
        <s v="Grande Baie Aquarium"/>
        <s v="Hibiscus Hotel"/>
        <s v="Ile aux Aigrettes"/>
        <s v="Ile d'Ambre"/>
        <s v="Le Morne (Cannion)"/>
        <s v="LeMorne"/>
        <s v="Perybere"/>
        <s v="Point Harmonie"/>
        <s v="Trou d'Eau Douce"/>
      </sharedItems>
    </cacheField>
    <cacheField name="Station" numFmtId="0">
      <sharedItems containsBlank="1" count="30">
        <s v="Corne Nord"/>
        <s v="Planch’Alizé"/>
        <s v="Trois Chameaux-O"/>
        <s v="Trois Chameaux-I"/>
        <s v="Back Reef Flat"/>
        <m/>
        <s v="Reef Flat"/>
        <s v="Outer Slope"/>
        <s v="Shore Reef Flat"/>
        <s v="Two-mile_Reef"/>
        <s v="Baixo_Danae"/>
        <s v="Barreira_Vermelha"/>
        <s v="Ponta_Torres"/>
        <s v="Goa_Island"/>
        <s v="Sete_Paus_Island"/>
        <s v="Ponta_Maunhane"/>
        <s v="Ile d'Ambre_15"/>
        <s v="Ile d'Ambre_17"/>
        <s v="Ile d'Ambre_18"/>
        <s v="Ile d'Ambre_19"/>
        <s v="Trou aux Biches_14"/>
        <s v="Trou aux Biches_4"/>
        <s v="Trou aux Biches_5"/>
        <s v="Trou aux Biches_6"/>
        <s v="Trou aux Biches_7"/>
        <s v="Trou aux Biches_8"/>
        <s v="Trou d'Eau Douce_20"/>
        <s v="Trou d'Eau Douce_21"/>
        <s v="Trou d'Eau Douce_22"/>
        <s v="Trou d'Eau Douce_23"/>
      </sharedItems>
    </cacheField>
    <cacheField name="Zone" numFmtId="0">
      <sharedItems containsBlank="1"/>
    </cacheField>
    <cacheField name="Depth (m)" numFmtId="0">
      <sharedItems containsBlank="1"/>
    </cacheField>
    <cacheField name="Benthic category" numFmtId="0">
      <sharedItems containsBlank="1"/>
    </cacheField>
    <cacheField name="Benthic code" numFmtId="0">
      <sharedItems containsBlank="1"/>
    </cacheField>
    <cacheField name="all" numFmtId="0">
      <sharedItems containsSemiMixedTypes="0" containsString="0" containsNumber="1" minValue="0" maxValue="88"/>
    </cacheField>
    <cacheField name="HC" numFmtId="0">
      <sharedItems containsString="0" containsBlank="1" containsNumber="1" minValue="13.95" maxValue="88"/>
    </cacheField>
    <cacheField name="Alg" numFmtId="0">
      <sharedItems containsString="0" containsBlank="1" containsNumber="1" minValue="0" maxValue="6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al Gudka" refreshedDate="44314.640362152779" createdVersion="7" refreshedVersion="7" minRefreshableVersion="3" recordCount="112" xr:uid="{E043BCFC-93DC-4190-BE2C-C7B6D1937290}">
  <cacheSource type="worksheet">
    <worksheetSource ref="B11:K123" sheet="result"/>
  </cacheSource>
  <cacheFields count="10">
    <cacheField name="Ord" numFmtId="0">
      <sharedItems containsString="0" containsBlank="1" containsNumber="1" containsInteger="1" minValue="1" maxValue="3"/>
    </cacheField>
    <cacheField name="Country" numFmtId="0">
      <sharedItems containsBlank="1" count="10">
        <s v="Madagascar"/>
        <s v="Tanzania"/>
        <s v="Mauritius"/>
        <s v="Kenya"/>
        <s v="Reunion"/>
        <s v="Seychelles"/>
        <m/>
        <s v="Mozambique"/>
        <s v="Comoros"/>
        <s v="Mayotte"/>
      </sharedItems>
    </cacheField>
    <cacheField name="Sector" numFmtId="0">
      <sharedItems containsBlank="1"/>
    </cacheField>
    <cacheField name="Year" numFmtId="0">
      <sharedItems containsBlank="1" containsMixedTypes="1" containsNumber="1" containsInteger="1" minValue="1988" maxValue="2002"/>
    </cacheField>
    <cacheField name="Station" numFmtId="0">
      <sharedItems containsBlank="1"/>
    </cacheField>
    <cacheField name="Site" numFmtId="0">
      <sharedItems containsBlank="1"/>
    </cacheField>
    <cacheField name="HC" numFmtId="0">
      <sharedItems containsSemiMixedTypes="0" containsString="0" containsNumber="1" minValue="7.8" maxValue="97.2"/>
    </cacheField>
    <cacheField name="ALG" numFmtId="0">
      <sharedItems containsSemiMixedTypes="0" containsString="0" containsNumber="1" minValue="0" maxValue="77.099999999999994"/>
    </cacheField>
    <cacheField name="ALG/HC" numFmtId="165">
      <sharedItems containsSemiMixedTypes="0" containsString="0" containsNumber="1" minValue="0" maxValue="9.8846153846153832"/>
    </cacheField>
    <cacheField name="ALG/(ALG+HC)" numFmtId="165">
      <sharedItems containsSemiMixedTypes="0" containsString="0" containsNumber="1" minValue="0" maxValue="0.908127208480565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al Gudka" refreshedDate="44314.645130092591" createdVersion="7" refreshedVersion="7" minRefreshableVersion="3" recordCount="112" xr:uid="{499FC62E-B1ED-4000-8565-4547053107A1}">
  <cacheSource type="worksheet">
    <worksheetSource ref="A11:K123" sheet="result"/>
  </cacheSource>
  <cacheFields count="11">
    <cacheField name="eco-rgn" numFmtId="0">
      <sharedItems containsBlank="1" count="12">
        <s v="MadE"/>
        <s v="Ntanz_Ken"/>
        <s v="MadN"/>
        <s v="Masc"/>
        <s v="SeyS"/>
        <m/>
        <s v="SeyN"/>
        <s v="NMoz_Stanz"/>
        <s v="Dela"/>
        <s v="MadW"/>
        <s v="Com"/>
        <s v="MadS"/>
      </sharedItems>
    </cacheField>
    <cacheField name="Ord" numFmtId="0">
      <sharedItems containsString="0" containsBlank="1" containsNumber="1" containsInteger="1" minValue="1" maxValue="3" count="4">
        <n v="2"/>
        <n v="1"/>
        <n v="3"/>
        <m/>
      </sharedItems>
    </cacheField>
    <cacheField name="Country" numFmtId="0">
      <sharedItems containsBlank="1"/>
    </cacheField>
    <cacheField name="Sector" numFmtId="0">
      <sharedItems containsBlank="1"/>
    </cacheField>
    <cacheField name="Year" numFmtId="0">
      <sharedItems containsBlank="1" containsMixedTypes="1" containsNumber="1" containsInteger="1" minValue="1988" maxValue="2002"/>
    </cacheField>
    <cacheField name="Station" numFmtId="0">
      <sharedItems containsBlank="1"/>
    </cacheField>
    <cacheField name="Site" numFmtId="0">
      <sharedItems containsBlank="1"/>
    </cacheField>
    <cacheField name="HC" numFmtId="0">
      <sharedItems containsSemiMixedTypes="0" containsString="0" containsNumber="1" minValue="7.8" maxValue="97.2"/>
    </cacheField>
    <cacheField name="ALG" numFmtId="0">
      <sharedItems containsSemiMixedTypes="0" containsString="0" containsNumber="1" minValue="0" maxValue="77.099999999999994"/>
    </cacheField>
    <cacheField name="ALG/HC" numFmtId="165">
      <sharedItems containsSemiMixedTypes="0" containsString="0" containsNumber="1" minValue="0" maxValue="9.8846153846153832"/>
    </cacheField>
    <cacheField name="ALG/(ALG+HC)" numFmtId="165">
      <sharedItems containsSemiMixedTypes="0" containsString="0" containsNumber="1" minValue="0" maxValue="0.908127208480565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 QUOD and BIGOT 2000"/>
    <x v="0"/>
    <x v="0"/>
    <s v="After"/>
    <s v="yes"/>
    <s v="yes"/>
    <x v="0"/>
    <x v="0"/>
    <x v="0"/>
    <s v="Fringing reef"/>
    <s v="1 inner"/>
    <s v="Algae"/>
    <s v="ALG"/>
    <n v="20"/>
    <m/>
    <n v="20"/>
  </r>
  <r>
    <s v=" QUOD and BIGOT 2000"/>
    <x v="0"/>
    <x v="0"/>
    <s v="After"/>
    <s v="yes"/>
    <s v="yes"/>
    <x v="0"/>
    <x v="1"/>
    <x v="1"/>
    <s v="Fringing reef"/>
    <s v="1 inner"/>
    <s v="Algae"/>
    <s v="ALG"/>
    <n v="30"/>
    <m/>
    <n v="30"/>
  </r>
  <r>
    <s v=" QUOD and BIGOT 2000"/>
    <x v="0"/>
    <x v="0"/>
    <s v="After"/>
    <s v="yes"/>
    <s v="yes"/>
    <x v="0"/>
    <x v="1"/>
    <x v="2"/>
    <s v="Fringing reef"/>
    <s v="12 outer"/>
    <s v="Algae"/>
    <s v="ALG"/>
    <n v="40"/>
    <m/>
    <n v="40"/>
  </r>
  <r>
    <s v=" QUOD and BIGOT 2000"/>
    <x v="0"/>
    <x v="0"/>
    <s v="After"/>
    <s v="yes"/>
    <s v="yes"/>
    <x v="0"/>
    <x v="1"/>
    <x v="3"/>
    <s v="Fringing reef"/>
    <s v="1 inner"/>
    <s v="Algae"/>
    <s v="ALG"/>
    <n v="10"/>
    <m/>
    <n v="10"/>
  </r>
  <r>
    <s v="Ahamada et al. 2002"/>
    <x v="1"/>
    <x v="0"/>
    <s v="After"/>
    <s v="yes"/>
    <s v="yes"/>
    <x v="1"/>
    <x v="2"/>
    <x v="4"/>
    <s v="Back Reef Flat"/>
    <m/>
    <s v="Algae "/>
    <s v="ALG"/>
    <n v="30"/>
    <m/>
    <n v="30"/>
  </r>
  <r>
    <s v="Muhando 1999"/>
    <x v="2"/>
    <x v="1"/>
    <s v="Before"/>
    <s v="yes"/>
    <s v="yes"/>
    <x v="0"/>
    <x v="3"/>
    <x v="5"/>
    <m/>
    <m/>
    <s v="Algae"/>
    <s v="ALG"/>
    <n v="2.94"/>
    <m/>
    <n v="2.94"/>
  </r>
  <r>
    <s v="Muhando 1999"/>
    <x v="2"/>
    <x v="1"/>
    <s v="Before"/>
    <s v="yes"/>
    <s v="yes"/>
    <x v="0"/>
    <x v="4"/>
    <x v="5"/>
    <m/>
    <m/>
    <s v="Algae"/>
    <s v="ALG"/>
    <n v="10.97"/>
    <m/>
    <n v="10.97"/>
  </r>
  <r>
    <s v="Muhando 1999"/>
    <x v="2"/>
    <x v="1"/>
    <s v="Before"/>
    <s v="yes"/>
    <s v="yes"/>
    <x v="0"/>
    <x v="5"/>
    <x v="5"/>
    <m/>
    <m/>
    <s v="Algae"/>
    <s v="ALG"/>
    <n v="3.88"/>
    <m/>
    <n v="3.88"/>
  </r>
  <r>
    <s v="Muhando 1999"/>
    <x v="2"/>
    <x v="1"/>
    <s v="Before"/>
    <s v="yes"/>
    <s v="yes"/>
    <x v="0"/>
    <x v="6"/>
    <x v="5"/>
    <m/>
    <m/>
    <s v="Algae"/>
    <s v="ALG"/>
    <n v="8.8699999999999992"/>
    <m/>
    <n v="8.8699999999999992"/>
  </r>
  <r>
    <s v="Ahamada et al. 2002"/>
    <x v="0"/>
    <x v="0"/>
    <s v="After"/>
    <s v="yes"/>
    <s v="yes"/>
    <x v="2"/>
    <x v="7"/>
    <x v="6"/>
    <s v="Reef Flat"/>
    <m/>
    <s v="Algae "/>
    <s v="ALG"/>
    <n v="21.3"/>
    <m/>
    <n v="21.3"/>
  </r>
  <r>
    <s v="Ahamada et al. 2002"/>
    <x v="0"/>
    <x v="0"/>
    <s v="After"/>
    <s v="yes"/>
    <s v="yes"/>
    <x v="2"/>
    <x v="7"/>
    <x v="7"/>
    <s v="Outer Slope"/>
    <m/>
    <s v="Algae "/>
    <s v="ALG"/>
    <n v="31"/>
    <m/>
    <n v="31"/>
  </r>
  <r>
    <s v="Ahamada et al. 2002"/>
    <x v="3"/>
    <x v="0"/>
    <s v="After"/>
    <s v="yes"/>
    <s v="yes"/>
    <x v="3"/>
    <x v="8"/>
    <x v="5"/>
    <s v="Outer Slope"/>
    <m/>
    <s v="Algae "/>
    <s v="ALG"/>
    <n v="4"/>
    <m/>
    <n v="4"/>
  </r>
  <r>
    <s v="Ahamada et al. 2002"/>
    <x v="3"/>
    <x v="0"/>
    <s v="After"/>
    <s v="yes"/>
    <s v="yes"/>
    <x v="4"/>
    <x v="9"/>
    <x v="5"/>
    <s v="Reef Flat"/>
    <m/>
    <s v="Algae "/>
    <s v="ALG"/>
    <n v="0.5"/>
    <m/>
    <n v="0.5"/>
  </r>
  <r>
    <s v="Muthiga &amp; McClanahan 1997"/>
    <x v="4"/>
    <x v="2"/>
    <s v="Before"/>
    <s v="yes"/>
    <s v="yes"/>
    <x v="5"/>
    <x v="10"/>
    <x v="5"/>
    <m/>
    <m/>
    <s v="Algae macro"/>
    <s v="AMAC"/>
    <n v="1.3"/>
    <m/>
    <n v="48.01"/>
  </r>
  <r>
    <s v="Muthiga &amp; McClanahan 1997"/>
    <x v="4"/>
    <x v="2"/>
    <s v="Before"/>
    <s v="yes"/>
    <s v="yes"/>
    <x v="5"/>
    <x v="10"/>
    <x v="5"/>
    <m/>
    <m/>
    <s v="Algae turf"/>
    <s v="ATRF"/>
    <n v="46.71"/>
    <m/>
    <m/>
  </r>
  <r>
    <s v="Muthiga &amp; McClanahan 1997"/>
    <x v="4"/>
    <x v="3"/>
    <s v="Before"/>
    <s v="yes"/>
    <s v="yes"/>
    <x v="5"/>
    <x v="10"/>
    <x v="5"/>
    <m/>
    <m/>
    <s v="Algae macro"/>
    <s v="AMAC"/>
    <n v="7.49"/>
    <m/>
    <n v="55.71"/>
  </r>
  <r>
    <s v="Muthiga &amp; McClanahan 1997"/>
    <x v="4"/>
    <x v="3"/>
    <s v="Before"/>
    <s v="yes"/>
    <s v="yes"/>
    <x v="5"/>
    <x v="10"/>
    <x v="5"/>
    <m/>
    <m/>
    <s v="Algae turf"/>
    <s v="ATRF"/>
    <n v="48.22"/>
    <m/>
    <m/>
  </r>
  <r>
    <s v="Muthiga &amp; McClanahan 1997"/>
    <x v="4"/>
    <x v="2"/>
    <s v="Before"/>
    <s v="yes"/>
    <s v="yes"/>
    <x v="5"/>
    <x v="11"/>
    <x v="5"/>
    <m/>
    <m/>
    <s v="Algae macro"/>
    <s v="AMAC"/>
    <n v="1.3"/>
    <m/>
    <n v="44.97"/>
  </r>
  <r>
    <s v="Muthiga &amp; McClanahan 1997"/>
    <x v="4"/>
    <x v="2"/>
    <s v="Before"/>
    <s v="yes"/>
    <s v="yes"/>
    <x v="5"/>
    <x v="11"/>
    <x v="5"/>
    <m/>
    <m/>
    <s v="Algae turf"/>
    <s v="ATRF"/>
    <n v="43.67"/>
    <m/>
    <m/>
  </r>
  <r>
    <s v="Muthiga &amp; McClanahan 1997"/>
    <x v="4"/>
    <x v="3"/>
    <s v="Before"/>
    <s v="yes"/>
    <s v="yes"/>
    <x v="5"/>
    <x v="11"/>
    <x v="5"/>
    <m/>
    <m/>
    <s v="Algae macro"/>
    <s v="AMAC"/>
    <n v="0.47"/>
    <m/>
    <n v="44.81"/>
  </r>
  <r>
    <s v="Muthiga &amp; McClanahan 1997"/>
    <x v="4"/>
    <x v="3"/>
    <s v="Before"/>
    <s v="yes"/>
    <s v="yes"/>
    <x v="5"/>
    <x v="11"/>
    <x v="5"/>
    <m/>
    <m/>
    <s v="Algae turf"/>
    <s v="ATRF"/>
    <n v="44.34"/>
    <m/>
    <m/>
  </r>
  <r>
    <s v="Muhando 1999"/>
    <x v="2"/>
    <x v="1"/>
    <s v="Before"/>
    <s v="yes"/>
    <s v="yes"/>
    <x v="0"/>
    <x v="12"/>
    <x v="5"/>
    <m/>
    <m/>
    <s v="Algae"/>
    <s v="ALG"/>
    <n v="28.06"/>
    <m/>
    <n v="28.06"/>
  </r>
  <r>
    <s v="Obura - BSc thesis 1989"/>
    <x v="5"/>
    <x v="4"/>
    <m/>
    <s v="yes"/>
    <s v="yes"/>
    <x v="0"/>
    <x v="13"/>
    <x v="5"/>
    <m/>
    <m/>
    <m/>
    <s v="AMAC"/>
    <n v="0"/>
    <m/>
    <n v="7.8"/>
  </r>
  <r>
    <s v="Obura - BSc thesis 1989"/>
    <x v="5"/>
    <x v="4"/>
    <m/>
    <s v="yes"/>
    <s v="yes"/>
    <x v="0"/>
    <x v="13"/>
    <x v="5"/>
    <m/>
    <m/>
    <m/>
    <s v="ATRF"/>
    <n v="7.8"/>
    <m/>
    <m/>
  </r>
  <r>
    <s v="CORDIO Status report 1999"/>
    <x v="4"/>
    <x v="3"/>
    <s v="Before"/>
    <s v="yes"/>
    <s v="yes"/>
    <x v="6"/>
    <x v="14"/>
    <x v="5"/>
    <m/>
    <m/>
    <s v="Algae halimeda"/>
    <s v="AHAL"/>
    <n v="7"/>
    <m/>
    <n v="39.799999999999997"/>
  </r>
  <r>
    <s v="CORDIO Status report 1999"/>
    <x v="4"/>
    <x v="3"/>
    <s v="Before"/>
    <s v="yes"/>
    <s v="yes"/>
    <x v="6"/>
    <x v="14"/>
    <x v="5"/>
    <m/>
    <m/>
    <s v="Algae macro"/>
    <s v="AMAC"/>
    <n v="1.6"/>
    <m/>
    <m/>
  </r>
  <r>
    <s v="CORDIO Status report 1999"/>
    <x v="4"/>
    <x v="3"/>
    <s v="Before"/>
    <s v="yes"/>
    <s v="yes"/>
    <x v="6"/>
    <x v="14"/>
    <x v="5"/>
    <m/>
    <m/>
    <s v="Algae turf"/>
    <s v="ATRF"/>
    <n v="31.2"/>
    <m/>
    <m/>
  </r>
  <r>
    <s v="Obura - Phd thesis 1995"/>
    <x v="5"/>
    <x v="2"/>
    <m/>
    <s v="yes"/>
    <s v="yes"/>
    <x v="0"/>
    <x v="15"/>
    <x v="5"/>
    <m/>
    <m/>
    <m/>
    <s v="AMAC"/>
    <n v="0.1"/>
    <m/>
    <n v="34.4"/>
  </r>
  <r>
    <s v="Obura - Phd thesis 1995"/>
    <x v="5"/>
    <x v="2"/>
    <m/>
    <s v="yes"/>
    <s v="yes"/>
    <x v="0"/>
    <x v="15"/>
    <x v="5"/>
    <m/>
    <m/>
    <m/>
    <s v="ATRF"/>
    <n v="34.299999999999997"/>
    <m/>
    <m/>
  </r>
  <r>
    <s v="Obura - Phd thesis 1995"/>
    <x v="5"/>
    <x v="2"/>
    <m/>
    <s v="yes"/>
    <s v="yes"/>
    <x v="0"/>
    <x v="16"/>
    <x v="5"/>
    <m/>
    <m/>
    <m/>
    <s v="AMAC"/>
    <n v="11.4"/>
    <m/>
    <n v="25.8"/>
  </r>
  <r>
    <s v="Obura - Phd thesis 1995"/>
    <x v="5"/>
    <x v="2"/>
    <m/>
    <s v="yes"/>
    <s v="yes"/>
    <x v="0"/>
    <x v="16"/>
    <x v="5"/>
    <m/>
    <m/>
    <m/>
    <s v="ATRF"/>
    <n v="14.4"/>
    <m/>
    <m/>
  </r>
  <r>
    <s v="Obura - Phd thesis 1995"/>
    <x v="5"/>
    <x v="2"/>
    <m/>
    <s v="yes"/>
    <s v="yes"/>
    <x v="0"/>
    <x v="17"/>
    <x v="5"/>
    <m/>
    <m/>
    <m/>
    <s v="AMAC"/>
    <n v="7.5"/>
    <m/>
    <n v="40.9"/>
  </r>
  <r>
    <s v="Obura - Phd thesis 1995"/>
    <x v="5"/>
    <x v="2"/>
    <m/>
    <s v="yes"/>
    <s v="yes"/>
    <x v="0"/>
    <x v="17"/>
    <x v="5"/>
    <m/>
    <m/>
    <m/>
    <s v="ATRF"/>
    <n v="33.4"/>
    <m/>
    <m/>
  </r>
  <r>
    <s v="Muhando 1999"/>
    <x v="2"/>
    <x v="1"/>
    <s v="Before"/>
    <s v="yes"/>
    <s v="yes"/>
    <x v="0"/>
    <x v="18"/>
    <x v="5"/>
    <m/>
    <m/>
    <s v="Algae"/>
    <s v="ALG"/>
    <n v="2.44"/>
    <m/>
    <n v="2.44"/>
  </r>
  <r>
    <s v="Obura - Phd thesis 1995"/>
    <x v="5"/>
    <x v="2"/>
    <m/>
    <s v="yes"/>
    <s v="yes"/>
    <x v="0"/>
    <x v="19"/>
    <x v="5"/>
    <m/>
    <m/>
    <m/>
    <s v="AMAC"/>
    <n v="0.1"/>
    <m/>
    <n v="24.1"/>
  </r>
  <r>
    <s v="Obura - Phd thesis 1995"/>
    <x v="5"/>
    <x v="2"/>
    <m/>
    <s v="yes"/>
    <s v="yes"/>
    <x v="0"/>
    <x v="19"/>
    <x v="5"/>
    <m/>
    <m/>
    <m/>
    <s v="ATRF"/>
    <n v="24"/>
    <m/>
    <m/>
  </r>
  <r>
    <s v="Obura - Phd thesis 1995"/>
    <x v="5"/>
    <x v="2"/>
    <m/>
    <s v="yes"/>
    <s v="yes"/>
    <x v="0"/>
    <x v="20"/>
    <x v="5"/>
    <m/>
    <m/>
    <m/>
    <s v="AMAC"/>
    <n v="6.6"/>
    <m/>
    <n v="48.800000000000004"/>
  </r>
  <r>
    <s v="Obura - Phd thesis 1995"/>
    <x v="5"/>
    <x v="2"/>
    <m/>
    <s v="yes"/>
    <s v="yes"/>
    <x v="0"/>
    <x v="20"/>
    <x v="5"/>
    <m/>
    <m/>
    <m/>
    <s v="ATRF"/>
    <n v="42.2"/>
    <m/>
    <m/>
  </r>
  <r>
    <s v="Obura - Phd thesis 1995"/>
    <x v="5"/>
    <x v="2"/>
    <m/>
    <s v="yes"/>
    <s v="yes"/>
    <x v="0"/>
    <x v="21"/>
    <x v="5"/>
    <m/>
    <m/>
    <m/>
    <s v="AMAC"/>
    <n v="1.1000000000000001"/>
    <m/>
    <n v="39.1"/>
  </r>
  <r>
    <s v="Obura - Phd thesis 1995"/>
    <x v="5"/>
    <x v="2"/>
    <m/>
    <s v="yes"/>
    <s v="yes"/>
    <x v="0"/>
    <x v="21"/>
    <x v="5"/>
    <m/>
    <m/>
    <m/>
    <s v="ATRF"/>
    <n v="38"/>
    <m/>
    <m/>
  </r>
  <r>
    <s v="Obura - Phd thesis 1995"/>
    <x v="5"/>
    <x v="2"/>
    <m/>
    <s v="yes"/>
    <s v="yes"/>
    <x v="0"/>
    <x v="22"/>
    <x v="5"/>
    <m/>
    <m/>
    <m/>
    <s v="AMAC"/>
    <n v="7.1"/>
    <m/>
    <n v="33.299999999999997"/>
  </r>
  <r>
    <s v="Obura - Phd thesis 1995"/>
    <x v="5"/>
    <x v="2"/>
    <m/>
    <s v="yes"/>
    <s v="yes"/>
    <x v="0"/>
    <x v="22"/>
    <x v="5"/>
    <m/>
    <m/>
    <m/>
    <s v="ATRF"/>
    <n v="26.2"/>
    <m/>
    <m/>
  </r>
  <r>
    <s v="Obura - Phd thesis 1995"/>
    <x v="5"/>
    <x v="2"/>
    <m/>
    <s v="yes"/>
    <s v="yes"/>
    <x v="0"/>
    <x v="23"/>
    <x v="5"/>
    <m/>
    <m/>
    <m/>
    <s v="AMAC"/>
    <n v="1.7"/>
    <m/>
    <n v="26"/>
  </r>
  <r>
    <s v="Obura - Phd thesis 1995"/>
    <x v="5"/>
    <x v="2"/>
    <m/>
    <s v="yes"/>
    <s v="yes"/>
    <x v="0"/>
    <x v="23"/>
    <x v="5"/>
    <m/>
    <m/>
    <m/>
    <s v="ATRF"/>
    <n v="24.3"/>
    <m/>
    <m/>
  </r>
  <r>
    <s v="Obura - Phd thesis 1995"/>
    <x v="5"/>
    <x v="2"/>
    <m/>
    <s v="yes"/>
    <s v="yes"/>
    <x v="0"/>
    <x v="24"/>
    <x v="5"/>
    <m/>
    <m/>
    <m/>
    <s v="AMAC"/>
    <n v="9.4"/>
    <m/>
    <n v="14.3"/>
  </r>
  <r>
    <s v="Obura - Phd thesis 1995"/>
    <x v="5"/>
    <x v="2"/>
    <m/>
    <s v="yes"/>
    <s v="yes"/>
    <x v="0"/>
    <x v="24"/>
    <x v="5"/>
    <m/>
    <m/>
    <m/>
    <s v="ATRF"/>
    <n v="4.9000000000000004"/>
    <m/>
    <m/>
  </r>
  <r>
    <s v="Spalding &amp; Jarvis 2002"/>
    <x v="6"/>
    <x v="5"/>
    <s v="During"/>
    <s v="yes"/>
    <s v="yes"/>
    <x v="7"/>
    <x v="25"/>
    <x v="5"/>
    <m/>
    <m/>
    <s v="Algal mat"/>
    <s v="ALG"/>
    <n v="8"/>
    <m/>
    <n v="20"/>
  </r>
  <r>
    <s v="Spalding &amp; Jarvis 2002"/>
    <x v="6"/>
    <x v="5"/>
    <s v="During"/>
    <s v="yes"/>
    <s v="yes"/>
    <x v="7"/>
    <x v="25"/>
    <x v="5"/>
    <m/>
    <m/>
    <s v="Macroalgae"/>
    <s v="AMAC"/>
    <n v="1"/>
    <m/>
    <m/>
  </r>
  <r>
    <s v="Spalding &amp; Jarvis 2002"/>
    <x v="6"/>
    <x v="5"/>
    <s v="During"/>
    <s v="yes"/>
    <s v="yes"/>
    <x v="7"/>
    <x v="26"/>
    <x v="5"/>
    <m/>
    <m/>
    <s v="Algal mat"/>
    <s v="ALG"/>
    <n v="11"/>
    <m/>
    <m/>
  </r>
  <r>
    <s v="Ahamada et al. 2002"/>
    <x v="0"/>
    <x v="0"/>
    <s v="After"/>
    <s v="yes"/>
    <s v="yes"/>
    <x v="8"/>
    <x v="27"/>
    <x v="6"/>
    <s v="Reef Flat"/>
    <m/>
    <s v="Algae "/>
    <s v="ALG"/>
    <n v="15.3"/>
    <m/>
    <n v="15.3"/>
  </r>
  <r>
    <s v="Ahamada et al. 2002"/>
    <x v="0"/>
    <x v="0"/>
    <s v="After"/>
    <s v="yes"/>
    <s v="yes"/>
    <x v="8"/>
    <x v="27"/>
    <x v="7"/>
    <s v="Outer Slope"/>
    <m/>
    <s v="Algae "/>
    <s v="ALG"/>
    <n v="45.5"/>
    <m/>
    <n v="45.5"/>
  </r>
  <r>
    <s v="Ahamada et al. 2002"/>
    <x v="1"/>
    <x v="0"/>
    <s v="After"/>
    <s v="yes"/>
    <s v="yes"/>
    <x v="9"/>
    <x v="28"/>
    <x v="6"/>
    <s v="Reef Flat"/>
    <m/>
    <s v="Algae "/>
    <s v="ALG"/>
    <n v="26"/>
    <m/>
    <n v="26"/>
  </r>
  <r>
    <s v="Ahamada et al. 2002"/>
    <x v="1"/>
    <x v="0"/>
    <s v="After"/>
    <s v="yes"/>
    <s v="yes"/>
    <x v="9"/>
    <x v="28"/>
    <x v="7"/>
    <s v="Outer Slope"/>
    <m/>
    <s v="Algae "/>
    <s v="ALG"/>
    <n v="8"/>
    <m/>
    <n v="8"/>
  </r>
  <r>
    <s v="McClanahan et al. 2001"/>
    <x v="4"/>
    <x v="5"/>
    <s v="Before"/>
    <s v="yes"/>
    <s v="yes"/>
    <x v="10"/>
    <x v="29"/>
    <x v="5"/>
    <s v="Shallow fringing reef back reef lagoon"/>
    <m/>
    <s v="Algae macro"/>
    <s v="AMAC"/>
    <n v="4.5"/>
    <m/>
    <n v="35.5"/>
  </r>
  <r>
    <s v="McClanahan et al. 2001"/>
    <x v="4"/>
    <x v="5"/>
    <s v="Before"/>
    <s v="yes"/>
    <s v="yes"/>
    <x v="10"/>
    <x v="29"/>
    <x v="5"/>
    <s v="Shallow fringing reef back reef lagoon"/>
    <m/>
    <s v="Algae turf"/>
    <s v="ATRF"/>
    <n v="31"/>
    <m/>
    <m/>
  </r>
  <r>
    <s v="Obura - BSc thesis 1989"/>
    <x v="5"/>
    <x v="4"/>
    <m/>
    <s v="yes"/>
    <s v="yes"/>
    <x v="0"/>
    <x v="30"/>
    <x v="5"/>
    <m/>
    <m/>
    <m/>
    <s v="AMAC"/>
    <n v="4.0999999999999996"/>
    <m/>
    <n v="32.9"/>
  </r>
  <r>
    <s v="Obura - BSc thesis 1989"/>
    <x v="5"/>
    <x v="4"/>
    <m/>
    <s v="yes"/>
    <s v="yes"/>
    <x v="0"/>
    <x v="30"/>
    <x v="5"/>
    <m/>
    <m/>
    <m/>
    <s v="ATRF"/>
    <n v="28.8"/>
    <m/>
    <m/>
  </r>
  <r>
    <s v="Obura - Phd thesis 1995"/>
    <x v="5"/>
    <x v="3"/>
    <m/>
    <s v="yes"/>
    <s v="yes"/>
    <x v="0"/>
    <x v="31"/>
    <x v="5"/>
    <m/>
    <m/>
    <m/>
    <s v="AMAC"/>
    <n v="3.5"/>
    <m/>
    <n v="13.5"/>
  </r>
  <r>
    <s v="Obura - Phd thesis 1995"/>
    <x v="5"/>
    <x v="3"/>
    <m/>
    <s v="yes"/>
    <s v="yes"/>
    <x v="0"/>
    <x v="31"/>
    <x v="5"/>
    <m/>
    <m/>
    <m/>
    <s v="ATRF"/>
    <n v="10"/>
    <m/>
    <m/>
  </r>
  <r>
    <s v="Obura - Phd thesis 1995"/>
    <x v="5"/>
    <x v="3"/>
    <m/>
    <s v="yes"/>
    <s v="yes"/>
    <x v="0"/>
    <x v="32"/>
    <x v="5"/>
    <m/>
    <m/>
    <m/>
    <s v="AMAC"/>
    <n v="2.8"/>
    <m/>
    <n v="32.4"/>
  </r>
  <r>
    <s v="Obura - Phd thesis 1995"/>
    <x v="5"/>
    <x v="3"/>
    <m/>
    <s v="yes"/>
    <s v="yes"/>
    <x v="0"/>
    <x v="32"/>
    <x v="5"/>
    <m/>
    <m/>
    <m/>
    <s v="ATRF"/>
    <n v="29.6"/>
    <m/>
    <m/>
  </r>
  <r>
    <s v="Spalding &amp; Jarvis 2002"/>
    <x v="6"/>
    <x v="5"/>
    <s v="During"/>
    <s v="yes"/>
    <s v="yes"/>
    <x v="7"/>
    <x v="33"/>
    <x v="5"/>
    <m/>
    <m/>
    <s v="Algal mat"/>
    <s v="ALG"/>
    <n v="20"/>
    <m/>
    <n v="20"/>
  </r>
  <r>
    <s v="Spalding &amp; Jarvis 2002"/>
    <x v="6"/>
    <x v="1"/>
    <s v="Before"/>
    <s v="yes"/>
    <s v="yes"/>
    <x v="11"/>
    <x v="34"/>
    <x v="5"/>
    <s v="Fringing structure"/>
    <m/>
    <s v="Algal mat"/>
    <s v="ALG"/>
    <n v="11"/>
    <m/>
    <n v="15"/>
  </r>
  <r>
    <s v="Spalding &amp; Jarvis 2002"/>
    <x v="6"/>
    <x v="1"/>
    <s v="Before"/>
    <s v="yes"/>
    <s v="yes"/>
    <x v="11"/>
    <x v="34"/>
    <x v="5"/>
    <s v="Fringing structure"/>
    <m/>
    <s v="Macroalgae"/>
    <s v="AMAC"/>
    <n v="4"/>
    <m/>
    <m/>
  </r>
  <r>
    <s v="Obura - Phd thesis 1995"/>
    <x v="5"/>
    <x v="3"/>
    <m/>
    <s v="yes"/>
    <s v="yes"/>
    <x v="0"/>
    <x v="35"/>
    <x v="5"/>
    <m/>
    <m/>
    <m/>
    <s v="AMAC"/>
    <n v="2.8"/>
    <m/>
    <n v="28.8"/>
  </r>
  <r>
    <s v="Obura - Phd thesis 1995"/>
    <x v="5"/>
    <x v="3"/>
    <m/>
    <s v="yes"/>
    <s v="yes"/>
    <x v="0"/>
    <x v="35"/>
    <x v="5"/>
    <m/>
    <m/>
    <m/>
    <s v="ATRF"/>
    <n v="26"/>
    <m/>
    <m/>
  </r>
  <r>
    <s v=" QUOD and BIGOT 2000"/>
    <x v="0"/>
    <x v="0"/>
    <s v="After"/>
    <s v="yes"/>
    <s v="yes"/>
    <x v="0"/>
    <x v="0"/>
    <x v="0"/>
    <s v="Fringing reef"/>
    <s v="1 inner"/>
    <s v="live coral"/>
    <s v="HC"/>
    <n v="50"/>
    <n v="53.5"/>
    <m/>
  </r>
  <r>
    <s v=" QUOD and BIGOT 2000"/>
    <x v="0"/>
    <x v="0"/>
    <s v="After"/>
    <s v="yes"/>
    <s v="yes"/>
    <x v="0"/>
    <x v="0"/>
    <x v="0"/>
    <s v="Fringing reef"/>
    <s v="1 inner"/>
    <s v="Bleached coral"/>
    <m/>
    <n v="0"/>
    <m/>
    <m/>
  </r>
  <r>
    <s v=" QUOD and BIGOT 2000"/>
    <x v="0"/>
    <x v="0"/>
    <s v="After"/>
    <s v="yes"/>
    <s v="yes"/>
    <x v="0"/>
    <x v="0"/>
    <x v="0"/>
    <s v="Fringing reef"/>
    <s v="1 inner"/>
    <s v="Dead coral"/>
    <m/>
    <n v="3.5"/>
    <m/>
    <m/>
  </r>
  <r>
    <s v=" QUOD and BIGOT 2000"/>
    <x v="0"/>
    <x v="0"/>
    <s v="After"/>
    <s v="yes"/>
    <s v="yes"/>
    <x v="0"/>
    <x v="1"/>
    <x v="1"/>
    <s v="Fringing reef"/>
    <s v="1 inner"/>
    <s v="live coral"/>
    <s v="HC"/>
    <n v="40"/>
    <n v="58.2"/>
    <m/>
  </r>
  <r>
    <s v=" QUOD and BIGOT 2000"/>
    <x v="0"/>
    <x v="0"/>
    <s v="After"/>
    <s v="yes"/>
    <s v="yes"/>
    <x v="0"/>
    <x v="1"/>
    <x v="1"/>
    <s v="Fringing reef"/>
    <s v="1 inner"/>
    <s v="Bleached coral"/>
    <m/>
    <n v="5"/>
    <m/>
    <m/>
  </r>
  <r>
    <s v=" QUOD and BIGOT 2000"/>
    <x v="0"/>
    <x v="0"/>
    <s v="After"/>
    <s v="yes"/>
    <s v="yes"/>
    <x v="0"/>
    <x v="1"/>
    <x v="1"/>
    <s v="Fringing reef"/>
    <s v="1 inner"/>
    <s v="Dead coral"/>
    <m/>
    <n v="13.2"/>
    <m/>
    <m/>
  </r>
  <r>
    <s v=" QUOD and BIGOT 2000"/>
    <x v="0"/>
    <x v="0"/>
    <s v="After"/>
    <s v="yes"/>
    <s v="yes"/>
    <x v="0"/>
    <x v="1"/>
    <x v="3"/>
    <s v="Fringing reef"/>
    <s v="1 inner"/>
    <s v="live coral"/>
    <s v="HC"/>
    <n v="30"/>
    <n v="40"/>
    <m/>
  </r>
  <r>
    <s v=" QUOD and BIGOT 2000"/>
    <x v="0"/>
    <x v="0"/>
    <s v="After"/>
    <s v="yes"/>
    <s v="yes"/>
    <x v="0"/>
    <x v="1"/>
    <x v="3"/>
    <s v="Fringing reef"/>
    <s v="1 inner"/>
    <s v="Bleached coral"/>
    <m/>
    <n v="7.5"/>
    <m/>
    <m/>
  </r>
  <r>
    <s v=" QUOD and BIGOT 2000"/>
    <x v="0"/>
    <x v="0"/>
    <s v="After"/>
    <s v="yes"/>
    <s v="yes"/>
    <x v="0"/>
    <x v="1"/>
    <x v="3"/>
    <s v="Fringing reef"/>
    <s v="1 inner"/>
    <s v="Dead coral"/>
    <m/>
    <n v="2.5"/>
    <m/>
    <m/>
  </r>
  <r>
    <s v=" QUOD and BIGOT 2000"/>
    <x v="0"/>
    <x v="0"/>
    <s v="After"/>
    <s v="yes"/>
    <s v="yes"/>
    <x v="0"/>
    <x v="1"/>
    <x v="2"/>
    <s v="Fringing reef"/>
    <s v="12 outer"/>
    <s v="live coral"/>
    <s v="HC"/>
    <n v="50"/>
    <n v="52.9"/>
    <m/>
  </r>
  <r>
    <s v=" QUOD and BIGOT 2000"/>
    <x v="0"/>
    <x v="0"/>
    <s v="After"/>
    <s v="yes"/>
    <s v="yes"/>
    <x v="0"/>
    <x v="1"/>
    <x v="2"/>
    <s v="Fringing reef"/>
    <s v="12 outer"/>
    <s v="Bleached coral"/>
    <m/>
    <n v="2.5"/>
    <m/>
    <m/>
  </r>
  <r>
    <s v=" QUOD and BIGOT 2000"/>
    <x v="0"/>
    <x v="0"/>
    <s v="After"/>
    <s v="yes"/>
    <s v="yes"/>
    <x v="0"/>
    <x v="1"/>
    <x v="2"/>
    <s v="Fringing reef"/>
    <s v="12 outer"/>
    <s v="Dead coral"/>
    <m/>
    <n v="0.4"/>
    <m/>
    <m/>
  </r>
  <r>
    <s v="Ahamada et al. 2002"/>
    <x v="1"/>
    <x v="0"/>
    <s v="After"/>
    <s v="yes"/>
    <s v="yes"/>
    <x v="1"/>
    <x v="2"/>
    <x v="4"/>
    <s v="Back Reef Flat"/>
    <m/>
    <s v="Hard Coral"/>
    <s v="HC"/>
    <n v="30"/>
    <n v="30"/>
    <m/>
  </r>
  <r>
    <s v="Ahamada et al. 2002"/>
    <x v="1"/>
    <x v="0"/>
    <s v="After"/>
    <s v="yes"/>
    <s v="yes"/>
    <x v="1"/>
    <x v="2"/>
    <x v="8"/>
    <s v="Shore Reef Flat"/>
    <m/>
    <s v="Hard Coral"/>
    <s v="HC"/>
    <n v="48"/>
    <n v="48"/>
    <m/>
  </r>
  <r>
    <s v="Muhando 1999"/>
    <x v="2"/>
    <x v="1"/>
    <s v="Before"/>
    <s v="yes"/>
    <s v="yes"/>
    <x v="0"/>
    <x v="3"/>
    <x v="5"/>
    <m/>
    <m/>
    <s v="Hard Coral"/>
    <s v="HC"/>
    <n v="53.11"/>
    <n v="53.11"/>
    <m/>
  </r>
  <r>
    <s v="Muhando 1999"/>
    <x v="2"/>
    <x v="1"/>
    <s v="Before"/>
    <s v="yes"/>
    <s v="yes"/>
    <x v="0"/>
    <x v="4"/>
    <x v="5"/>
    <m/>
    <m/>
    <s v="Hard Coral"/>
    <s v="HC"/>
    <n v="50.11"/>
    <n v="50.11"/>
    <m/>
  </r>
  <r>
    <s v="Muhando 1999"/>
    <x v="2"/>
    <x v="1"/>
    <s v="Before"/>
    <s v="yes"/>
    <s v="yes"/>
    <x v="0"/>
    <x v="5"/>
    <x v="5"/>
    <m/>
    <m/>
    <s v="Hard Coral"/>
    <s v="HC"/>
    <n v="44.31"/>
    <n v="44.31"/>
    <m/>
  </r>
  <r>
    <s v="Muhando 1999"/>
    <x v="2"/>
    <x v="1"/>
    <s v="Before"/>
    <s v="yes"/>
    <s v="yes"/>
    <x v="0"/>
    <x v="6"/>
    <x v="5"/>
    <m/>
    <m/>
    <s v="Hard Coral"/>
    <s v="HC"/>
    <n v="51.85"/>
    <n v="51.85"/>
    <m/>
  </r>
  <r>
    <s v="Ahamada et al. 2002"/>
    <x v="0"/>
    <x v="0"/>
    <s v="After"/>
    <s v="yes"/>
    <s v="yes"/>
    <x v="2"/>
    <x v="7"/>
    <x v="6"/>
    <s v="Reef Flat"/>
    <m/>
    <s v="Hard Coral"/>
    <s v="HC"/>
    <n v="54.1"/>
    <n v="54.1"/>
    <m/>
  </r>
  <r>
    <s v="Ahamada et al. 2002"/>
    <x v="0"/>
    <x v="0"/>
    <s v="After"/>
    <s v="yes"/>
    <s v="yes"/>
    <x v="2"/>
    <x v="7"/>
    <x v="7"/>
    <s v="Outer Slope"/>
    <m/>
    <s v="Hard Coral"/>
    <s v="HC"/>
    <n v="59.8"/>
    <n v="59.8"/>
    <m/>
  </r>
  <r>
    <s v="Ahamada et al. 2002"/>
    <x v="3"/>
    <x v="0"/>
    <s v="After"/>
    <s v="yes"/>
    <s v="yes"/>
    <x v="3"/>
    <x v="8"/>
    <x v="5"/>
    <s v="Outer Slope"/>
    <m/>
    <s v="Hard Coral"/>
    <s v="HC"/>
    <n v="50.9"/>
    <n v="50.9"/>
    <m/>
  </r>
  <r>
    <s v="Ahamada et al. 2002"/>
    <x v="3"/>
    <x v="0"/>
    <s v="After"/>
    <s v="yes"/>
    <s v="yes"/>
    <x v="4"/>
    <x v="9"/>
    <x v="5"/>
    <s v="Reef Flat"/>
    <m/>
    <s v="Hard Coral"/>
    <s v="HC"/>
    <n v="47.1"/>
    <n v="47.1"/>
    <m/>
  </r>
  <r>
    <s v="Muthiga &amp; McClanahan 1997"/>
    <x v="4"/>
    <x v="2"/>
    <s v="Before"/>
    <s v="yes"/>
    <s v="yes"/>
    <x v="5"/>
    <x v="10"/>
    <x v="5"/>
    <m/>
    <m/>
    <s v="Hard Coral"/>
    <s v="HC"/>
    <n v="22.85"/>
    <n v="22.85"/>
    <m/>
  </r>
  <r>
    <s v="Muthiga &amp; McClanahan 1997"/>
    <x v="4"/>
    <x v="3"/>
    <s v="Before"/>
    <s v="yes"/>
    <s v="yes"/>
    <x v="5"/>
    <x v="10"/>
    <x v="5"/>
    <m/>
    <m/>
    <s v="Hard Coral"/>
    <s v="HC"/>
    <n v="20.75"/>
    <n v="20.75"/>
    <m/>
  </r>
  <r>
    <s v="Muthiga &amp; McClanahan 1997"/>
    <x v="4"/>
    <x v="2"/>
    <s v="Before"/>
    <s v="yes"/>
    <s v="yes"/>
    <x v="5"/>
    <x v="11"/>
    <x v="5"/>
    <m/>
    <m/>
    <s v="Hard Coral"/>
    <s v="HC"/>
    <n v="25.33"/>
    <n v="25.33"/>
    <m/>
  </r>
  <r>
    <s v="Muthiga &amp; McClanahan 1997"/>
    <x v="4"/>
    <x v="3"/>
    <s v="Before"/>
    <s v="yes"/>
    <s v="yes"/>
    <x v="5"/>
    <x v="11"/>
    <x v="5"/>
    <m/>
    <m/>
    <s v="Hard Coral"/>
    <s v="HC"/>
    <n v="24.2"/>
    <n v="24.2"/>
    <m/>
  </r>
  <r>
    <s v="Muhando 1999"/>
    <x v="2"/>
    <x v="1"/>
    <s v="Before"/>
    <s v="yes"/>
    <s v="yes"/>
    <x v="0"/>
    <x v="12"/>
    <x v="5"/>
    <m/>
    <m/>
    <s v="Hard Coral"/>
    <s v="HC"/>
    <n v="29.73"/>
    <n v="29.73"/>
    <m/>
  </r>
  <r>
    <s v="Obura - BSc thesis 1989"/>
    <x v="5"/>
    <x v="4"/>
    <m/>
    <s v="yes"/>
    <s v="yes"/>
    <x v="0"/>
    <x v="13"/>
    <x v="5"/>
    <m/>
    <m/>
    <m/>
    <s v="HC"/>
    <n v="41.7"/>
    <n v="41.7"/>
    <m/>
  </r>
  <r>
    <s v="CORDIO Status report 1999"/>
    <x v="4"/>
    <x v="3"/>
    <s v="Before"/>
    <s v="yes"/>
    <s v="yes"/>
    <x v="6"/>
    <x v="14"/>
    <x v="5"/>
    <m/>
    <m/>
    <s v="Hard Coral"/>
    <s v="HC"/>
    <n v="35.700000000000003"/>
    <n v="35.700000000000003"/>
    <m/>
  </r>
  <r>
    <s v="Obura - Phd thesis 1995"/>
    <x v="5"/>
    <x v="2"/>
    <m/>
    <s v="yes"/>
    <s v="yes"/>
    <x v="0"/>
    <x v="15"/>
    <x v="5"/>
    <m/>
    <m/>
    <m/>
    <s v="HC"/>
    <n v="40.6"/>
    <n v="40.6"/>
    <m/>
  </r>
  <r>
    <s v="Obura - Phd thesis 1995"/>
    <x v="5"/>
    <x v="2"/>
    <m/>
    <s v="yes"/>
    <s v="yes"/>
    <x v="0"/>
    <x v="16"/>
    <x v="5"/>
    <m/>
    <m/>
    <m/>
    <s v="HC"/>
    <n v="28.7"/>
    <n v="28.7"/>
    <m/>
  </r>
  <r>
    <s v="Obura - Phd thesis 1995"/>
    <x v="5"/>
    <x v="2"/>
    <m/>
    <s v="yes"/>
    <s v="yes"/>
    <x v="0"/>
    <x v="17"/>
    <x v="5"/>
    <m/>
    <m/>
    <m/>
    <s v="HC"/>
    <n v="40"/>
    <n v="40"/>
    <m/>
  </r>
  <r>
    <s v="Muhando 1999"/>
    <x v="2"/>
    <x v="1"/>
    <s v="Before"/>
    <s v="yes"/>
    <s v="yes"/>
    <x v="0"/>
    <x v="18"/>
    <x v="5"/>
    <m/>
    <m/>
    <s v="Hard Coral"/>
    <s v="HC"/>
    <n v="13.95"/>
    <n v="13.95"/>
    <m/>
  </r>
  <r>
    <s v="Obura - Phd thesis 1995"/>
    <x v="5"/>
    <x v="2"/>
    <m/>
    <s v="yes"/>
    <s v="yes"/>
    <x v="0"/>
    <x v="19"/>
    <x v="5"/>
    <m/>
    <m/>
    <m/>
    <s v="HC"/>
    <n v="37.5"/>
    <n v="37.5"/>
    <m/>
  </r>
  <r>
    <s v="Obura - Phd thesis 1995"/>
    <x v="5"/>
    <x v="2"/>
    <m/>
    <s v="yes"/>
    <s v="yes"/>
    <x v="0"/>
    <x v="20"/>
    <x v="5"/>
    <m/>
    <m/>
    <m/>
    <s v="HC"/>
    <n v="32"/>
    <n v="32"/>
    <m/>
  </r>
  <r>
    <s v="Obura - Phd thesis 1995"/>
    <x v="5"/>
    <x v="2"/>
    <m/>
    <s v="yes"/>
    <s v="yes"/>
    <x v="0"/>
    <x v="21"/>
    <x v="5"/>
    <m/>
    <m/>
    <m/>
    <s v="HC"/>
    <n v="29.1"/>
    <n v="29.1"/>
    <m/>
  </r>
  <r>
    <s v="Obura - Phd thesis 1995"/>
    <x v="5"/>
    <x v="2"/>
    <m/>
    <s v="yes"/>
    <s v="yes"/>
    <x v="0"/>
    <x v="22"/>
    <x v="5"/>
    <m/>
    <m/>
    <m/>
    <s v="HC"/>
    <n v="32.1"/>
    <n v="32.1"/>
    <m/>
  </r>
  <r>
    <s v="Obura - Phd thesis 1995"/>
    <x v="5"/>
    <x v="2"/>
    <m/>
    <s v="yes"/>
    <s v="yes"/>
    <x v="0"/>
    <x v="23"/>
    <x v="5"/>
    <m/>
    <m/>
    <m/>
    <s v="HC"/>
    <n v="49.5"/>
    <n v="49.5"/>
    <m/>
  </r>
  <r>
    <s v="Obura - Phd thesis 1995"/>
    <x v="5"/>
    <x v="2"/>
    <m/>
    <s v="yes"/>
    <s v="yes"/>
    <x v="0"/>
    <x v="24"/>
    <x v="5"/>
    <m/>
    <m/>
    <m/>
    <s v="HC"/>
    <n v="27.3"/>
    <n v="27.3"/>
    <m/>
  </r>
  <r>
    <s v="Spalding &amp; Jarvis 2002"/>
    <x v="6"/>
    <x v="5"/>
    <s v="During"/>
    <s v="yes"/>
    <s v="yes"/>
    <x v="7"/>
    <x v="25"/>
    <x v="5"/>
    <m/>
    <m/>
    <s v="Hard Coral"/>
    <s v="HC"/>
    <n v="64"/>
    <n v="64"/>
    <m/>
  </r>
  <r>
    <s v="Spalding &amp; Jarvis 2002"/>
    <x v="6"/>
    <x v="5"/>
    <s v="During"/>
    <s v="yes"/>
    <s v="yes"/>
    <x v="7"/>
    <x v="26"/>
    <x v="5"/>
    <m/>
    <m/>
    <s v="Hard Coral"/>
    <s v="HC"/>
    <n v="29"/>
    <n v="29"/>
    <m/>
  </r>
  <r>
    <s v="Chabanet et al. 1997"/>
    <x v="0"/>
    <x v="6"/>
    <s v="Before"/>
    <s v="yes"/>
    <s v="yes"/>
    <x v="12"/>
    <x v="36"/>
    <x v="5"/>
    <m/>
    <m/>
    <s v="live coral"/>
    <s v="HC"/>
    <n v="31"/>
    <n v="31"/>
    <m/>
  </r>
  <r>
    <s v="Ahamada et al. 2002"/>
    <x v="0"/>
    <x v="0"/>
    <s v="After"/>
    <s v="yes"/>
    <s v="yes"/>
    <x v="8"/>
    <x v="27"/>
    <x v="6"/>
    <s v="Reef Flat"/>
    <m/>
    <s v="Hard Coral"/>
    <s v="HC"/>
    <n v="35.5"/>
    <n v="35.5"/>
    <m/>
  </r>
  <r>
    <s v="Ahamada et al. 2002"/>
    <x v="0"/>
    <x v="0"/>
    <s v="After"/>
    <s v="yes"/>
    <s v="yes"/>
    <x v="8"/>
    <x v="27"/>
    <x v="7"/>
    <s v="Outer Slope"/>
    <m/>
    <s v="Hard Coral"/>
    <s v="HC"/>
    <n v="40.6"/>
    <n v="40.6"/>
    <m/>
  </r>
  <r>
    <s v="Ahamada et al. 2002"/>
    <x v="1"/>
    <x v="0"/>
    <s v="After"/>
    <s v="yes"/>
    <s v="yes"/>
    <x v="9"/>
    <x v="28"/>
    <x v="6"/>
    <s v="Reef Flat"/>
    <m/>
    <s v="Hard Coral"/>
    <s v="HC"/>
    <n v="41"/>
    <n v="41"/>
    <m/>
  </r>
  <r>
    <s v="Ahamada et al. 2002"/>
    <x v="1"/>
    <x v="0"/>
    <s v="After"/>
    <s v="yes"/>
    <s v="yes"/>
    <x v="9"/>
    <x v="28"/>
    <x v="7"/>
    <s v="Outer Slope"/>
    <m/>
    <s v="Hard Coral"/>
    <s v="HC"/>
    <n v="43"/>
    <n v="43"/>
    <m/>
  </r>
  <r>
    <s v="McClanahan et al. 2001"/>
    <x v="4"/>
    <x v="5"/>
    <s v="Before"/>
    <s v="yes"/>
    <s v="yes"/>
    <x v="10"/>
    <x v="29"/>
    <x v="5"/>
    <s v="Shallow fringing reef back reef lagoon"/>
    <m/>
    <s v="Hard Coral"/>
    <s v="HC"/>
    <n v="39.6"/>
    <n v="39.6"/>
    <m/>
  </r>
  <r>
    <s v="Obura - BSc thesis 1989"/>
    <x v="5"/>
    <x v="4"/>
    <m/>
    <s v="yes"/>
    <s v="yes"/>
    <x v="0"/>
    <x v="30"/>
    <x v="5"/>
    <m/>
    <m/>
    <m/>
    <s v="HC"/>
    <n v="31.1"/>
    <n v="31.1"/>
    <m/>
  </r>
  <r>
    <s v="Obura - Phd thesis 1995"/>
    <x v="5"/>
    <x v="3"/>
    <m/>
    <s v="yes"/>
    <s v="yes"/>
    <x v="0"/>
    <x v="31"/>
    <x v="5"/>
    <m/>
    <m/>
    <m/>
    <s v="HC"/>
    <n v="32"/>
    <n v="32"/>
    <m/>
  </r>
  <r>
    <s v="Obura - Phd thesis 1995"/>
    <x v="5"/>
    <x v="3"/>
    <m/>
    <s v="yes"/>
    <s v="yes"/>
    <x v="0"/>
    <x v="32"/>
    <x v="5"/>
    <m/>
    <m/>
    <m/>
    <s v="HC"/>
    <n v="50"/>
    <n v="50"/>
    <m/>
  </r>
  <r>
    <s v="Spalding &amp; Jarvis 2002"/>
    <x v="6"/>
    <x v="5"/>
    <s v="During"/>
    <s v="yes"/>
    <s v="yes"/>
    <x v="7"/>
    <x v="33"/>
    <x v="5"/>
    <m/>
    <m/>
    <s v="Hard Coral"/>
    <s v="HC"/>
    <n v="48"/>
    <n v="48"/>
    <m/>
  </r>
  <r>
    <s v="Spalding &amp; Jarvis 2002"/>
    <x v="6"/>
    <x v="1"/>
    <s v="Before"/>
    <s v="yes"/>
    <s v="yes"/>
    <x v="11"/>
    <x v="34"/>
    <x v="5"/>
    <s v="Fringing structure"/>
    <m/>
    <s v="Hard Coral"/>
    <s v="HC"/>
    <n v="33"/>
    <n v="33"/>
    <m/>
  </r>
  <r>
    <s v="Obura - Phd thesis 1995"/>
    <x v="5"/>
    <x v="3"/>
    <m/>
    <s v="yes"/>
    <s v="yes"/>
    <x v="0"/>
    <x v="35"/>
    <x v="5"/>
    <m/>
    <m/>
    <m/>
    <s v="HC"/>
    <n v="19.2"/>
    <n v="19.2"/>
    <m/>
  </r>
  <r>
    <s v="McClanahan et al. 2009"/>
    <x v="2"/>
    <x v="7"/>
    <s v="Before"/>
    <s v="yes"/>
    <s v="yes"/>
    <x v="13"/>
    <x v="37"/>
    <x v="5"/>
    <m/>
    <m/>
    <s v="Hard Coral"/>
    <s v="HC"/>
    <n v="32.4"/>
    <n v="32.4"/>
    <m/>
  </r>
  <r>
    <s v="McClanahan et al. 2009"/>
    <x v="2"/>
    <x v="7"/>
    <s v="Before"/>
    <s v="yes"/>
    <s v="yes"/>
    <x v="13"/>
    <x v="37"/>
    <x v="5"/>
    <m/>
    <m/>
    <s v="Turf algae"/>
    <s v="ATRF"/>
    <n v="47.7"/>
    <m/>
    <n v="48"/>
  </r>
  <r>
    <s v="McClanahan et al. 2009"/>
    <x v="2"/>
    <x v="7"/>
    <s v="Before"/>
    <s v="yes"/>
    <s v="yes"/>
    <x v="13"/>
    <x v="37"/>
    <x v="5"/>
    <m/>
    <m/>
    <s v="Calcareous algae"/>
    <s v="AHAL"/>
    <n v="0"/>
    <m/>
    <m/>
  </r>
  <r>
    <s v="McClanahan et al. 2009"/>
    <x v="2"/>
    <x v="7"/>
    <s v="Before"/>
    <s v="yes"/>
    <s v="yes"/>
    <x v="13"/>
    <x v="37"/>
    <x v="5"/>
    <m/>
    <m/>
    <s v="Frondose algae"/>
    <s v="AMAC"/>
    <n v="0.3"/>
    <m/>
    <m/>
  </r>
  <r>
    <s v="McClanahan et al. 2009"/>
    <x v="2"/>
    <x v="7"/>
    <s v="Before"/>
    <s v="yes"/>
    <s v="yes"/>
    <x v="13"/>
    <x v="38"/>
    <x v="5"/>
    <m/>
    <m/>
    <s v="Hard Coral"/>
    <s v="HC"/>
    <n v="52.8"/>
    <n v="52.8"/>
    <m/>
  </r>
  <r>
    <s v="McClanahan et al. 2009"/>
    <x v="2"/>
    <x v="7"/>
    <s v="Before"/>
    <s v="yes"/>
    <s v="yes"/>
    <x v="13"/>
    <x v="38"/>
    <x v="5"/>
    <m/>
    <m/>
    <s v="Turf algae"/>
    <s v="ATRF"/>
    <n v="27.9"/>
    <m/>
    <n v="28.4"/>
  </r>
  <r>
    <s v="McClanahan et al. 2009"/>
    <x v="2"/>
    <x v="7"/>
    <s v="Before"/>
    <s v="yes"/>
    <s v="yes"/>
    <x v="13"/>
    <x v="38"/>
    <x v="5"/>
    <m/>
    <m/>
    <s v="Calcareous algae"/>
    <s v="AHAL"/>
    <n v="0.1"/>
    <m/>
    <m/>
  </r>
  <r>
    <s v="McClanahan et al. 2009"/>
    <x v="2"/>
    <x v="7"/>
    <s v="Before"/>
    <s v="yes"/>
    <s v="yes"/>
    <x v="13"/>
    <x v="38"/>
    <x v="5"/>
    <m/>
    <m/>
    <s v="Frondose algae"/>
    <s v="AMAC"/>
    <n v="0.4"/>
    <m/>
    <m/>
  </r>
  <r>
    <s v="McClanahan et al. 2009"/>
    <x v="2"/>
    <x v="8"/>
    <s v="Before"/>
    <s v="yes"/>
    <s v="yes"/>
    <x v="14"/>
    <x v="39"/>
    <x v="5"/>
    <m/>
    <m/>
    <s v="Hard Coral"/>
    <s v="HC"/>
    <n v="33.799999999999997"/>
    <n v="33.799999999999997"/>
    <m/>
  </r>
  <r>
    <s v="McClanahan et al. 2009"/>
    <x v="2"/>
    <x v="8"/>
    <s v="Before"/>
    <s v="yes"/>
    <s v="yes"/>
    <x v="14"/>
    <x v="39"/>
    <x v="5"/>
    <m/>
    <m/>
    <s v="Turf algae"/>
    <s v="ATRF"/>
    <n v="33.200000000000003"/>
    <m/>
    <n v="52.9"/>
  </r>
  <r>
    <s v="McClanahan et al. 2009"/>
    <x v="2"/>
    <x v="8"/>
    <s v="Before"/>
    <s v="yes"/>
    <s v="yes"/>
    <x v="14"/>
    <x v="39"/>
    <x v="5"/>
    <m/>
    <m/>
    <s v="Calcareous algae"/>
    <s v="AHAL"/>
    <n v="0.1"/>
    <m/>
    <m/>
  </r>
  <r>
    <s v="McClanahan et al. 2009"/>
    <x v="2"/>
    <x v="8"/>
    <s v="Before"/>
    <s v="yes"/>
    <s v="yes"/>
    <x v="14"/>
    <x v="39"/>
    <x v="5"/>
    <m/>
    <m/>
    <s v="Frondose algae"/>
    <s v="AMAC"/>
    <n v="19.600000000000001"/>
    <m/>
    <m/>
  </r>
  <r>
    <s v="Muhando and Mohammad 2002"/>
    <x v="2"/>
    <x v="9"/>
    <s v="Before"/>
    <s v="yes"/>
    <s v="yes"/>
    <x v="15"/>
    <x v="40"/>
    <x v="5"/>
    <m/>
    <m/>
    <s v="Hard Coral"/>
    <s v="HC"/>
    <n v="80"/>
    <n v="80"/>
    <m/>
  </r>
  <r>
    <s v="Muhando and Mohammad 2002"/>
    <x v="2"/>
    <x v="8"/>
    <s v="Before"/>
    <s v="yes"/>
    <s v="yes"/>
    <x v="15"/>
    <x v="40"/>
    <x v="5"/>
    <m/>
    <m/>
    <s v="Fleshy Algae"/>
    <s v="AMAC"/>
    <n v="1"/>
    <m/>
    <n v="1"/>
  </r>
  <r>
    <s v="Motta_et_al._2002"/>
    <x v="7"/>
    <x v="10"/>
    <m/>
    <m/>
    <s v="yes"/>
    <x v="16"/>
    <x v="41"/>
    <x v="9"/>
    <s v="NA"/>
    <s v="NA"/>
    <m/>
    <s v="HC"/>
    <n v="60.1"/>
    <n v="60.1"/>
    <m/>
  </r>
  <r>
    <s v="Motta_et_al._2002"/>
    <x v="7"/>
    <x v="10"/>
    <m/>
    <m/>
    <s v="yes"/>
    <x v="16"/>
    <x v="41"/>
    <x v="9"/>
    <s v="NA"/>
    <s v="NA"/>
    <m/>
    <s v="AMAC"/>
    <n v="0.1"/>
    <m/>
    <n v="0.1"/>
  </r>
  <r>
    <s v="Motta_et_al._2002"/>
    <x v="7"/>
    <x v="10"/>
    <m/>
    <m/>
    <s v="yes"/>
    <x v="17"/>
    <x v="42"/>
    <x v="10"/>
    <s v="NA"/>
    <s v="NA"/>
    <m/>
    <s v="HC"/>
    <n v="30.9"/>
    <n v="30.9"/>
    <m/>
  </r>
  <r>
    <s v="Motta_et_al._2002"/>
    <x v="7"/>
    <x v="10"/>
    <m/>
    <m/>
    <s v="yes"/>
    <x v="17"/>
    <x v="42"/>
    <x v="10"/>
    <s v="NA"/>
    <s v="NA"/>
    <m/>
    <s v="AMAC"/>
    <n v="0"/>
    <m/>
    <n v="0"/>
  </r>
  <r>
    <s v="Motta_et_al._2002"/>
    <x v="7"/>
    <x v="10"/>
    <m/>
    <m/>
    <s v="yes"/>
    <x v="17"/>
    <x v="42"/>
    <x v="11"/>
    <s v="NA"/>
    <s v="NA"/>
    <m/>
    <s v="HC"/>
    <n v="41.9"/>
    <n v="41.9"/>
    <m/>
  </r>
  <r>
    <s v="Motta_et_al._2002"/>
    <x v="7"/>
    <x v="10"/>
    <m/>
    <m/>
    <s v="yes"/>
    <x v="17"/>
    <x v="42"/>
    <x v="11"/>
    <s v="NA"/>
    <s v="NA"/>
    <m/>
    <s v="AMAC"/>
    <n v="0"/>
    <m/>
    <n v="0"/>
  </r>
  <r>
    <s v="Motta_et_al._2002"/>
    <x v="7"/>
    <x v="10"/>
    <m/>
    <m/>
    <s v="yes"/>
    <x v="17"/>
    <x v="42"/>
    <x v="12"/>
    <s v="NA"/>
    <s v="NA"/>
    <m/>
    <s v="HC"/>
    <n v="36.200000000000003"/>
    <n v="36.200000000000003"/>
    <m/>
  </r>
  <r>
    <s v="Motta_et_al._2002"/>
    <x v="7"/>
    <x v="10"/>
    <m/>
    <m/>
    <s v="yes"/>
    <x v="17"/>
    <x v="42"/>
    <x v="12"/>
    <s v="NA"/>
    <s v="NA"/>
    <m/>
    <s v="AMAC"/>
    <n v="0"/>
    <m/>
    <n v="0"/>
  </r>
  <r>
    <s v="Motta_et_al._2002"/>
    <x v="7"/>
    <x v="10"/>
    <m/>
    <m/>
    <s v="yes"/>
    <x v="18"/>
    <x v="43"/>
    <x v="13"/>
    <s v="NA"/>
    <s v="NA"/>
    <m/>
    <s v="HC"/>
    <n v="28.4"/>
    <n v="28.4"/>
    <m/>
  </r>
  <r>
    <s v="Motta_et_al._2002"/>
    <x v="7"/>
    <x v="10"/>
    <m/>
    <m/>
    <s v="yes"/>
    <x v="18"/>
    <x v="43"/>
    <x v="13"/>
    <s v="NA"/>
    <s v="NA"/>
    <m/>
    <s v="AMAC"/>
    <n v="1.9"/>
    <m/>
    <n v="1.9"/>
  </r>
  <r>
    <s v="Motta_et_al._2002"/>
    <x v="7"/>
    <x v="10"/>
    <m/>
    <m/>
    <s v="yes"/>
    <x v="18"/>
    <x v="43"/>
    <x v="14"/>
    <s v="NA"/>
    <s v="NA"/>
    <m/>
    <s v="HC"/>
    <n v="27.2"/>
    <n v="27.2"/>
    <m/>
  </r>
  <r>
    <s v="Motta_et_al._2002"/>
    <x v="7"/>
    <x v="10"/>
    <m/>
    <m/>
    <s v="yes"/>
    <x v="18"/>
    <x v="43"/>
    <x v="14"/>
    <s v="NA"/>
    <s v="NA"/>
    <m/>
    <s v="AMAC"/>
    <n v="0"/>
    <m/>
    <n v="0"/>
  </r>
  <r>
    <s v="Motta_et_al._2002"/>
    <x v="7"/>
    <x v="10"/>
    <m/>
    <m/>
    <s v="yes"/>
    <x v="19"/>
    <x v="44"/>
    <x v="15"/>
    <s v="NA"/>
    <s v="NA"/>
    <m/>
    <s v="HC"/>
    <n v="68.2"/>
    <n v="68.2"/>
    <m/>
  </r>
  <r>
    <s v="Motta_et_al._2002"/>
    <x v="7"/>
    <x v="10"/>
    <m/>
    <m/>
    <s v="yes"/>
    <x v="19"/>
    <x v="44"/>
    <x v="15"/>
    <s v="NA"/>
    <s v="NA"/>
    <m/>
    <s v="AMAC"/>
    <n v="0"/>
    <m/>
    <n v="0"/>
  </r>
  <r>
    <s v="Hardman 1999"/>
    <x v="1"/>
    <x v="0"/>
    <s v="After"/>
    <m/>
    <s v="yes"/>
    <x v="20"/>
    <x v="45"/>
    <x v="5"/>
    <s v="Lagoonal patch reef"/>
    <s v="0-3"/>
    <s v="Hard Coral"/>
    <s v="HC"/>
    <n v="63"/>
    <n v="63"/>
    <m/>
  </r>
  <r>
    <s v="Hardman 1999"/>
    <x v="1"/>
    <x v="0"/>
    <s v="After"/>
    <m/>
    <s v="yes"/>
    <x v="20"/>
    <x v="45"/>
    <x v="5"/>
    <s v="Lagoonal patch reef"/>
    <s v="0-3"/>
    <s v="Turf algae"/>
    <s v="ATRF"/>
    <n v="5.5"/>
    <m/>
    <n v="26"/>
  </r>
  <r>
    <s v="Hardman 1999"/>
    <x v="1"/>
    <x v="0"/>
    <s v="After"/>
    <m/>
    <s v="yes"/>
    <x v="20"/>
    <x v="45"/>
    <x v="5"/>
    <s v="Lagoonal patch reef"/>
    <s v="0-3"/>
    <s v="Macroalgae"/>
    <s v="AMAC"/>
    <n v="20.5"/>
    <m/>
    <m/>
  </r>
  <r>
    <s v="Hardman 1999"/>
    <x v="1"/>
    <x v="0"/>
    <s v="After"/>
    <m/>
    <s v="yes"/>
    <x v="20"/>
    <x v="46"/>
    <x v="5"/>
    <s v="Lagoonal patch reef"/>
    <s v="002-7"/>
    <s v="Hard Coral"/>
    <s v="HC"/>
    <n v="88"/>
    <n v="88"/>
    <m/>
  </r>
  <r>
    <s v="Hardman 1999"/>
    <x v="1"/>
    <x v="0"/>
    <s v="After"/>
    <m/>
    <s v="yes"/>
    <x v="20"/>
    <x v="46"/>
    <x v="5"/>
    <s v="Lagoonal patch reef"/>
    <s v="002-7"/>
    <s v="Turf algae"/>
    <s v="ATRF"/>
    <n v="5.5"/>
    <m/>
    <n v="26"/>
  </r>
  <r>
    <s v="Hardman 1999"/>
    <x v="1"/>
    <x v="0"/>
    <s v="After"/>
    <m/>
    <s v="yes"/>
    <x v="20"/>
    <x v="46"/>
    <x v="5"/>
    <s v="Lagoonal patch reef"/>
    <s v="002-7"/>
    <s v="Macroalgae"/>
    <s v="AMAC"/>
    <n v="20.5"/>
    <m/>
    <m/>
  </r>
  <r>
    <s v="Hardman 1999"/>
    <x v="1"/>
    <x v="0"/>
    <s v="After"/>
    <m/>
    <s v="yes"/>
    <x v="20"/>
    <x v="47"/>
    <x v="5"/>
    <s v="Barrier Reef"/>
    <s v="0-3"/>
    <s v="Hard Coral"/>
    <s v="HC"/>
    <n v="40.5"/>
    <n v="40.5"/>
    <m/>
  </r>
  <r>
    <s v="Hardman 1999"/>
    <x v="1"/>
    <x v="0"/>
    <s v="After"/>
    <m/>
    <s v="yes"/>
    <x v="20"/>
    <x v="47"/>
    <x v="5"/>
    <s v="Barrier Reef"/>
    <s v="0-3"/>
    <s v="Turf algae"/>
    <s v="ATRF"/>
    <n v="40.5"/>
    <m/>
    <n v="46"/>
  </r>
  <r>
    <s v="Hardman 1999"/>
    <x v="1"/>
    <x v="0"/>
    <s v="After"/>
    <m/>
    <s v="yes"/>
    <x v="20"/>
    <x v="47"/>
    <x v="5"/>
    <s v="Barrier Reef"/>
    <s v="0-3"/>
    <s v="Macroalgae"/>
    <s v="AMAC"/>
    <n v="5.5"/>
    <m/>
    <m/>
  </r>
  <r>
    <s v="Hardman 1999"/>
    <x v="1"/>
    <x v="0"/>
    <s v="After"/>
    <m/>
    <s v="yes"/>
    <x v="20"/>
    <x v="48"/>
    <x v="5"/>
    <s v="Lagoonal patch reef"/>
    <s v="0-8"/>
    <s v="Hard Coral"/>
    <s v="HC"/>
    <n v="88"/>
    <n v="88"/>
    <m/>
  </r>
  <r>
    <s v="Hardman 1999"/>
    <x v="1"/>
    <x v="0"/>
    <s v="After"/>
    <m/>
    <s v="yes"/>
    <x v="20"/>
    <x v="48"/>
    <x v="5"/>
    <s v="Lagoonal patch reef"/>
    <s v="0-8"/>
    <s v="Turf algae"/>
    <s v="ATRF"/>
    <n v="5.5"/>
    <m/>
    <n v="11"/>
  </r>
  <r>
    <s v="Hardman 1999"/>
    <x v="1"/>
    <x v="0"/>
    <s v="After"/>
    <m/>
    <s v="yes"/>
    <x v="20"/>
    <x v="48"/>
    <x v="5"/>
    <s v="Lagoonal patch reef"/>
    <s v="0-8"/>
    <s v="Macroalgae"/>
    <s v="AMAC"/>
    <n v="5.5"/>
    <m/>
    <m/>
  </r>
  <r>
    <s v="Hardman 1999"/>
    <x v="1"/>
    <x v="0"/>
    <s v="After"/>
    <m/>
    <s v="yes"/>
    <x v="20"/>
    <x v="49"/>
    <x v="5"/>
    <s v="Lagoonal patch reef"/>
    <s v="0-2"/>
    <s v="Hard Coral"/>
    <s v="HC"/>
    <n v="63"/>
    <n v="63"/>
    <m/>
  </r>
  <r>
    <s v="Hardman 1999"/>
    <x v="1"/>
    <x v="0"/>
    <s v="After"/>
    <m/>
    <s v="yes"/>
    <x v="20"/>
    <x v="49"/>
    <x v="5"/>
    <s v="Lagoonal patch reef"/>
    <s v="0-2"/>
    <s v="Turf algae"/>
    <s v="ATRF"/>
    <n v="40.5"/>
    <m/>
    <n v="40.5"/>
  </r>
  <r>
    <s v="Hardman 1999"/>
    <x v="1"/>
    <x v="0"/>
    <s v="After"/>
    <m/>
    <s v="yes"/>
    <x v="20"/>
    <x v="49"/>
    <x v="5"/>
    <s v="Lagoonal patch reef"/>
    <s v="0-2"/>
    <s v="Macroalgae"/>
    <s v="AMAC"/>
    <n v="0"/>
    <m/>
    <m/>
  </r>
  <r>
    <s v="Hardman 1999"/>
    <x v="1"/>
    <x v="0"/>
    <s v="After"/>
    <m/>
    <s v="yes"/>
    <x v="20"/>
    <x v="50"/>
    <x v="5"/>
    <s v="Fore reef"/>
    <s v="005-17"/>
    <s v="Hard Coral"/>
    <s v="HC"/>
    <n v="20.5"/>
    <n v="20.5"/>
    <m/>
  </r>
  <r>
    <s v="Hardman 1999"/>
    <x v="1"/>
    <x v="0"/>
    <s v="After"/>
    <m/>
    <s v="yes"/>
    <x v="20"/>
    <x v="50"/>
    <x v="5"/>
    <s v="Fore reef"/>
    <s v="005-17"/>
    <s v="Turf algae"/>
    <s v="ATRF"/>
    <n v="63"/>
    <m/>
    <n v="68.5"/>
  </r>
  <r>
    <s v="Hardman 1999"/>
    <x v="1"/>
    <x v="0"/>
    <s v="After"/>
    <m/>
    <s v="yes"/>
    <x v="20"/>
    <x v="50"/>
    <x v="5"/>
    <s v="Fore reef"/>
    <s v="005-17"/>
    <s v="Macroalgae"/>
    <s v="AMAC"/>
    <n v="5.5"/>
    <m/>
    <m/>
  </r>
  <r>
    <s v="Hardman 1999"/>
    <x v="1"/>
    <x v="0"/>
    <s v="After"/>
    <m/>
    <s v="yes"/>
    <x v="20"/>
    <x v="51"/>
    <x v="5"/>
    <s v="Fringing reef"/>
    <s v="0-2"/>
    <s v="Hard Coral"/>
    <s v="HC"/>
    <n v="20.5"/>
    <n v="20.5"/>
    <m/>
  </r>
  <r>
    <s v="Hardman 1999"/>
    <x v="1"/>
    <x v="0"/>
    <s v="After"/>
    <m/>
    <s v="yes"/>
    <x v="20"/>
    <x v="51"/>
    <x v="5"/>
    <s v="Fringing reef"/>
    <s v="0-2"/>
    <s v="Turf algae"/>
    <s v="ATRF"/>
    <n v="20.5"/>
    <m/>
    <n v="26"/>
  </r>
  <r>
    <s v="Hardman 1999"/>
    <x v="1"/>
    <x v="0"/>
    <s v="After"/>
    <m/>
    <s v="yes"/>
    <x v="20"/>
    <x v="51"/>
    <x v="5"/>
    <s v="Fringing reef"/>
    <s v="0-2"/>
    <s v="Macroalgae"/>
    <s v="AMAC"/>
    <n v="5.5"/>
    <m/>
    <m/>
  </r>
  <r>
    <s v="Hardman 1999"/>
    <x v="1"/>
    <x v="0"/>
    <s v="After"/>
    <m/>
    <s v="yes"/>
    <x v="20"/>
    <x v="52"/>
    <x v="5"/>
    <s v="Reef crest"/>
    <s v="0-2"/>
    <s v="Hard Coral"/>
    <s v="HC"/>
    <n v="20.5"/>
    <n v="20.5"/>
    <m/>
  </r>
  <r>
    <s v="Hardman 1999"/>
    <x v="1"/>
    <x v="0"/>
    <s v="After"/>
    <m/>
    <s v="yes"/>
    <x v="20"/>
    <x v="52"/>
    <x v="5"/>
    <s v="Reef crest"/>
    <s v="0-2"/>
    <s v="Turf algae"/>
    <s v="ATRF"/>
    <n v="5.5"/>
    <m/>
    <n v="11"/>
  </r>
  <r>
    <s v="Hardman 1999"/>
    <x v="1"/>
    <x v="0"/>
    <s v="After"/>
    <m/>
    <s v="yes"/>
    <x v="20"/>
    <x v="52"/>
    <x v="5"/>
    <s v="Reef crest"/>
    <s v="0-2"/>
    <s v="Macroalgae"/>
    <s v="AMAC"/>
    <n v="5.5"/>
    <m/>
    <m/>
  </r>
  <r>
    <s v="Hardman 1999"/>
    <x v="1"/>
    <x v="0"/>
    <s v="After"/>
    <m/>
    <s v="yes"/>
    <x v="20"/>
    <x v="53"/>
    <x v="5"/>
    <s v="Lagoonal patch reef"/>
    <s v="0-2"/>
    <s v="Hard Coral"/>
    <s v="HC"/>
    <n v="63"/>
    <n v="63"/>
    <m/>
  </r>
  <r>
    <s v="Hardman 1999"/>
    <x v="1"/>
    <x v="0"/>
    <s v="After"/>
    <m/>
    <s v="yes"/>
    <x v="20"/>
    <x v="53"/>
    <x v="5"/>
    <s v="Lagoonal patch reef"/>
    <s v="0-2"/>
    <s v="Turf algae"/>
    <s v="ATRF"/>
    <n v="20.5"/>
    <m/>
    <n v="20.5"/>
  </r>
  <r>
    <s v="Hardman 1999"/>
    <x v="1"/>
    <x v="0"/>
    <s v="After"/>
    <m/>
    <s v="yes"/>
    <x v="20"/>
    <x v="53"/>
    <x v="5"/>
    <s v="Lagoonal patch reef"/>
    <s v="0-2"/>
    <s v="Macroalgae"/>
    <s v="AMAC"/>
    <n v="0"/>
    <m/>
    <m/>
  </r>
  <r>
    <s v="Hardman 1999"/>
    <x v="1"/>
    <x v="0"/>
    <s v="After"/>
    <m/>
    <s v="yes"/>
    <x v="20"/>
    <x v="54"/>
    <x v="5"/>
    <s v="Lagoonal patch reef"/>
    <s v="0-2"/>
    <s v="Hard Coral"/>
    <s v="HC"/>
    <n v="40.5"/>
    <n v="40.5"/>
    <m/>
  </r>
  <r>
    <s v="Hardman 1999"/>
    <x v="1"/>
    <x v="0"/>
    <s v="After"/>
    <m/>
    <s v="yes"/>
    <x v="20"/>
    <x v="54"/>
    <x v="5"/>
    <s v="Lagoonal patch reef"/>
    <s v="0-2"/>
    <s v="Turf algae"/>
    <s v="ATRF"/>
    <n v="20.5"/>
    <m/>
    <n v="41"/>
  </r>
  <r>
    <s v="Hardman 1999"/>
    <x v="1"/>
    <x v="0"/>
    <s v="After"/>
    <m/>
    <s v="yes"/>
    <x v="20"/>
    <x v="54"/>
    <x v="5"/>
    <s v="Lagoonal patch reef"/>
    <s v="0-2"/>
    <s v="Macroalgae"/>
    <s v="AMAC"/>
    <n v="20.5"/>
    <m/>
    <m/>
  </r>
  <r>
    <s v="Hardman 1999"/>
    <x v="1"/>
    <x v="0"/>
    <s v="After"/>
    <m/>
    <s v="yes"/>
    <x v="20"/>
    <x v="55"/>
    <x v="5"/>
    <s v="Lagoonal patch reef"/>
    <s v="0-2"/>
    <s v="Hard Coral"/>
    <s v="HC"/>
    <n v="20.5"/>
    <n v="20.5"/>
    <m/>
  </r>
  <r>
    <s v="Hardman 1999"/>
    <x v="1"/>
    <x v="0"/>
    <s v="After"/>
    <m/>
    <s v="yes"/>
    <x v="20"/>
    <x v="55"/>
    <x v="5"/>
    <s v="Lagoonal patch reef"/>
    <s v="0-2"/>
    <s v="Turf algae"/>
    <s v="ATRF"/>
    <n v="20.5"/>
    <m/>
    <n v="61"/>
  </r>
  <r>
    <s v="Hardman 1999"/>
    <x v="1"/>
    <x v="0"/>
    <s v="After"/>
    <m/>
    <s v="yes"/>
    <x v="20"/>
    <x v="55"/>
    <x v="5"/>
    <s v="Lagoonal patch reef"/>
    <s v="0-2"/>
    <s v="Macroalgae"/>
    <s v="AMAC"/>
    <n v="40.5"/>
    <m/>
    <m/>
  </r>
  <r>
    <s v="Hardman 1999"/>
    <x v="1"/>
    <x v="0"/>
    <s v="After"/>
    <m/>
    <s v="yes"/>
    <x v="20"/>
    <x v="56"/>
    <x v="5"/>
    <s v="Lagoonal patch reef"/>
    <s v="0.5-2"/>
    <s v="Hard Coral"/>
    <s v="HC"/>
    <n v="20.5"/>
    <n v="20.5"/>
    <m/>
  </r>
  <r>
    <s v="Hardman 1999"/>
    <x v="1"/>
    <x v="0"/>
    <s v="After"/>
    <m/>
    <s v="yes"/>
    <x v="20"/>
    <x v="56"/>
    <x v="5"/>
    <s v="Lagoonal patch reef"/>
    <s v="0.5-2"/>
    <s v="Turf algae"/>
    <s v="ATRF"/>
    <n v="20.5"/>
    <m/>
    <n v="61"/>
  </r>
  <r>
    <s v="Hardman 1999"/>
    <x v="1"/>
    <x v="0"/>
    <s v="After"/>
    <m/>
    <s v="yes"/>
    <x v="20"/>
    <x v="56"/>
    <x v="5"/>
    <s v="Lagoonal patch reef"/>
    <s v="0.5-2"/>
    <s v="Macroalgae"/>
    <s v="AMAC"/>
    <n v="40.5"/>
    <m/>
    <m/>
  </r>
  <r>
    <s v="Hardman 1999"/>
    <x v="1"/>
    <x v="0"/>
    <s v="After"/>
    <m/>
    <s v="yes"/>
    <x v="20"/>
    <x v="57"/>
    <x v="5"/>
    <s v="Fore reef"/>
    <s v="005-14"/>
    <s v="Hard Coral"/>
    <s v="HC"/>
    <n v="20.5"/>
    <n v="20.5"/>
    <m/>
  </r>
  <r>
    <s v="Hardman 1999"/>
    <x v="1"/>
    <x v="0"/>
    <s v="After"/>
    <m/>
    <s v="yes"/>
    <x v="20"/>
    <x v="57"/>
    <x v="5"/>
    <s v="Fore reef"/>
    <s v="005-14"/>
    <s v="Turf algae"/>
    <s v="ATRF"/>
    <n v="5.5"/>
    <m/>
    <n v="11"/>
  </r>
  <r>
    <s v="Hardman 1999"/>
    <x v="1"/>
    <x v="0"/>
    <s v="After"/>
    <m/>
    <s v="yes"/>
    <x v="20"/>
    <x v="57"/>
    <x v="5"/>
    <s v="Fore reef"/>
    <s v="005-14"/>
    <s v="Macroalgae"/>
    <s v="AMAC"/>
    <n v="5.5"/>
    <m/>
    <m/>
  </r>
  <r>
    <s v="Hardman 1999"/>
    <x v="1"/>
    <x v="0"/>
    <s v="After"/>
    <m/>
    <s v="yes"/>
    <x v="20"/>
    <x v="58"/>
    <x v="5"/>
    <s v="Lagoonal patch reef"/>
    <s v="005-7"/>
    <s v="Hard Coral"/>
    <s v="HC"/>
    <n v="40.5"/>
    <n v="40.5"/>
    <m/>
  </r>
  <r>
    <s v="Hardman 1999"/>
    <x v="1"/>
    <x v="0"/>
    <s v="After"/>
    <m/>
    <s v="yes"/>
    <x v="20"/>
    <x v="58"/>
    <x v="5"/>
    <s v="Lagoonal patch reef"/>
    <s v="005-7"/>
    <s v="Turf algae"/>
    <s v="ATRF"/>
    <n v="20.5"/>
    <m/>
    <n v="41"/>
  </r>
  <r>
    <s v="Hardman 1999"/>
    <x v="1"/>
    <x v="0"/>
    <s v="After"/>
    <m/>
    <s v="yes"/>
    <x v="20"/>
    <x v="58"/>
    <x v="5"/>
    <s v="Lagoonal patch reef"/>
    <s v="005-7"/>
    <s v="Macroalgae"/>
    <s v="AMAC"/>
    <n v="20.5"/>
    <m/>
    <m/>
  </r>
  <r>
    <s v="Hardman 1999"/>
    <x v="1"/>
    <x v="0"/>
    <s v="After"/>
    <m/>
    <s v="yes"/>
    <x v="20"/>
    <x v="59"/>
    <x v="5"/>
    <s v="Lagoonal patch reef"/>
    <s v="0-3"/>
    <s v="Hard Coral"/>
    <s v="HC"/>
    <n v="63"/>
    <n v="63"/>
    <m/>
  </r>
  <r>
    <s v="Hardman 1999"/>
    <x v="1"/>
    <x v="0"/>
    <s v="After"/>
    <m/>
    <s v="yes"/>
    <x v="20"/>
    <x v="59"/>
    <x v="5"/>
    <s v="Lagoonal patch reef"/>
    <s v="0-3"/>
    <s v="Turf algae"/>
    <s v="ATRF"/>
    <n v="20.5"/>
    <m/>
    <n v="26"/>
  </r>
  <r>
    <s v="Hardman 1999"/>
    <x v="1"/>
    <x v="0"/>
    <s v="After"/>
    <m/>
    <s v="yes"/>
    <x v="20"/>
    <x v="59"/>
    <x v="5"/>
    <s v="Lagoonal patch reef"/>
    <s v="0-3"/>
    <s v="Macroalgae"/>
    <s v="AMAC"/>
    <n v="5.5"/>
    <m/>
    <m/>
  </r>
  <r>
    <s v="Hardman 1999"/>
    <x v="1"/>
    <x v="0"/>
    <s v="After"/>
    <m/>
    <s v="yes"/>
    <x v="20"/>
    <x v="60"/>
    <x v="16"/>
    <s v="Lagoonal patch reef"/>
    <s v="0-2"/>
    <s v="Hard Coral"/>
    <s v="HC"/>
    <n v="88"/>
    <n v="88"/>
    <m/>
  </r>
  <r>
    <s v="Hardman 1999"/>
    <x v="1"/>
    <x v="0"/>
    <s v="After"/>
    <m/>
    <s v="yes"/>
    <x v="20"/>
    <x v="60"/>
    <x v="16"/>
    <s v="Lagoonal patch reef"/>
    <s v="0-2"/>
    <s v="Turf algae"/>
    <s v="ATRF"/>
    <n v="5.5"/>
    <m/>
    <n v="11"/>
  </r>
  <r>
    <s v="Hardman 1999"/>
    <x v="1"/>
    <x v="0"/>
    <s v="After"/>
    <m/>
    <s v="yes"/>
    <x v="20"/>
    <x v="60"/>
    <x v="16"/>
    <s v="Lagoonal patch reef"/>
    <s v="0-2"/>
    <s v="Macroalgae"/>
    <s v="AMAC"/>
    <n v="5.5"/>
    <m/>
    <m/>
  </r>
  <r>
    <s v="Hardman 1999"/>
    <x v="1"/>
    <x v="0"/>
    <s v="After"/>
    <m/>
    <s v="yes"/>
    <x v="20"/>
    <x v="60"/>
    <x v="17"/>
    <s v="Reef crest"/>
    <s v="0-2"/>
    <s v="Hard Coral"/>
    <s v="HC"/>
    <n v="40.5"/>
    <n v="40.5"/>
    <m/>
  </r>
  <r>
    <s v="Hardman 1999"/>
    <x v="1"/>
    <x v="0"/>
    <s v="After"/>
    <m/>
    <s v="yes"/>
    <x v="20"/>
    <x v="60"/>
    <x v="17"/>
    <s v="Reef crest"/>
    <s v="0-2"/>
    <s v="Turf algae"/>
    <s v="ATRF"/>
    <n v="40.5"/>
    <m/>
    <n v="46"/>
  </r>
  <r>
    <s v="Hardman 1999"/>
    <x v="1"/>
    <x v="0"/>
    <s v="After"/>
    <m/>
    <s v="yes"/>
    <x v="20"/>
    <x v="60"/>
    <x v="17"/>
    <s v="Reef crest"/>
    <s v="0-2"/>
    <s v="Macroalgae"/>
    <s v="AMAC"/>
    <n v="5.5"/>
    <m/>
    <m/>
  </r>
  <r>
    <s v="Hardman 1999"/>
    <x v="1"/>
    <x v="0"/>
    <s v="After"/>
    <m/>
    <s v="yes"/>
    <x v="20"/>
    <x v="60"/>
    <x v="18"/>
    <s v="Lagoonal patch reef"/>
    <s v="0-2"/>
    <s v="Hard Coral"/>
    <s v="HC"/>
    <n v="63"/>
    <n v="63"/>
    <m/>
  </r>
  <r>
    <s v="Hardman 1999"/>
    <x v="1"/>
    <x v="0"/>
    <s v="After"/>
    <m/>
    <s v="yes"/>
    <x v="20"/>
    <x v="60"/>
    <x v="18"/>
    <s v="Lagoonal patch reef"/>
    <s v="0-2"/>
    <s v="Turf algae"/>
    <s v="ATRF"/>
    <n v="40.5"/>
    <m/>
    <n v="46"/>
  </r>
  <r>
    <s v="Hardman 1999"/>
    <x v="1"/>
    <x v="0"/>
    <s v="After"/>
    <m/>
    <s v="yes"/>
    <x v="20"/>
    <x v="60"/>
    <x v="18"/>
    <s v="Lagoonal patch reef"/>
    <s v="0-2"/>
    <s v="Macroalgae"/>
    <s v="AMAC"/>
    <n v="5.5"/>
    <m/>
    <m/>
  </r>
  <r>
    <s v="Hardman 1999"/>
    <x v="1"/>
    <x v="0"/>
    <s v="After"/>
    <m/>
    <s v="yes"/>
    <x v="20"/>
    <x v="60"/>
    <x v="19"/>
    <s v="Lagoonal patch reef"/>
    <s v="0-2"/>
    <s v="Hard Coral"/>
    <s v="HC"/>
    <n v="63"/>
    <n v="63"/>
    <m/>
  </r>
  <r>
    <s v="Hardman 1999"/>
    <x v="1"/>
    <x v="0"/>
    <s v="After"/>
    <m/>
    <s v="yes"/>
    <x v="20"/>
    <x v="60"/>
    <x v="19"/>
    <s v="Lagoonal patch reef"/>
    <s v="0-2"/>
    <s v="Turf algae"/>
    <s v="ATRF"/>
    <n v="40.5"/>
    <m/>
    <n v="46"/>
  </r>
  <r>
    <s v="Hardman 1999"/>
    <x v="1"/>
    <x v="0"/>
    <s v="After"/>
    <m/>
    <s v="yes"/>
    <x v="20"/>
    <x v="60"/>
    <x v="19"/>
    <s v="Lagoonal patch reef"/>
    <s v="0-2"/>
    <s v="Macroalgae"/>
    <s v="AMAC"/>
    <n v="5.5"/>
    <m/>
    <m/>
  </r>
  <r>
    <s v="Hardman 1999"/>
    <x v="1"/>
    <x v="0"/>
    <s v="After"/>
    <m/>
    <s v="yes"/>
    <x v="20"/>
    <x v="61"/>
    <x v="5"/>
    <s v="Fore reef"/>
    <s v="5-13.8"/>
    <s v="Hard Coral"/>
    <s v="HC"/>
    <n v="40.5"/>
    <n v="40.5"/>
    <m/>
  </r>
  <r>
    <s v="Hardman 1999"/>
    <x v="1"/>
    <x v="0"/>
    <s v="After"/>
    <m/>
    <s v="yes"/>
    <x v="20"/>
    <x v="61"/>
    <x v="5"/>
    <s v="Fore reef"/>
    <s v="5-13.8"/>
    <s v="Turf algae"/>
    <s v="ATRF"/>
    <n v="5.5"/>
    <m/>
    <n v="11"/>
  </r>
  <r>
    <s v="Hardman 1999"/>
    <x v="1"/>
    <x v="0"/>
    <s v="After"/>
    <m/>
    <s v="yes"/>
    <x v="20"/>
    <x v="61"/>
    <x v="5"/>
    <s v="Fore reef"/>
    <s v="5-13.8"/>
    <s v="Macroalgae"/>
    <s v="AMAC"/>
    <n v="5.5"/>
    <m/>
    <m/>
  </r>
  <r>
    <s v="Hardman 1999"/>
    <x v="1"/>
    <x v="0"/>
    <s v="After"/>
    <m/>
    <s v="yes"/>
    <x v="20"/>
    <x v="62"/>
    <x v="5"/>
    <s v="Lagoonal patch reef"/>
    <s v="0.5-2"/>
    <s v="Hard Coral"/>
    <s v="HC"/>
    <n v="63"/>
    <n v="63"/>
    <m/>
  </r>
  <r>
    <s v="Hardman 1999"/>
    <x v="1"/>
    <x v="0"/>
    <s v="After"/>
    <m/>
    <s v="yes"/>
    <x v="20"/>
    <x v="62"/>
    <x v="5"/>
    <s v="Lagoonal patch reef"/>
    <s v="0.5-2"/>
    <s v="Turf algae"/>
    <s v="ATRF"/>
    <n v="20.5"/>
    <m/>
    <n v="26"/>
  </r>
  <r>
    <s v="Hardman 1999"/>
    <x v="1"/>
    <x v="0"/>
    <s v="After"/>
    <m/>
    <s v="yes"/>
    <x v="20"/>
    <x v="62"/>
    <x v="5"/>
    <s v="Lagoonal patch reef"/>
    <s v="0.5-2"/>
    <s v="Macroalgae"/>
    <s v="AMAC"/>
    <n v="5.5"/>
    <m/>
    <m/>
  </r>
  <r>
    <s v="Hardman 1999"/>
    <x v="1"/>
    <x v="0"/>
    <s v="After"/>
    <m/>
    <s v="yes"/>
    <x v="20"/>
    <x v="63"/>
    <x v="5"/>
    <s v="Fore reef"/>
    <s v="005-17"/>
    <s v="Hard Coral"/>
    <s v="HC"/>
    <n v="20.5"/>
    <n v="20.5"/>
    <m/>
  </r>
  <r>
    <s v="Hardman 1999"/>
    <x v="1"/>
    <x v="0"/>
    <s v="After"/>
    <m/>
    <s v="yes"/>
    <x v="20"/>
    <x v="63"/>
    <x v="5"/>
    <s v="Fore reef"/>
    <s v="005-17"/>
    <s v="Turf algae"/>
    <s v="ATRF"/>
    <n v="40.5"/>
    <m/>
    <n v="46"/>
  </r>
  <r>
    <s v="Hardman 1999"/>
    <x v="1"/>
    <x v="0"/>
    <s v="After"/>
    <m/>
    <s v="yes"/>
    <x v="20"/>
    <x v="63"/>
    <x v="5"/>
    <s v="Fore reef"/>
    <s v="005-17"/>
    <s v="Macroalgae"/>
    <s v="AMAC"/>
    <n v="5.5"/>
    <m/>
    <m/>
  </r>
  <r>
    <s v="Hardman 1999"/>
    <x v="1"/>
    <x v="0"/>
    <s v="After"/>
    <m/>
    <s v="yes"/>
    <x v="20"/>
    <x v="64"/>
    <x v="5"/>
    <s v="Lagoonal patch reef"/>
    <s v="0-7"/>
    <s v="Hard Coral"/>
    <s v="HC"/>
    <n v="63"/>
    <n v="63"/>
    <m/>
  </r>
  <r>
    <s v="Hardman 1999"/>
    <x v="1"/>
    <x v="0"/>
    <s v="After"/>
    <m/>
    <s v="yes"/>
    <x v="20"/>
    <x v="64"/>
    <x v="5"/>
    <s v="Lagoonal patch reef"/>
    <s v="0-7"/>
    <s v="Turf algae"/>
    <s v="ATRF"/>
    <n v="5.5"/>
    <m/>
    <n v="11"/>
  </r>
  <r>
    <s v="Hardman 1999"/>
    <x v="1"/>
    <x v="0"/>
    <s v="After"/>
    <m/>
    <s v="yes"/>
    <x v="20"/>
    <x v="64"/>
    <x v="5"/>
    <s v="Lagoonal patch reef"/>
    <s v="0-7"/>
    <s v="Macroalgae"/>
    <s v="AMAC"/>
    <n v="5.5"/>
    <m/>
    <m/>
  </r>
  <r>
    <s v="Hardman 1999"/>
    <x v="1"/>
    <x v="0"/>
    <s v="After"/>
    <m/>
    <s v="yes"/>
    <x v="20"/>
    <x v="28"/>
    <x v="20"/>
    <s v="Fore reef"/>
    <s v="005-19"/>
    <s v="Hard Coral"/>
    <s v="HC"/>
    <n v="20.5"/>
    <n v="20.5"/>
    <m/>
  </r>
  <r>
    <s v="Hardman 1999"/>
    <x v="1"/>
    <x v="0"/>
    <s v="After"/>
    <m/>
    <s v="yes"/>
    <x v="20"/>
    <x v="28"/>
    <x v="20"/>
    <s v="Fore reef"/>
    <s v="005-19"/>
    <s v="Turf algae"/>
    <s v="ATRF"/>
    <n v="40.5"/>
    <m/>
    <n v="46"/>
  </r>
  <r>
    <s v="Hardman 1999"/>
    <x v="1"/>
    <x v="0"/>
    <s v="After"/>
    <m/>
    <s v="yes"/>
    <x v="20"/>
    <x v="28"/>
    <x v="20"/>
    <s v="Fore reef"/>
    <s v="005-19"/>
    <s v="Macroalgae"/>
    <s v="AMAC"/>
    <n v="5.5"/>
    <m/>
    <m/>
  </r>
  <r>
    <s v="Hardman 1999"/>
    <x v="1"/>
    <x v="0"/>
    <s v="After"/>
    <m/>
    <s v="yes"/>
    <x v="20"/>
    <x v="28"/>
    <x v="21"/>
    <s v="Fore reef"/>
    <s v="0-10"/>
    <s v="Hard Coral"/>
    <s v="HC"/>
    <n v="40.5"/>
    <n v="40.5"/>
    <m/>
  </r>
  <r>
    <s v="Hardman 1999"/>
    <x v="1"/>
    <x v="0"/>
    <s v="After"/>
    <m/>
    <s v="yes"/>
    <x v="20"/>
    <x v="28"/>
    <x v="21"/>
    <s v="Fore reef"/>
    <s v="0-10"/>
    <s v="Turf algae"/>
    <s v="ATRF"/>
    <n v="0"/>
    <m/>
    <n v="0"/>
  </r>
  <r>
    <s v="Hardman 1999"/>
    <x v="1"/>
    <x v="0"/>
    <s v="After"/>
    <m/>
    <s v="yes"/>
    <x v="20"/>
    <x v="28"/>
    <x v="21"/>
    <s v="Fore reef"/>
    <s v="0-10"/>
    <s v="Macroalgae"/>
    <s v="AMAC"/>
    <n v="0"/>
    <m/>
    <m/>
  </r>
  <r>
    <s v="Hardman 1999"/>
    <x v="1"/>
    <x v="0"/>
    <s v="After"/>
    <m/>
    <s v="yes"/>
    <x v="20"/>
    <x v="28"/>
    <x v="22"/>
    <s v="Fore reef"/>
    <s v="0-10"/>
    <s v="Hard Coral"/>
    <s v="HC"/>
    <n v="40.5"/>
    <n v="40.5"/>
    <m/>
  </r>
  <r>
    <s v="Hardman 1999"/>
    <x v="1"/>
    <x v="0"/>
    <s v="After"/>
    <m/>
    <s v="yes"/>
    <x v="20"/>
    <x v="28"/>
    <x v="22"/>
    <s v="Fore reef"/>
    <s v="0-10"/>
    <s v="Turf algae"/>
    <s v="ATRF"/>
    <n v="5.5"/>
    <m/>
    <n v="11"/>
  </r>
  <r>
    <s v="Hardman 1999"/>
    <x v="1"/>
    <x v="0"/>
    <s v="After"/>
    <m/>
    <s v="yes"/>
    <x v="20"/>
    <x v="28"/>
    <x v="22"/>
    <s v="Fore reef"/>
    <s v="0-10"/>
    <s v="Macroalgae"/>
    <s v="AMAC"/>
    <n v="5.5"/>
    <m/>
    <m/>
  </r>
  <r>
    <s v="Hardman 1999"/>
    <x v="1"/>
    <x v="0"/>
    <s v="After"/>
    <m/>
    <s v="yes"/>
    <x v="20"/>
    <x v="28"/>
    <x v="23"/>
    <s v="Lagoonal patch reef"/>
    <s v="0-3"/>
    <s v="Hard Coral"/>
    <s v="HC"/>
    <n v="63"/>
    <n v="63"/>
    <m/>
  </r>
  <r>
    <s v="Hardman 1999"/>
    <x v="1"/>
    <x v="0"/>
    <s v="After"/>
    <m/>
    <s v="yes"/>
    <x v="20"/>
    <x v="28"/>
    <x v="23"/>
    <s v="Lagoonal patch reef"/>
    <s v="0-3"/>
    <s v="Turf algae"/>
    <s v="ATRF"/>
    <n v="40.5"/>
    <m/>
    <n v="46"/>
  </r>
  <r>
    <s v="Hardman 1999"/>
    <x v="1"/>
    <x v="0"/>
    <s v="After"/>
    <m/>
    <s v="yes"/>
    <x v="20"/>
    <x v="28"/>
    <x v="23"/>
    <s v="Lagoonal patch reef"/>
    <s v="0-3"/>
    <s v="Macroalgae"/>
    <s v="AMAC"/>
    <n v="5.5"/>
    <m/>
    <m/>
  </r>
  <r>
    <s v="Hardman 1999"/>
    <x v="1"/>
    <x v="0"/>
    <s v="After"/>
    <m/>
    <s v="yes"/>
    <x v="20"/>
    <x v="28"/>
    <x v="24"/>
    <s v="Lagoonal patch reef"/>
    <s v="0-3"/>
    <s v="Hard Coral"/>
    <s v="HC"/>
    <n v="88"/>
    <n v="88"/>
    <m/>
  </r>
  <r>
    <s v="Hardman 1999"/>
    <x v="1"/>
    <x v="0"/>
    <s v="After"/>
    <m/>
    <s v="yes"/>
    <x v="20"/>
    <x v="28"/>
    <x v="24"/>
    <s v="Lagoonal patch reef"/>
    <s v="0-3"/>
    <s v="Turf algae"/>
    <s v="ATRF"/>
    <n v="5.5"/>
    <m/>
    <n v="11"/>
  </r>
  <r>
    <s v="Hardman 1999"/>
    <x v="1"/>
    <x v="0"/>
    <s v="After"/>
    <m/>
    <s v="yes"/>
    <x v="20"/>
    <x v="28"/>
    <x v="24"/>
    <s v="Lagoonal patch reef"/>
    <s v="0-3"/>
    <s v="Macroalgae"/>
    <s v="AMAC"/>
    <n v="5.5"/>
    <m/>
    <m/>
  </r>
  <r>
    <s v="Hardman 1999"/>
    <x v="1"/>
    <x v="0"/>
    <s v="After"/>
    <m/>
    <s v="yes"/>
    <x v="20"/>
    <x v="28"/>
    <x v="25"/>
    <s v="Lagoonal patch reef"/>
    <s v="0-3"/>
    <s v="Hard Coral"/>
    <s v="HC"/>
    <n v="63"/>
    <n v="63"/>
    <m/>
  </r>
  <r>
    <s v="Hardman 1999"/>
    <x v="1"/>
    <x v="0"/>
    <s v="After"/>
    <m/>
    <s v="yes"/>
    <x v="20"/>
    <x v="28"/>
    <x v="25"/>
    <s v="Lagoonal patch reef"/>
    <s v="0-3"/>
    <s v="Turf algae"/>
    <s v="ATRF"/>
    <n v="20.5"/>
    <m/>
    <n v="26"/>
  </r>
  <r>
    <s v="Hardman 1999"/>
    <x v="1"/>
    <x v="0"/>
    <s v="After"/>
    <m/>
    <s v="yes"/>
    <x v="20"/>
    <x v="28"/>
    <x v="25"/>
    <s v="Lagoonal patch reef"/>
    <s v="0-3"/>
    <s v="Macroalgae"/>
    <s v="AMAC"/>
    <n v="5.5"/>
    <m/>
    <m/>
  </r>
  <r>
    <s v="Hardman 1999"/>
    <x v="1"/>
    <x v="0"/>
    <s v="After"/>
    <m/>
    <s v="yes"/>
    <x v="20"/>
    <x v="65"/>
    <x v="26"/>
    <s v="Lagoonal patch reef"/>
    <s v="0-4"/>
    <s v="Hard Coral"/>
    <s v="HC"/>
    <n v="40.5"/>
    <n v="40.5"/>
    <m/>
  </r>
  <r>
    <s v="Hardman 1999"/>
    <x v="1"/>
    <x v="0"/>
    <s v="After"/>
    <m/>
    <s v="yes"/>
    <x v="20"/>
    <x v="65"/>
    <x v="26"/>
    <s v="Lagoonal patch reef"/>
    <s v="0-4"/>
    <s v="Turf algae"/>
    <s v="ATRF"/>
    <n v="40.5"/>
    <m/>
    <n v="46"/>
  </r>
  <r>
    <s v="Hardman 1999"/>
    <x v="1"/>
    <x v="0"/>
    <s v="After"/>
    <m/>
    <s v="yes"/>
    <x v="20"/>
    <x v="65"/>
    <x v="26"/>
    <s v="Lagoonal patch reef"/>
    <s v="0-4"/>
    <s v="Macroalgae"/>
    <s v="AMAC"/>
    <n v="5.5"/>
    <m/>
    <m/>
  </r>
  <r>
    <s v="Hardman 1999"/>
    <x v="1"/>
    <x v="0"/>
    <s v="After"/>
    <m/>
    <s v="yes"/>
    <x v="20"/>
    <x v="65"/>
    <x v="27"/>
    <s v="Lagoonal patch reef"/>
    <s v="0-2"/>
    <s v="Hard Coral"/>
    <s v="HC"/>
    <n v="63"/>
    <n v="63"/>
    <m/>
  </r>
  <r>
    <s v="Hardman 1999"/>
    <x v="1"/>
    <x v="0"/>
    <s v="After"/>
    <m/>
    <s v="yes"/>
    <x v="20"/>
    <x v="65"/>
    <x v="27"/>
    <s v="Lagoonal patch reef"/>
    <s v="0-2"/>
    <s v="Turf algae"/>
    <s v="ATRF"/>
    <n v="20.5"/>
    <m/>
    <n v="26"/>
  </r>
  <r>
    <s v="Hardman 1999"/>
    <x v="1"/>
    <x v="0"/>
    <s v="After"/>
    <m/>
    <s v="yes"/>
    <x v="20"/>
    <x v="65"/>
    <x v="27"/>
    <s v="Lagoonal patch reef"/>
    <s v="0-2"/>
    <s v="Macroalgae"/>
    <s v="AMAC"/>
    <n v="5.5"/>
    <m/>
    <m/>
  </r>
  <r>
    <s v="Hardman 1999"/>
    <x v="1"/>
    <x v="0"/>
    <s v="After"/>
    <m/>
    <s v="yes"/>
    <x v="20"/>
    <x v="65"/>
    <x v="28"/>
    <s v="Lagoonal patch reef"/>
    <s v="0-2"/>
    <s v="Hard Coral"/>
    <s v="HC"/>
    <n v="20.5"/>
    <n v="20.5"/>
    <m/>
  </r>
  <r>
    <s v="Hardman 1999"/>
    <x v="1"/>
    <x v="0"/>
    <s v="After"/>
    <m/>
    <s v="yes"/>
    <x v="20"/>
    <x v="65"/>
    <x v="28"/>
    <s v="Lagoonal patch reef"/>
    <s v="0-2"/>
    <s v="Turf algae"/>
    <s v="ATRF"/>
    <n v="40.5"/>
    <m/>
    <n v="61"/>
  </r>
  <r>
    <s v="Hardman 1999"/>
    <x v="1"/>
    <x v="0"/>
    <s v="After"/>
    <m/>
    <s v="yes"/>
    <x v="20"/>
    <x v="65"/>
    <x v="28"/>
    <s v="Lagoonal patch reef"/>
    <s v="0-2"/>
    <s v="Macroalgae"/>
    <s v="AMAC"/>
    <n v="20.5"/>
    <m/>
    <m/>
  </r>
  <r>
    <s v="Hardman 1999"/>
    <x v="1"/>
    <x v="0"/>
    <s v="After"/>
    <m/>
    <s v="yes"/>
    <x v="20"/>
    <x v="65"/>
    <x v="29"/>
    <s v="Lagoonal patch reef"/>
    <s v="0-2"/>
    <s v="Hard Coral"/>
    <s v="HC"/>
    <n v="63"/>
    <n v="63"/>
    <m/>
  </r>
  <r>
    <s v="Hardman 1999"/>
    <x v="1"/>
    <x v="0"/>
    <s v="After"/>
    <m/>
    <s v="yes"/>
    <x v="20"/>
    <x v="65"/>
    <x v="29"/>
    <s v="Lagoonal patch reef"/>
    <s v="0-2"/>
    <s v="Turf algae"/>
    <s v="ATRF"/>
    <n v="0"/>
    <m/>
    <n v="20.5"/>
  </r>
  <r>
    <s v="Hardman 1999"/>
    <x v="1"/>
    <x v="0"/>
    <s v="After"/>
    <m/>
    <s v="yes"/>
    <x v="20"/>
    <x v="65"/>
    <x v="29"/>
    <s v="Lagoonal patch reef"/>
    <s v="0-2"/>
    <s v="Macroalgae"/>
    <s v="AMAC"/>
    <n v="20.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"/>
    <x v="0"/>
    <s v="East - Foulpointe"/>
    <n v="1999"/>
    <s v="(blank)"/>
    <s v="Foulpointe"/>
    <n v="47.1"/>
    <n v="0.5"/>
    <n v="1.0615711252653927E-2"/>
    <n v="1.0504201680672268E-2"/>
  </r>
  <r>
    <n v="1"/>
    <x v="1"/>
    <s v="(blank)"/>
    <n v="1997"/>
    <s v="(blank)"/>
    <s v="Bawe"/>
    <n v="53.11"/>
    <n v="2.94"/>
    <n v="5.5356806627753719E-2"/>
    <n v="5.2453166815343448E-2"/>
  </r>
  <r>
    <n v="2"/>
    <x v="0"/>
    <s v="North West - Nosy Be"/>
    <n v="1999"/>
    <s v="(blank)"/>
    <s v="Dzamandjar"/>
    <n v="50.9"/>
    <n v="4"/>
    <n v="7.8585461689587424E-2"/>
    <n v="7.2859744990892539E-2"/>
  </r>
  <r>
    <n v="1"/>
    <x v="1"/>
    <s v="(blank)"/>
    <n v="1997"/>
    <s v="(blank)"/>
    <s v="Chapwani"/>
    <n v="44.31"/>
    <n v="3.88"/>
    <n v="8.7564883773414579E-2"/>
    <n v="8.0514629591201481E-2"/>
  </r>
  <r>
    <n v="1"/>
    <x v="1"/>
    <s v="(blank)"/>
    <n v="1997"/>
    <s v="(blank)"/>
    <s v="Chumbe"/>
    <n v="51.85"/>
    <n v="8.8699999999999992"/>
    <n v="0.17107039537126323"/>
    <n v="0.14608036890645584"/>
  </r>
  <r>
    <n v="1"/>
    <x v="1"/>
    <s v="(blank)"/>
    <n v="1997"/>
    <s v="(blank)"/>
    <s v="Mnemba"/>
    <n v="13.95"/>
    <n v="2.44"/>
    <n v="0.17491039426523297"/>
    <n v="0.14887126296522268"/>
  </r>
  <r>
    <n v="3"/>
    <x v="2"/>
    <s v="Nord Ouest"/>
    <n v="1999"/>
    <s v="Outer Slope"/>
    <s v="Trou aux Biches"/>
    <n v="43"/>
    <n v="8"/>
    <n v="0.18604651162790697"/>
    <n v="0.15686274509803921"/>
  </r>
  <r>
    <n v="1"/>
    <x v="3"/>
    <s v="(blank)"/>
    <n v="1988"/>
    <s v="(blank)"/>
    <s v="Malindi"/>
    <n v="41.7"/>
    <n v="7.8"/>
    <n v="0.18705035971223019"/>
    <n v="0.15757575757575756"/>
  </r>
  <r>
    <n v="1"/>
    <x v="1"/>
    <s v="(blank)"/>
    <n v="1997"/>
    <s v="(blank)"/>
    <s v="Changuu"/>
    <n v="50.11"/>
    <n v="10.97"/>
    <n v="0.21891837956495711"/>
    <n v="0.17960052390307796"/>
  </r>
  <r>
    <n v="3"/>
    <x v="4"/>
    <s v="(blank)"/>
    <n v="1999"/>
    <s v="Trois Chameaux-I"/>
    <s v="La Saline"/>
    <n v="32.5"/>
    <n v="7.5"/>
    <n v="0.23076923076923078"/>
    <n v="0.1875"/>
  </r>
  <r>
    <n v="2"/>
    <x v="5"/>
    <s v="Southern Sychelles"/>
    <n v="1998"/>
    <s v="(blank)"/>
    <s v="North St Pierre"/>
    <n v="64"/>
    <n v="9"/>
    <n v="0.140625"/>
    <n v="0.12328767123287671"/>
  </r>
  <r>
    <n v="3"/>
    <x v="4"/>
    <s v="(blank)"/>
    <n v="1999"/>
    <s v="Corne Nord"/>
    <s v="Saint Leu"/>
    <n v="53.5"/>
    <n v="16.5"/>
    <n v="0.30841121495327101"/>
    <n v="0.23571428571428571"/>
  </r>
  <r>
    <n v="3"/>
    <x v="6"/>
    <s v="St Leu"/>
    <n v="1999"/>
    <s v="Reef Flat"/>
    <s v="Corne Nord / Varangue"/>
    <n v="54.1"/>
    <n v="21.3"/>
    <n v="0.39371534195933455"/>
    <n v="0.28249336870026526"/>
  </r>
  <r>
    <n v="2"/>
    <x v="5"/>
    <s v="Southern Sychelles"/>
    <n v="1998"/>
    <s v="(blank)"/>
    <s v="West alphonse"/>
    <n v="48"/>
    <n v="20"/>
    <n v="0.41666666666666669"/>
    <n v="0.29411764705882354"/>
  </r>
  <r>
    <n v="1"/>
    <x v="3"/>
    <s v="(blank)"/>
    <n v="1994"/>
    <s v="(blank)"/>
    <s v="Watamu Deep fore reef"/>
    <n v="32"/>
    <n v="13.5"/>
    <n v="0.421875"/>
    <n v="0.2967032967032967"/>
  </r>
  <r>
    <n v="3"/>
    <x v="4"/>
    <s v="St Gilles"/>
    <n v="1999"/>
    <s v="Reef Flat"/>
    <s v="Toboggan / Planch"/>
    <n v="35.5"/>
    <n v="15.3"/>
    <n v="0.43098591549295778"/>
    <n v="0.30118110236220474"/>
  </r>
  <r>
    <n v="2"/>
    <x v="5"/>
    <s v="Granitic Seychelles"/>
    <n v="1997"/>
    <s v="(blank)"/>
    <s v="West cousine"/>
    <n v="33"/>
    <n v="15"/>
    <n v="0.45454545454545453"/>
    <n v="0.3125"/>
  </r>
  <r>
    <n v="3"/>
    <x v="4"/>
    <s v="(blank)"/>
    <n v="1999"/>
    <s v="Planch’Alizé"/>
    <s v="La Saline"/>
    <n v="53.2"/>
    <n v="16.8"/>
    <n v="0.31578947368421051"/>
    <n v="0.24000000000000002"/>
  </r>
  <r>
    <n v="3"/>
    <x v="4"/>
    <s v="St Leu"/>
    <n v="1999"/>
    <s v="Outer Slope"/>
    <s v="Corne Nord / Varangue"/>
    <n v="59.8"/>
    <n v="31"/>
    <n v="0.51839464882943143"/>
    <n v="0.34140969162995594"/>
  </r>
  <r>
    <n v="1"/>
    <x v="3"/>
    <s v="(blank)"/>
    <n v="1993"/>
    <s v="(blank)"/>
    <s v="MVG - 5-6  m. below datum"/>
    <n v="27.3"/>
    <n v="14.3"/>
    <n v="0.52380952380952384"/>
    <n v="0.34375"/>
  </r>
  <r>
    <n v="1"/>
    <x v="3"/>
    <s v="(blank)"/>
    <n v="1993"/>
    <s v="(blank)"/>
    <s v="MPR4-6"/>
    <n v="49.5"/>
    <n v="26"/>
    <n v="0.5252525252525253"/>
    <n v="0.3443708609271523"/>
  </r>
  <r>
    <n v="3"/>
    <x v="2"/>
    <s v="Nord Ouest"/>
    <n v="1999"/>
    <s v="Reef Flat"/>
    <s v="Trou aux Biches"/>
    <n v="41"/>
    <n v="26"/>
    <n v="0.63414634146341464"/>
    <n v="0.38805970149253732"/>
  </r>
  <r>
    <n v="1"/>
    <x v="3"/>
    <s v="(blank)"/>
    <n v="1993"/>
    <s v="(blank)"/>
    <s v="MNR"/>
    <n v="37.5"/>
    <n v="24.1"/>
    <n v="0.64266666666666672"/>
    <n v="0.39123376623376627"/>
  </r>
  <r>
    <n v="1"/>
    <x v="3"/>
    <s v="(blank)"/>
    <n v="1994"/>
    <s v="(blank)"/>
    <s v="Watamuu Turtle REef, 7 m."/>
    <n v="50"/>
    <n v="32.4"/>
    <n v="0.64800000000000002"/>
    <n v="0.39320388349514557"/>
  </r>
  <r>
    <n v="3"/>
    <x v="4"/>
    <s v="(blank)"/>
    <n v="1999"/>
    <s v="Trois Chameaux-O"/>
    <s v="La Saline"/>
    <n v="50.4"/>
    <n v="39.6"/>
    <n v="0.78571428571428581"/>
    <n v="0.44"/>
  </r>
  <r>
    <n v="1"/>
    <x v="3"/>
    <s v="(blank)"/>
    <n v="1993"/>
    <s v="(blank)"/>
    <s v="MFR-4m."/>
    <n v="40.6"/>
    <n v="34.4"/>
    <n v="0.84729064039408863"/>
    <n v="0.45866666666666667"/>
  </r>
  <r>
    <n v="1"/>
    <x v="3"/>
    <s v="Malindi/Watamu/Mombasa/Kisite MNPs"/>
    <n v="1998"/>
    <s v="(blank)"/>
    <s v="Unspecified 9 sites (protected)"/>
    <n v="39.6"/>
    <n v="35.5"/>
    <n v="0.89646464646464641"/>
    <n v="0.47270306258322242"/>
  </r>
  <r>
    <n v="1"/>
    <x v="3"/>
    <s v="(blank)"/>
    <n v="1993"/>
    <s v="(blank)"/>
    <s v="MHR - Malindi harbour fringing reef"/>
    <n v="28.7"/>
    <n v="25.8"/>
    <n v="0.89895470383275267"/>
    <n v="0.47339449541284406"/>
  </r>
  <r>
    <n v="1"/>
    <x v="1"/>
    <s v="(blank)"/>
    <n v="1997"/>
    <s v="(blank)"/>
    <s v="Kwale"/>
    <n v="29.73"/>
    <n v="28.06"/>
    <n v="0.94382778338378737"/>
    <n v="0.48555113341408546"/>
  </r>
  <r>
    <n v="3"/>
    <x v="2"/>
    <s v="Sud Est"/>
    <n v="1999"/>
    <s v="Back Reef Flat"/>
    <s v="Bambou Virieux"/>
    <n v="30"/>
    <n v="30"/>
    <n v="1"/>
    <n v="0.5"/>
  </r>
  <r>
    <n v="3"/>
    <x v="2"/>
    <s v="Sud Est"/>
    <n v="1999"/>
    <s v="Shore Reef Flat"/>
    <s v="Bambou Virieux"/>
    <n v="48"/>
    <n v="17"/>
    <n v="0.35416666666666669"/>
    <n v="0.26153846153846155"/>
  </r>
  <r>
    <n v="1"/>
    <x v="3"/>
    <s v="(blank)"/>
    <n v="1993"/>
    <s v="(blank)"/>
    <s v="MHR-6"/>
    <n v="40"/>
    <n v="40.9"/>
    <n v="1.0225"/>
    <n v="0.50556242274412855"/>
  </r>
  <r>
    <n v="1"/>
    <x v="3"/>
    <s v="(blank)"/>
    <n v="1993"/>
    <s v="(blank)"/>
    <s v="MPR"/>
    <n v="32.1"/>
    <n v="33.299999999999997"/>
    <n v="1.0373831775700932"/>
    <n v="0.50917431192660545"/>
  </r>
  <r>
    <n v="1"/>
    <x v="3"/>
    <s v="(blank)"/>
    <n v="1988"/>
    <s v="(blank)"/>
    <s v="Watamu"/>
    <n v="31.1"/>
    <n v="32.9"/>
    <n v="1.057877813504823"/>
    <n v="0.51406249999999998"/>
  </r>
  <r>
    <n v="1"/>
    <x v="3"/>
    <s v="Kilifi"/>
    <n v="1994"/>
    <s v="(blank)"/>
    <s v="Malindi Marine National Park"/>
    <n v="35.700000000000003"/>
    <n v="39.799999999999997"/>
    <n v="1.11484593837535"/>
    <n v="0.52715231788079464"/>
  </r>
  <r>
    <n v="3"/>
    <x v="4"/>
    <s v="St Gilles"/>
    <n v="1999"/>
    <s v="Outer Slope"/>
    <s v="Toboggan / Planch"/>
    <n v="40.6"/>
    <n v="45.5"/>
    <n v="1.1206896551724137"/>
    <n v="0.52845528455284552"/>
  </r>
  <r>
    <n v="1"/>
    <x v="3"/>
    <s v="(blank)"/>
    <n v="1993"/>
    <s v="(blank)"/>
    <s v="MNR, 4-6 meters depth"/>
    <n v="29.1"/>
    <n v="39.1"/>
    <n v="1.3436426116838487"/>
    <n v="0.57331378299120239"/>
  </r>
  <r>
    <n v="1"/>
    <x v="3"/>
    <s v="(blank)"/>
    <n v="1994"/>
    <s v="(blank)"/>
    <s v="WInt - 7 m. depth. Off plots 15/16"/>
    <n v="19.2"/>
    <n v="28.8"/>
    <n v="1.5"/>
    <n v="0.6"/>
  </r>
  <r>
    <n v="1"/>
    <x v="3"/>
    <s v="(blank)"/>
    <n v="1993"/>
    <s v="(blank)"/>
    <s v="MNR - 11 -12.5 m."/>
    <n v="32"/>
    <n v="48.8"/>
    <n v="1.5249999999999999"/>
    <n v="0.60396039603960394"/>
  </r>
  <r>
    <n v="1"/>
    <x v="3"/>
    <s v="Kwale"/>
    <n v="1993"/>
    <s v="(blank)"/>
    <s v="Kisite Marine National Park - Experiment "/>
    <n v="25.33"/>
    <n v="44.97"/>
    <n v="1.7753651796288985"/>
    <n v="0.63968705547652915"/>
  </r>
  <r>
    <m/>
    <x v="6"/>
    <s v="Kwale"/>
    <n v="1994"/>
    <s v="(blank)"/>
    <s v="Kisite Marine National Park - Experiment "/>
    <n v="24.2"/>
    <n v="44.81"/>
    <n v="1.8516528925619835"/>
    <n v="0.64932618461092595"/>
  </r>
  <r>
    <n v="1"/>
    <x v="3"/>
    <s v="Kwale"/>
    <n v="1993"/>
    <s v="(blank)"/>
    <s v="Kisite Marine National Park - Control "/>
    <n v="22.85"/>
    <n v="48.01"/>
    <n v="2.1010940919037195"/>
    <n v="0.67753316398532315"/>
  </r>
  <r>
    <m/>
    <x v="6"/>
    <s v="Kwale"/>
    <n v="1994"/>
    <s v="(blank)"/>
    <s v="Kisite Marine National Park - Control "/>
    <n v="20.75"/>
    <n v="55.71"/>
    <n v="2.6848192771084336"/>
    <n v="0.72861626994506923"/>
  </r>
  <r>
    <n v="1"/>
    <x v="1"/>
    <m/>
    <n v="1995"/>
    <s v="Dar es Salaam"/>
    <s v="Bongoyo"/>
    <n v="32.4"/>
    <n v="48"/>
    <n v="1.4814814814814816"/>
    <n v="0.59701492537313428"/>
  </r>
  <r>
    <n v="1"/>
    <x v="1"/>
    <m/>
    <n v="1995"/>
    <s v="Dar es Salaam"/>
    <s v="Mbudya"/>
    <n v="52.8"/>
    <n v="28.4"/>
    <n v="0.53787878787878785"/>
    <n v="0.34975369458128081"/>
  </r>
  <r>
    <n v="1"/>
    <x v="1"/>
    <m/>
    <n v="1996"/>
    <s v="Tanga"/>
    <s v="Tanga"/>
    <n v="33.799999999999997"/>
    <n v="52.9"/>
    <n v="1.5650887573964498"/>
    <n v="0.61014994232987319"/>
  </r>
  <r>
    <n v="2"/>
    <x v="1"/>
    <m/>
    <n v="1991"/>
    <s v="Mafia Reef"/>
    <s v="Tutia"/>
    <n v="80"/>
    <n v="1"/>
    <n v="1.2500000000000001E-2"/>
    <n v="1.2345679012345678E-2"/>
  </r>
  <r>
    <n v="3"/>
    <x v="2"/>
    <s v="Mauritius Island"/>
    <n v="1999"/>
    <m/>
    <s v="Balaclava"/>
    <n v="63"/>
    <n v="26"/>
    <n v="0.41269841269841268"/>
    <n v="0.29213483146067415"/>
  </r>
  <r>
    <n v="3"/>
    <x v="2"/>
    <s v="Mauritius Island"/>
    <n v="1999"/>
    <m/>
    <s v="Balaclava Maritime Hotel"/>
    <n v="88"/>
    <n v="26"/>
    <n v="0.29545454545454547"/>
    <n v="0.22807017543859648"/>
  </r>
  <r>
    <n v="3"/>
    <x v="2"/>
    <s v="Mauritius Island"/>
    <n v="1999"/>
    <m/>
    <s v="Barrier Reef"/>
    <n v="40.5"/>
    <n v="46"/>
    <n v="1.1358024691358024"/>
    <n v="0.53179190751445082"/>
  </r>
  <r>
    <n v="3"/>
    <x v="2"/>
    <s v="Mauritius Island"/>
    <n v="1999"/>
    <m/>
    <s v="Blue Bay"/>
    <n v="88"/>
    <n v="11"/>
    <n v="0.125"/>
    <n v="0.1111111111111111"/>
  </r>
  <r>
    <n v="3"/>
    <x v="2"/>
    <s v="Mauritius Island"/>
    <n v="1999"/>
    <m/>
    <s v="Blue Bay (shallow)"/>
    <n v="63"/>
    <n v="40.5"/>
    <n v="0.6428571428571429"/>
    <n v="0.39130434782608697"/>
  </r>
  <r>
    <n v="3"/>
    <x v="2"/>
    <s v="Mauritius Island"/>
    <n v="1999"/>
    <m/>
    <s v="Calodyne Reef"/>
    <n v="20.5"/>
    <n v="68.5"/>
    <n v="3.3414634146341462"/>
    <n v="0.7696629213483146"/>
  </r>
  <r>
    <n v="3"/>
    <x v="2"/>
    <s v="Mauritius Island"/>
    <n v="1999"/>
    <m/>
    <s v="Flat Island"/>
    <n v="20.5"/>
    <n v="26"/>
    <n v="1.2682926829268293"/>
    <n v="0.55913978494623651"/>
  </r>
  <r>
    <n v="3"/>
    <x v="2"/>
    <s v="Mauritius Island"/>
    <n v="1999"/>
    <m/>
    <s v="Flat Island North"/>
    <n v="20.5"/>
    <n v="11"/>
    <n v="0.53658536585365857"/>
    <n v="0.34920634920634919"/>
  </r>
  <r>
    <n v="3"/>
    <x v="2"/>
    <s v="Mauritius Island"/>
    <n v="1999"/>
    <m/>
    <s v="Flat Island South"/>
    <n v="63"/>
    <n v="20.5"/>
    <n v="0.32539682539682541"/>
    <n v="0.24550898203592814"/>
  </r>
  <r>
    <n v="3"/>
    <x v="2"/>
    <s v="Mauritius Island"/>
    <n v="1999"/>
    <m/>
    <s v="Flic en Flac (Baie Dangereux)"/>
    <n v="40.5"/>
    <n v="41"/>
    <n v="1.0123456790123457"/>
    <n v="0.50306748466257667"/>
  </r>
  <r>
    <n v="3"/>
    <x v="2"/>
    <s v="Mauritius Island"/>
    <n v="1999"/>
    <m/>
    <s v="Flic en Flac (middle)"/>
    <n v="20.5"/>
    <n v="61"/>
    <n v="2.975609756097561"/>
    <n v="0.74846625766871167"/>
  </r>
  <r>
    <n v="3"/>
    <x v="2"/>
    <s v="Mauritius Island"/>
    <n v="1999"/>
    <m/>
    <s v="Flic en Flac (south)"/>
    <n v="20.5"/>
    <n v="61"/>
    <n v="2.975609756097561"/>
    <n v="0.74846625766871167"/>
  </r>
  <r>
    <n v="3"/>
    <x v="2"/>
    <s v="Mauritius Island"/>
    <n v="1999"/>
    <m/>
    <s v="Grande Baie Aquarium"/>
    <n v="20.5"/>
    <n v="11"/>
    <n v="0.53658536585365857"/>
    <n v="0.34920634920634919"/>
  </r>
  <r>
    <n v="3"/>
    <x v="2"/>
    <s v="Mauritius Island"/>
    <n v="1999"/>
    <m/>
    <s v="Hibiscus Hotel"/>
    <n v="40.5"/>
    <n v="41"/>
    <n v="1.0123456790123457"/>
    <n v="0.50306748466257667"/>
  </r>
  <r>
    <n v="3"/>
    <x v="2"/>
    <s v="Mauritius Island"/>
    <n v="1999"/>
    <m/>
    <s v="Ile aux Aigrettes"/>
    <n v="63"/>
    <n v="26"/>
    <n v="0.41269841269841268"/>
    <n v="0.29213483146067415"/>
  </r>
  <r>
    <n v="3"/>
    <x v="2"/>
    <s v="Mauritius Island"/>
    <n v="1999"/>
    <m/>
    <s v="Le Morne (Cannion)"/>
    <n v="40.5"/>
    <n v="11"/>
    <n v="0.27160493827160492"/>
    <n v="0.21359223300970873"/>
  </r>
  <r>
    <n v="3"/>
    <x v="2"/>
    <s v="Mauritius Island"/>
    <n v="1999"/>
    <m/>
    <s v="LeMorne"/>
    <n v="63"/>
    <n v="26"/>
    <n v="0.41269841269841268"/>
    <n v="0.29213483146067415"/>
  </r>
  <r>
    <n v="3"/>
    <x v="2"/>
    <s v="Mauritius Island"/>
    <n v="1999"/>
    <m/>
    <s v="Perybere"/>
    <n v="20.5"/>
    <n v="46"/>
    <n v="2.2439024390243905"/>
    <n v="0.69172932330827064"/>
  </r>
  <r>
    <n v="3"/>
    <x v="2"/>
    <s v="Mauritius Island"/>
    <n v="1999"/>
    <m/>
    <s v="Point Harmonie"/>
    <n v="63"/>
    <n v="11"/>
    <n v="0.17460317460317459"/>
    <n v="0.14864864864864866"/>
  </r>
  <r>
    <n v="3"/>
    <x v="2"/>
    <s v="Mauritius Island"/>
    <n v="1999"/>
    <s v="Ile d'Ambre_15"/>
    <s v="Ile d'Ambre"/>
    <n v="88"/>
    <n v="11"/>
    <n v="0.125"/>
    <n v="0.1111111111111111"/>
  </r>
  <r>
    <n v="3"/>
    <x v="2"/>
    <s v="Mauritius Island"/>
    <n v="1999"/>
    <s v="Ile d'Ambre_17"/>
    <s v="Ile d'Ambre"/>
    <n v="40.5"/>
    <n v="46"/>
    <n v="1.1358024691358024"/>
    <n v="0.53179190751445082"/>
  </r>
  <r>
    <n v="3"/>
    <x v="2"/>
    <s v="Mauritius Island"/>
    <n v="1999"/>
    <s v="Ile d'Ambre_18"/>
    <s v="Ile d'Ambre"/>
    <n v="63"/>
    <n v="46"/>
    <n v="0.73015873015873012"/>
    <n v="0.42201834862385323"/>
  </r>
  <r>
    <n v="3"/>
    <x v="2"/>
    <s v="Mauritius Island"/>
    <n v="1999"/>
    <s v="Ile d'Ambre_19"/>
    <s v="Ile d'Ambre"/>
    <n v="63"/>
    <n v="46"/>
    <n v="0.73015873015873012"/>
    <n v="0.42201834862385323"/>
  </r>
  <r>
    <m/>
    <x v="6"/>
    <s v="Mauritius Island"/>
    <n v="1999"/>
    <s v="Trou aux Biches_14"/>
    <s v="Trou aux Biches"/>
    <n v="20.5"/>
    <n v="46"/>
    <n v="2.2439024390243905"/>
    <n v="0.69172932330827064"/>
  </r>
  <r>
    <m/>
    <x v="6"/>
    <s v="Mauritius Island"/>
    <n v="1999"/>
    <s v="Trou aux Biches_4"/>
    <s v="Trou aux Biches"/>
    <n v="40.5"/>
    <n v="0"/>
    <n v="0"/>
    <n v="0"/>
  </r>
  <r>
    <m/>
    <x v="6"/>
    <s v="Mauritius Island"/>
    <n v="1999"/>
    <s v="Trou aux Biches_5"/>
    <s v="Trou aux Biches"/>
    <n v="40.5"/>
    <n v="11"/>
    <n v="0.27160493827160492"/>
    <n v="0.21359223300970873"/>
  </r>
  <r>
    <m/>
    <x v="6"/>
    <s v="Mauritius Island"/>
    <n v="1999"/>
    <s v="Trou aux Biches_6"/>
    <s v="Trou aux Biches"/>
    <n v="63"/>
    <n v="46"/>
    <n v="0.73015873015873012"/>
    <n v="0.42201834862385323"/>
  </r>
  <r>
    <m/>
    <x v="6"/>
    <s v="Mauritius Island"/>
    <n v="1999"/>
    <s v="Trou aux Biches_7"/>
    <s v="Trou aux Biches"/>
    <n v="88"/>
    <n v="11"/>
    <n v="0.125"/>
    <n v="0.1111111111111111"/>
  </r>
  <r>
    <m/>
    <x v="6"/>
    <s v="Mauritius Island"/>
    <n v="1999"/>
    <s v="Trou aux Biches_8"/>
    <s v="Trou aux Biches"/>
    <n v="63"/>
    <n v="26"/>
    <n v="0.41269841269841268"/>
    <n v="0.29213483146067415"/>
  </r>
  <r>
    <n v="3"/>
    <x v="2"/>
    <s v="Mauritius Island"/>
    <n v="1999"/>
    <s v="Trou d'Eau Douce_20"/>
    <s v="Trou d'Eau Douce"/>
    <n v="40.5"/>
    <n v="46"/>
    <n v="1.1358024691358024"/>
    <n v="0.53179190751445082"/>
  </r>
  <r>
    <n v="3"/>
    <x v="2"/>
    <s v="Mauritius Island"/>
    <n v="1999"/>
    <s v="Trou d'Eau Douce_21"/>
    <s v="Trou d'Eau Douce"/>
    <n v="63"/>
    <n v="26"/>
    <n v="0.41269841269841268"/>
    <n v="0.29213483146067415"/>
  </r>
  <r>
    <n v="3"/>
    <x v="2"/>
    <s v="Mauritius Island"/>
    <n v="1999"/>
    <s v="Trou d'Eau Douce_22"/>
    <s v="Trou d'Eau Douce"/>
    <n v="20.5"/>
    <n v="61"/>
    <n v="2.975609756097561"/>
    <n v="0.74846625766871167"/>
  </r>
  <r>
    <n v="3"/>
    <x v="2"/>
    <s v="Mauritius Island"/>
    <n v="1999"/>
    <s v="Trou d'Eau Douce_23"/>
    <s v="Trou d'Eau Douce"/>
    <n v="63"/>
    <n v="20.5"/>
    <n v="0.32539682539682541"/>
    <n v="0.24550898203592814"/>
  </r>
  <r>
    <n v="2"/>
    <x v="7"/>
    <s v="Inhambane"/>
    <n v="2000"/>
    <s v="Two-mile_Reef"/>
    <s v="Bazaruto_Archipelago"/>
    <n v="85.6"/>
    <n v="3.4"/>
    <n v="3.9719626168224303E-2"/>
    <n v="3.8202247191011236E-2"/>
  </r>
  <r>
    <n v="2"/>
    <x v="7"/>
    <s v="Maputo"/>
    <n v="2000"/>
    <s v="Baixo_Danae"/>
    <s v="Inhaca_Island"/>
    <n v="31.1"/>
    <n v="55.5"/>
    <n v="1.7845659163987138"/>
    <n v="0.64087759815242495"/>
  </r>
  <r>
    <n v="2"/>
    <x v="7"/>
    <m/>
    <m/>
    <s v="Barreira_Vermelha"/>
    <s v="Inhaca_Island"/>
    <n v="61.8"/>
    <n v="33.299999999999997"/>
    <n v="0.53883495145631066"/>
    <n v="0.35015772870662459"/>
  </r>
  <r>
    <n v="2"/>
    <x v="7"/>
    <m/>
    <m/>
    <s v="Ponta_Torres"/>
    <s v="Inhaca_Island"/>
    <n v="55.1"/>
    <n v="26.8"/>
    <n v="0.48638838475499091"/>
    <n v="0.32722832722832723"/>
  </r>
  <r>
    <n v="2"/>
    <x v="7"/>
    <s v="Nampula_Province"/>
    <n v="2000"/>
    <s v="Goa_Island"/>
    <s v="Mozambique_Island"/>
    <n v="42.1"/>
    <n v="29.7"/>
    <n v="0.70546318289786214"/>
    <n v="0.41364902506963791"/>
  </r>
  <r>
    <n v="2"/>
    <x v="7"/>
    <m/>
    <m/>
    <s v="Sete_Paus_Island"/>
    <s v="Mozambique_Island"/>
    <n v="51.7"/>
    <n v="17.2"/>
    <n v="0.33268858800773693"/>
    <n v="0.24963715529753264"/>
  </r>
  <r>
    <n v="2"/>
    <x v="7"/>
    <s v="Pemba_Bay"/>
    <n v="2000"/>
    <s v="Ponta_Maunhane"/>
    <s v="Pemba"/>
    <n v="78.099999999999994"/>
    <n v="12"/>
    <n v="0.15364916773367479"/>
    <n v="0.13318534961154274"/>
  </r>
  <r>
    <n v="2"/>
    <x v="7"/>
    <m/>
    <m/>
    <s v="Anchor's_Bay"/>
    <m/>
    <n v="10.8"/>
    <n v="74.3"/>
    <n v="6.8796296296296289"/>
    <n v="0.87309048178613402"/>
  </r>
  <r>
    <n v="2"/>
    <x v="7"/>
    <m/>
    <m/>
    <s v="Mike's_Cub_Board"/>
    <m/>
    <n v="7.8"/>
    <n v="77.099999999999994"/>
    <n v="9.8846153846153832"/>
    <n v="0.90812720848056538"/>
  </r>
  <r>
    <n v="2"/>
    <x v="7"/>
    <m/>
    <m/>
    <s v="Lighthouse_Reef"/>
    <m/>
    <n v="90.6"/>
    <n v="4"/>
    <n v="4.4150110375275942E-2"/>
    <n v="4.2283298097251586E-2"/>
  </r>
  <r>
    <n v="2"/>
    <x v="7"/>
    <m/>
    <m/>
    <s v="Sencar_Channel"/>
    <m/>
    <n v="31.8"/>
    <n v="56"/>
    <n v="1.7610062893081762"/>
    <n v="0.63781321184510253"/>
  </r>
  <r>
    <n v="2"/>
    <x v="5"/>
    <s v="Southern Sychelles"/>
    <n v="1998"/>
    <s v="(blank)"/>
    <s v="South St Pierre"/>
    <n v="29"/>
    <n v="11"/>
    <n v="0.37931034482758619"/>
    <n v="0.27500000000000002"/>
  </r>
  <r>
    <n v="2"/>
    <x v="0"/>
    <s v="Outer Slope"/>
    <n v="2001"/>
    <s v="West – Belo/Mer"/>
    <s v="Belo"/>
    <n v="56.7"/>
    <n v="14.4"/>
    <n v="0.25396825396825395"/>
    <n v="0.20253164556962022"/>
  </r>
  <r>
    <m/>
    <x v="8"/>
    <s v="Outer Slope"/>
    <n v="2002"/>
    <s v="Nioumachoi - Moheli"/>
    <s v="Mea"/>
    <n v="52.6"/>
    <n v="20.7"/>
    <n v="0.39353612167300378"/>
    <n v="0.28240109140518416"/>
  </r>
  <r>
    <n v="3"/>
    <x v="4"/>
    <s v="Reef Flat"/>
    <n v="2000"/>
    <s v="Etang Sale"/>
    <s v="Bassin Pirogue"/>
    <n v="50.3"/>
    <n v="9.4"/>
    <n v="0.18687872763419486"/>
    <n v="0.15745393634840874"/>
  </r>
  <r>
    <n v="3"/>
    <x v="4"/>
    <s v="Outer Slope"/>
    <n v="2000"/>
    <s v="Etang Sale"/>
    <s v="Bassin Pirogue"/>
    <n v="57.8"/>
    <n v="31.8"/>
    <n v="0.55017301038062283"/>
    <n v="0.3549107142857143"/>
  </r>
  <r>
    <n v="3"/>
    <x v="4"/>
    <s v="Reef Flat"/>
    <n v="2000"/>
    <s v="St Pierre"/>
    <s v="Ravine Blanche"/>
    <n v="58.1"/>
    <n v="18.899999999999999"/>
    <n v="0.3253012048192771"/>
    <n v="0.24545454545454543"/>
  </r>
  <r>
    <m/>
    <x v="2"/>
    <s v="Outer Slope"/>
    <n v="2002"/>
    <s v="Riviere Banane"/>
    <s v="Rivière banane"/>
    <n v="62.9"/>
    <n v="36.5"/>
    <n v="0.58028616852146264"/>
    <n v="0.36720321931589534"/>
  </r>
  <r>
    <m/>
    <x v="3"/>
    <m/>
    <s v="1987/1988"/>
    <s v="Kwale"/>
    <s v="Mpunguti"/>
    <n v="28.7"/>
    <n v="1.2"/>
    <n v="4.1811846689895467E-2"/>
    <n v="4.0133779264214048E-2"/>
  </r>
  <r>
    <m/>
    <x v="3"/>
    <m/>
    <s v="1987/1988"/>
    <s v="Kilifi "/>
    <s v="Uyombo"/>
    <n v="28.2"/>
    <n v="2.5"/>
    <n v="8.8652482269503549E-2"/>
    <n v="8.1433224755700334E-2"/>
  </r>
  <r>
    <m/>
    <x v="3"/>
    <m/>
    <s v="1987/1988"/>
    <s v="Mombasa"/>
    <s v="Bamburi"/>
    <n v="17.3"/>
    <n v="3.3"/>
    <n v="0.19075144508670519"/>
    <n v="0.16019417475728154"/>
  </r>
  <r>
    <m/>
    <x v="3"/>
    <m/>
    <s v="1987/1988"/>
    <s v="Mombasa"/>
    <s v="Leven"/>
    <n v="47.599999999999994"/>
    <n v="3.6"/>
    <n v="7.5630252100840345E-2"/>
    <n v="7.0312500000000014E-2"/>
  </r>
  <r>
    <n v="2"/>
    <x v="0"/>
    <s v="Barrier outer slope"/>
    <n v="1999"/>
    <s v=" south-western region of Toliara"/>
    <s v="Ifaty"/>
    <n v="54.800000000000004"/>
    <n v="40.700000000000003"/>
    <n v="0.74270072992700731"/>
    <n v="0.42617801047120424"/>
  </r>
  <r>
    <n v="2"/>
    <x v="0"/>
    <s v="Inner"/>
    <n v="1999"/>
    <s v=" south-western region of Toliara"/>
    <s v="Nosy Ve"/>
    <n v="68.3"/>
    <n v="10.199999999999999"/>
    <n v="0.14934114202049781"/>
    <n v="0.12993630573248408"/>
  </r>
  <r>
    <m/>
    <x v="8"/>
    <s v="Inner"/>
    <n v="1999"/>
    <s v="Mitsamiouli"/>
    <s v=" North-West Mitsamiouli Reef"/>
    <n v="55"/>
    <n v="32"/>
    <n v="0.58181818181818179"/>
    <n v="0.36781609195402298"/>
  </r>
  <r>
    <m/>
    <x v="8"/>
    <s v="Inner"/>
    <n v="1999"/>
    <s v=" Mohéli island "/>
    <s v="Itsamia"/>
    <n v="54"/>
    <n v="29"/>
    <n v="0.53703703703703709"/>
    <n v="0.3493975903614458"/>
  </r>
  <r>
    <m/>
    <x v="6"/>
    <s v="Outer"/>
    <n v="1999"/>
    <s v="La Saline"/>
    <s v="Trois Chameaux - O"/>
    <n v="50.4"/>
    <n v="39.6"/>
    <n v="0.78571428571428581"/>
    <n v="0.44"/>
  </r>
  <r>
    <m/>
    <x v="6"/>
    <s v="Inner"/>
    <n v="1999"/>
    <s v="La Saline"/>
    <s v="Trois Chameaux - I"/>
    <n v="32.5"/>
    <n v="7.5"/>
    <n v="0.23076923076923078"/>
    <n v="0.1875"/>
  </r>
  <r>
    <m/>
    <x v="9"/>
    <s v="Inner"/>
    <n v="1999"/>
    <s v="Surprise"/>
    <s v="Reef Flat"/>
    <n v="94.6"/>
    <n v="2.5"/>
    <n v="2.6427061310782242E-2"/>
    <n v="2.5746652935118436E-2"/>
  </r>
  <r>
    <m/>
    <x v="9"/>
    <s v="Outer"/>
    <n v="1999"/>
    <s v="Surprise"/>
    <s v="Deeper Reefs"/>
    <n v="97.2"/>
    <n v="2.2999999999999998"/>
    <n v="2.3662551440329214E-2"/>
    <n v="2.3115577889447233E-2"/>
  </r>
  <r>
    <m/>
    <x v="9"/>
    <s v="Inner"/>
    <n v="1999"/>
    <s v="Geyser bank"/>
    <s v="Inner"/>
    <n v="59.3"/>
    <n v="22.3"/>
    <n v="0.37605396290050591"/>
    <n v="0.27328431372549022"/>
  </r>
  <r>
    <m/>
    <x v="9"/>
    <s v="Outer"/>
    <n v="1999"/>
    <s v="Geyser bank"/>
    <s v="Outer"/>
    <n v="72.400000000000006"/>
    <n v="6.5"/>
    <n v="8.9779005524861871E-2"/>
    <n v="8.2382762991127997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x v="0"/>
    <s v="Madagascar"/>
    <s v="East - Foulpointe"/>
    <n v="1999"/>
    <s v="(blank)"/>
    <s v="Foulpointe"/>
    <n v="47.1"/>
    <n v="0.5"/>
    <n v="1.0615711252653927E-2"/>
    <n v="1.0504201680672268E-2"/>
  </r>
  <r>
    <x v="1"/>
    <x v="1"/>
    <s v="Tanzania"/>
    <s v="(blank)"/>
    <n v="1997"/>
    <s v="(blank)"/>
    <s v="Bawe"/>
    <n v="53.11"/>
    <n v="2.94"/>
    <n v="5.5356806627753719E-2"/>
    <n v="5.2453166815343448E-2"/>
  </r>
  <r>
    <x v="2"/>
    <x v="0"/>
    <s v="Madagascar"/>
    <s v="North West - Nosy Be"/>
    <n v="1999"/>
    <s v="(blank)"/>
    <s v="Dzamandjar"/>
    <n v="50.9"/>
    <n v="4"/>
    <n v="7.8585461689587424E-2"/>
    <n v="7.2859744990892539E-2"/>
  </r>
  <r>
    <x v="1"/>
    <x v="1"/>
    <s v="Tanzania"/>
    <s v="(blank)"/>
    <n v="1997"/>
    <s v="(blank)"/>
    <s v="Chapwani"/>
    <n v="44.31"/>
    <n v="3.88"/>
    <n v="8.7564883773414579E-2"/>
    <n v="8.0514629591201481E-2"/>
  </r>
  <r>
    <x v="1"/>
    <x v="1"/>
    <s v="Tanzania"/>
    <s v="(blank)"/>
    <n v="1997"/>
    <s v="(blank)"/>
    <s v="Chumbe"/>
    <n v="51.85"/>
    <n v="8.8699999999999992"/>
    <n v="0.17107039537126323"/>
    <n v="0.14608036890645584"/>
  </r>
  <r>
    <x v="1"/>
    <x v="1"/>
    <s v="Tanzania"/>
    <s v="(blank)"/>
    <n v="1997"/>
    <s v="(blank)"/>
    <s v="Mnemba"/>
    <n v="13.95"/>
    <n v="2.44"/>
    <n v="0.17491039426523297"/>
    <n v="0.14887126296522268"/>
  </r>
  <r>
    <x v="3"/>
    <x v="2"/>
    <s v="Mauritius"/>
    <s v="Nord Ouest"/>
    <n v="1999"/>
    <s v="Outer Slope"/>
    <s v="Trou aux Biches"/>
    <n v="43"/>
    <n v="8"/>
    <n v="0.18604651162790697"/>
    <n v="0.15686274509803921"/>
  </r>
  <r>
    <x v="1"/>
    <x v="1"/>
    <s v="Kenya"/>
    <s v="(blank)"/>
    <n v="1988"/>
    <s v="(blank)"/>
    <s v="Malindi"/>
    <n v="41.7"/>
    <n v="7.8"/>
    <n v="0.18705035971223019"/>
    <n v="0.15757575757575756"/>
  </r>
  <r>
    <x v="1"/>
    <x v="1"/>
    <s v="Tanzania"/>
    <s v="(blank)"/>
    <n v="1997"/>
    <s v="(blank)"/>
    <s v="Changuu"/>
    <n v="50.11"/>
    <n v="10.97"/>
    <n v="0.21891837956495711"/>
    <n v="0.17960052390307796"/>
  </r>
  <r>
    <x v="3"/>
    <x v="2"/>
    <s v="Reunion"/>
    <s v="(blank)"/>
    <n v="1999"/>
    <s v="Trois Chameaux-I"/>
    <s v="La Saline"/>
    <n v="32.5"/>
    <n v="7.5"/>
    <n v="0.23076923076923078"/>
    <n v="0.1875"/>
  </r>
  <r>
    <x v="4"/>
    <x v="0"/>
    <s v="Seychelles"/>
    <s v="Southern Sychelles"/>
    <n v="1998"/>
    <s v="(blank)"/>
    <s v="North St Pierre"/>
    <n v="64"/>
    <n v="9"/>
    <n v="0.140625"/>
    <n v="0.12328767123287671"/>
  </r>
  <r>
    <x v="3"/>
    <x v="2"/>
    <s v="Reunion"/>
    <s v="(blank)"/>
    <n v="1999"/>
    <s v="Corne Nord"/>
    <s v="Saint Leu"/>
    <n v="53.5"/>
    <n v="16.5"/>
    <n v="0.30841121495327101"/>
    <n v="0.23571428571428571"/>
  </r>
  <r>
    <x v="5"/>
    <x v="2"/>
    <m/>
    <s v="St Leu"/>
    <n v="1999"/>
    <s v="Reef Flat"/>
    <s v="Corne Nord / Varangue"/>
    <n v="54.1"/>
    <n v="21.3"/>
    <n v="0.39371534195933455"/>
    <n v="0.28249336870026526"/>
  </r>
  <r>
    <x v="4"/>
    <x v="0"/>
    <s v="Seychelles"/>
    <s v="Southern Sychelles"/>
    <n v="1998"/>
    <s v="(blank)"/>
    <s v="West alphonse"/>
    <n v="48"/>
    <n v="20"/>
    <n v="0.41666666666666669"/>
    <n v="0.29411764705882354"/>
  </r>
  <r>
    <x v="1"/>
    <x v="1"/>
    <s v="Kenya"/>
    <s v="(blank)"/>
    <n v="1994"/>
    <s v="(blank)"/>
    <s v="Watamu Deep fore reef"/>
    <n v="32"/>
    <n v="13.5"/>
    <n v="0.421875"/>
    <n v="0.2967032967032967"/>
  </r>
  <r>
    <x v="3"/>
    <x v="2"/>
    <s v="Reunion"/>
    <s v="St Gilles"/>
    <n v="1999"/>
    <s v="Reef Flat"/>
    <s v="Toboggan / Planch"/>
    <n v="35.5"/>
    <n v="15.3"/>
    <n v="0.43098591549295778"/>
    <n v="0.30118110236220474"/>
  </r>
  <r>
    <x v="6"/>
    <x v="0"/>
    <s v="Seychelles"/>
    <s v="Granitic Seychelles"/>
    <n v="1997"/>
    <s v="(blank)"/>
    <s v="West cousine"/>
    <n v="33"/>
    <n v="15"/>
    <n v="0.45454545454545453"/>
    <n v="0.3125"/>
  </r>
  <r>
    <x v="3"/>
    <x v="2"/>
    <s v="Reunion"/>
    <s v="(blank)"/>
    <n v="1999"/>
    <s v="Planch’Alizé"/>
    <s v="La Saline"/>
    <n v="53.2"/>
    <n v="16.8"/>
    <n v="0.31578947368421051"/>
    <n v="0.24000000000000002"/>
  </r>
  <r>
    <x v="3"/>
    <x v="2"/>
    <s v="Reunion"/>
    <s v="St Leu"/>
    <n v="1999"/>
    <s v="Outer Slope"/>
    <s v="Corne Nord / Varangue"/>
    <n v="59.8"/>
    <n v="31"/>
    <n v="0.51839464882943143"/>
    <n v="0.34140969162995594"/>
  </r>
  <r>
    <x v="1"/>
    <x v="1"/>
    <s v="Kenya"/>
    <s v="(blank)"/>
    <n v="1993"/>
    <s v="(blank)"/>
    <s v="MVG - 5-6  m. below datum"/>
    <n v="27.3"/>
    <n v="14.3"/>
    <n v="0.52380952380952384"/>
    <n v="0.34375"/>
  </r>
  <r>
    <x v="1"/>
    <x v="1"/>
    <s v="Kenya"/>
    <s v="(blank)"/>
    <n v="1993"/>
    <s v="(blank)"/>
    <s v="MPR4-6"/>
    <n v="49.5"/>
    <n v="26"/>
    <n v="0.5252525252525253"/>
    <n v="0.3443708609271523"/>
  </r>
  <r>
    <x v="3"/>
    <x v="2"/>
    <s v="Mauritius"/>
    <s v="Nord Ouest"/>
    <n v="1999"/>
    <s v="Reef Flat"/>
    <s v="Trou aux Biches"/>
    <n v="41"/>
    <n v="26"/>
    <n v="0.63414634146341464"/>
    <n v="0.38805970149253732"/>
  </r>
  <r>
    <x v="1"/>
    <x v="1"/>
    <s v="Kenya"/>
    <s v="(blank)"/>
    <n v="1993"/>
    <s v="(blank)"/>
    <s v="MNR"/>
    <n v="37.5"/>
    <n v="24.1"/>
    <n v="0.64266666666666672"/>
    <n v="0.39123376623376627"/>
  </r>
  <r>
    <x v="1"/>
    <x v="1"/>
    <s v="Kenya"/>
    <s v="(blank)"/>
    <n v="1994"/>
    <s v="(blank)"/>
    <s v="Watamuu Turtle REef, 7 m."/>
    <n v="50"/>
    <n v="32.4"/>
    <n v="0.64800000000000002"/>
    <n v="0.39320388349514557"/>
  </r>
  <r>
    <x v="3"/>
    <x v="2"/>
    <s v="Reunion"/>
    <s v="(blank)"/>
    <n v="1999"/>
    <s v="Trois Chameaux-O"/>
    <s v="La Saline"/>
    <n v="50.4"/>
    <n v="39.6"/>
    <n v="0.78571428571428581"/>
    <n v="0.44"/>
  </r>
  <r>
    <x v="1"/>
    <x v="1"/>
    <s v="Kenya"/>
    <s v="(blank)"/>
    <n v="1993"/>
    <s v="(blank)"/>
    <s v="MFR-4m."/>
    <n v="40.6"/>
    <n v="34.4"/>
    <n v="0.84729064039408863"/>
    <n v="0.45866666666666667"/>
  </r>
  <r>
    <x v="1"/>
    <x v="1"/>
    <s v="Kenya"/>
    <s v="Malindi/Watamu/Mombasa/Kisite MNPs"/>
    <n v="1998"/>
    <s v="(blank)"/>
    <s v="Unspecified 9 sites (protected)"/>
    <n v="39.6"/>
    <n v="35.5"/>
    <n v="0.89646464646464641"/>
    <n v="0.47270306258322242"/>
  </r>
  <r>
    <x v="1"/>
    <x v="1"/>
    <s v="Kenya"/>
    <s v="(blank)"/>
    <n v="1993"/>
    <s v="(blank)"/>
    <s v="MHR - Malindi harbour fringing reef"/>
    <n v="28.7"/>
    <n v="25.8"/>
    <n v="0.89895470383275267"/>
    <n v="0.47339449541284406"/>
  </r>
  <r>
    <x v="1"/>
    <x v="1"/>
    <s v="Tanzania"/>
    <s v="(blank)"/>
    <n v="1997"/>
    <s v="(blank)"/>
    <s v="Kwale"/>
    <n v="29.73"/>
    <n v="28.06"/>
    <n v="0.94382778338378737"/>
    <n v="0.48555113341408546"/>
  </r>
  <r>
    <x v="3"/>
    <x v="2"/>
    <s v="Mauritius"/>
    <s v="Sud Est"/>
    <n v="1999"/>
    <s v="Back Reef Flat"/>
    <s v="Bambou Virieux"/>
    <n v="30"/>
    <n v="30"/>
    <n v="1"/>
    <n v="0.5"/>
  </r>
  <r>
    <x v="3"/>
    <x v="2"/>
    <s v="Mauritius"/>
    <s v="Sud Est"/>
    <n v="1999"/>
    <s v="Shore Reef Flat"/>
    <s v="Bambou Virieux"/>
    <n v="48"/>
    <n v="17"/>
    <n v="0.35416666666666669"/>
    <n v="0.26153846153846155"/>
  </r>
  <r>
    <x v="1"/>
    <x v="1"/>
    <s v="Kenya"/>
    <s v="(blank)"/>
    <n v="1993"/>
    <s v="(blank)"/>
    <s v="MHR-6"/>
    <n v="40"/>
    <n v="40.9"/>
    <n v="1.0225"/>
    <n v="0.50556242274412855"/>
  </r>
  <r>
    <x v="1"/>
    <x v="1"/>
    <s v="Kenya"/>
    <s v="(blank)"/>
    <n v="1993"/>
    <s v="(blank)"/>
    <s v="MPR"/>
    <n v="32.1"/>
    <n v="33.299999999999997"/>
    <n v="1.0373831775700932"/>
    <n v="0.50917431192660545"/>
  </r>
  <r>
    <x v="1"/>
    <x v="1"/>
    <s v="Kenya"/>
    <s v="(blank)"/>
    <n v="1988"/>
    <s v="(blank)"/>
    <s v="Watamu"/>
    <n v="31.1"/>
    <n v="32.9"/>
    <n v="1.057877813504823"/>
    <n v="0.51406249999999998"/>
  </r>
  <r>
    <x v="1"/>
    <x v="1"/>
    <s v="Kenya"/>
    <s v="Kilifi"/>
    <n v="1994"/>
    <s v="(blank)"/>
    <s v="Malindi Marine National Park"/>
    <n v="35.700000000000003"/>
    <n v="39.799999999999997"/>
    <n v="1.11484593837535"/>
    <n v="0.52715231788079464"/>
  </r>
  <r>
    <x v="3"/>
    <x v="2"/>
    <s v="Reunion"/>
    <s v="St Gilles"/>
    <n v="1999"/>
    <s v="Outer Slope"/>
    <s v="Toboggan / Planch"/>
    <n v="40.6"/>
    <n v="45.5"/>
    <n v="1.1206896551724137"/>
    <n v="0.52845528455284552"/>
  </r>
  <r>
    <x v="1"/>
    <x v="1"/>
    <s v="Kenya"/>
    <s v="(blank)"/>
    <n v="1993"/>
    <s v="(blank)"/>
    <s v="MNR, 4-6 meters depth"/>
    <n v="29.1"/>
    <n v="39.1"/>
    <n v="1.3436426116838487"/>
    <n v="0.57331378299120239"/>
  </r>
  <r>
    <x v="1"/>
    <x v="1"/>
    <s v="Kenya"/>
    <s v="(blank)"/>
    <n v="1994"/>
    <s v="(blank)"/>
    <s v="WInt - 7 m. depth. Off plots 15/16"/>
    <n v="19.2"/>
    <n v="28.8"/>
    <n v="1.5"/>
    <n v="0.6"/>
  </r>
  <r>
    <x v="1"/>
    <x v="1"/>
    <s v="Kenya"/>
    <s v="(blank)"/>
    <n v="1993"/>
    <s v="(blank)"/>
    <s v="MNR - 11 -12.5 m."/>
    <n v="32"/>
    <n v="48.8"/>
    <n v="1.5249999999999999"/>
    <n v="0.60396039603960394"/>
  </r>
  <r>
    <x v="1"/>
    <x v="1"/>
    <s v="Kenya"/>
    <s v="Kwale"/>
    <n v="1993"/>
    <s v="(blank)"/>
    <s v="Kisite Marine National Park - Experiment "/>
    <n v="25.33"/>
    <n v="44.97"/>
    <n v="1.7753651796288985"/>
    <n v="0.63968705547652915"/>
  </r>
  <r>
    <x v="5"/>
    <x v="3"/>
    <m/>
    <s v="Kwale"/>
    <n v="1994"/>
    <s v="(blank)"/>
    <s v="Kisite Marine National Park - Experiment "/>
    <n v="24.2"/>
    <n v="44.81"/>
    <n v="1.8516528925619835"/>
    <n v="0.64932618461092595"/>
  </r>
  <r>
    <x v="1"/>
    <x v="1"/>
    <s v="Kenya"/>
    <s v="Kwale"/>
    <n v="1993"/>
    <s v="(blank)"/>
    <s v="Kisite Marine National Park - Control "/>
    <n v="22.85"/>
    <n v="48.01"/>
    <n v="2.1010940919037195"/>
    <n v="0.67753316398532315"/>
  </r>
  <r>
    <x v="5"/>
    <x v="3"/>
    <m/>
    <s v="Kwale"/>
    <n v="1994"/>
    <s v="(blank)"/>
    <s v="Kisite Marine National Park - Control "/>
    <n v="20.75"/>
    <n v="55.71"/>
    <n v="2.6848192771084336"/>
    <n v="0.72861626994506923"/>
  </r>
  <r>
    <x v="1"/>
    <x v="1"/>
    <s v="Tanzania"/>
    <m/>
    <n v="1995"/>
    <s v="Dar es Salaam"/>
    <s v="Bongoyo"/>
    <n v="32.4"/>
    <n v="48"/>
    <n v="1.4814814814814816"/>
    <n v="0.59701492537313428"/>
  </r>
  <r>
    <x v="1"/>
    <x v="1"/>
    <s v="Tanzania"/>
    <m/>
    <n v="1995"/>
    <s v="Dar es Salaam"/>
    <s v="Mbudya"/>
    <n v="52.8"/>
    <n v="28.4"/>
    <n v="0.53787878787878785"/>
    <n v="0.34975369458128081"/>
  </r>
  <r>
    <x v="1"/>
    <x v="1"/>
    <s v="Tanzania"/>
    <m/>
    <n v="1996"/>
    <s v="Tanga"/>
    <s v="Tanga"/>
    <n v="33.799999999999997"/>
    <n v="52.9"/>
    <n v="1.5650887573964498"/>
    <n v="0.61014994232987319"/>
  </r>
  <r>
    <x v="7"/>
    <x v="0"/>
    <s v="Tanzania"/>
    <m/>
    <n v="1991"/>
    <s v="Mafia Reef"/>
    <s v="Tutia"/>
    <n v="80"/>
    <n v="1"/>
    <n v="1.2500000000000001E-2"/>
    <n v="1.2345679012345678E-2"/>
  </r>
  <r>
    <x v="3"/>
    <x v="2"/>
    <s v="Mauritius"/>
    <s v="Mauritius Island"/>
    <n v="1999"/>
    <m/>
    <s v="Balaclava"/>
    <n v="63"/>
    <n v="26"/>
    <n v="0.41269841269841268"/>
    <n v="0.29213483146067415"/>
  </r>
  <r>
    <x v="3"/>
    <x v="2"/>
    <s v="Mauritius"/>
    <s v="Mauritius Island"/>
    <n v="1999"/>
    <m/>
    <s v="Balaclava Maritime Hotel"/>
    <n v="88"/>
    <n v="26"/>
    <n v="0.29545454545454547"/>
    <n v="0.22807017543859648"/>
  </r>
  <r>
    <x v="3"/>
    <x v="2"/>
    <s v="Mauritius"/>
    <s v="Mauritius Island"/>
    <n v="1999"/>
    <m/>
    <s v="Barrier Reef"/>
    <n v="40.5"/>
    <n v="46"/>
    <n v="1.1358024691358024"/>
    <n v="0.53179190751445082"/>
  </r>
  <r>
    <x v="3"/>
    <x v="2"/>
    <s v="Mauritius"/>
    <s v="Mauritius Island"/>
    <n v="1999"/>
    <m/>
    <s v="Blue Bay"/>
    <n v="88"/>
    <n v="11"/>
    <n v="0.125"/>
    <n v="0.1111111111111111"/>
  </r>
  <r>
    <x v="3"/>
    <x v="2"/>
    <s v="Mauritius"/>
    <s v="Mauritius Island"/>
    <n v="1999"/>
    <m/>
    <s v="Blue Bay (shallow)"/>
    <n v="63"/>
    <n v="40.5"/>
    <n v="0.6428571428571429"/>
    <n v="0.39130434782608697"/>
  </r>
  <r>
    <x v="3"/>
    <x v="2"/>
    <s v="Mauritius"/>
    <s v="Mauritius Island"/>
    <n v="1999"/>
    <m/>
    <s v="Calodyne Reef"/>
    <n v="20.5"/>
    <n v="68.5"/>
    <n v="3.3414634146341462"/>
    <n v="0.7696629213483146"/>
  </r>
  <r>
    <x v="3"/>
    <x v="2"/>
    <s v="Mauritius"/>
    <s v="Mauritius Island"/>
    <n v="1999"/>
    <m/>
    <s v="Flat Island"/>
    <n v="20.5"/>
    <n v="26"/>
    <n v="1.2682926829268293"/>
    <n v="0.55913978494623651"/>
  </r>
  <r>
    <x v="3"/>
    <x v="2"/>
    <s v="Mauritius"/>
    <s v="Mauritius Island"/>
    <n v="1999"/>
    <m/>
    <s v="Flat Island North"/>
    <n v="20.5"/>
    <n v="11"/>
    <n v="0.53658536585365857"/>
    <n v="0.34920634920634919"/>
  </r>
  <r>
    <x v="3"/>
    <x v="2"/>
    <s v="Mauritius"/>
    <s v="Mauritius Island"/>
    <n v="1999"/>
    <m/>
    <s v="Flat Island South"/>
    <n v="63"/>
    <n v="20.5"/>
    <n v="0.32539682539682541"/>
    <n v="0.24550898203592814"/>
  </r>
  <r>
    <x v="3"/>
    <x v="2"/>
    <s v="Mauritius"/>
    <s v="Mauritius Island"/>
    <n v="1999"/>
    <m/>
    <s v="Flic en Flac (Baie Dangereux)"/>
    <n v="40.5"/>
    <n v="41"/>
    <n v="1.0123456790123457"/>
    <n v="0.50306748466257667"/>
  </r>
  <r>
    <x v="3"/>
    <x v="2"/>
    <s v="Mauritius"/>
    <s v="Mauritius Island"/>
    <n v="1999"/>
    <m/>
    <s v="Flic en Flac (middle)"/>
    <n v="20.5"/>
    <n v="61"/>
    <n v="2.975609756097561"/>
    <n v="0.74846625766871167"/>
  </r>
  <r>
    <x v="3"/>
    <x v="2"/>
    <s v="Mauritius"/>
    <s v="Mauritius Island"/>
    <n v="1999"/>
    <m/>
    <s v="Flic en Flac (south)"/>
    <n v="20.5"/>
    <n v="61"/>
    <n v="2.975609756097561"/>
    <n v="0.74846625766871167"/>
  </r>
  <r>
    <x v="3"/>
    <x v="2"/>
    <s v="Mauritius"/>
    <s v="Mauritius Island"/>
    <n v="1999"/>
    <m/>
    <s v="Grande Baie Aquarium"/>
    <n v="20.5"/>
    <n v="11"/>
    <n v="0.53658536585365857"/>
    <n v="0.34920634920634919"/>
  </r>
  <r>
    <x v="3"/>
    <x v="2"/>
    <s v="Mauritius"/>
    <s v="Mauritius Island"/>
    <n v="1999"/>
    <m/>
    <s v="Hibiscus Hotel"/>
    <n v="40.5"/>
    <n v="41"/>
    <n v="1.0123456790123457"/>
    <n v="0.50306748466257667"/>
  </r>
  <r>
    <x v="3"/>
    <x v="2"/>
    <s v="Mauritius"/>
    <s v="Mauritius Island"/>
    <n v="1999"/>
    <m/>
    <s v="Ile aux Aigrettes"/>
    <n v="63"/>
    <n v="26"/>
    <n v="0.41269841269841268"/>
    <n v="0.29213483146067415"/>
  </r>
  <r>
    <x v="3"/>
    <x v="2"/>
    <s v="Mauritius"/>
    <s v="Mauritius Island"/>
    <n v="1999"/>
    <m/>
    <s v="Le Morne (Cannion)"/>
    <n v="40.5"/>
    <n v="11"/>
    <n v="0.27160493827160492"/>
    <n v="0.21359223300970873"/>
  </r>
  <r>
    <x v="3"/>
    <x v="2"/>
    <s v="Mauritius"/>
    <s v="Mauritius Island"/>
    <n v="1999"/>
    <m/>
    <s v="LeMorne"/>
    <n v="63"/>
    <n v="26"/>
    <n v="0.41269841269841268"/>
    <n v="0.29213483146067415"/>
  </r>
  <r>
    <x v="3"/>
    <x v="2"/>
    <s v="Mauritius"/>
    <s v="Mauritius Island"/>
    <n v="1999"/>
    <m/>
    <s v="Perybere"/>
    <n v="20.5"/>
    <n v="46"/>
    <n v="2.2439024390243905"/>
    <n v="0.69172932330827064"/>
  </r>
  <r>
    <x v="3"/>
    <x v="2"/>
    <s v="Mauritius"/>
    <s v="Mauritius Island"/>
    <n v="1999"/>
    <m/>
    <s v="Point Harmonie"/>
    <n v="63"/>
    <n v="11"/>
    <n v="0.17460317460317459"/>
    <n v="0.14864864864864866"/>
  </r>
  <r>
    <x v="3"/>
    <x v="2"/>
    <s v="Mauritius"/>
    <s v="Mauritius Island"/>
    <n v="1999"/>
    <s v="Ile d'Ambre_15"/>
    <s v="Ile d'Ambre"/>
    <n v="88"/>
    <n v="11"/>
    <n v="0.125"/>
    <n v="0.1111111111111111"/>
  </r>
  <r>
    <x v="3"/>
    <x v="2"/>
    <s v="Mauritius"/>
    <s v="Mauritius Island"/>
    <n v="1999"/>
    <s v="Ile d'Ambre_17"/>
    <s v="Ile d'Ambre"/>
    <n v="40.5"/>
    <n v="46"/>
    <n v="1.1358024691358024"/>
    <n v="0.53179190751445082"/>
  </r>
  <r>
    <x v="3"/>
    <x v="2"/>
    <s v="Mauritius"/>
    <s v="Mauritius Island"/>
    <n v="1999"/>
    <s v="Ile d'Ambre_18"/>
    <s v="Ile d'Ambre"/>
    <n v="63"/>
    <n v="46"/>
    <n v="0.73015873015873012"/>
    <n v="0.42201834862385323"/>
  </r>
  <r>
    <x v="3"/>
    <x v="2"/>
    <s v="Mauritius"/>
    <s v="Mauritius Island"/>
    <n v="1999"/>
    <s v="Ile d'Ambre_19"/>
    <s v="Ile d'Ambre"/>
    <n v="63"/>
    <n v="46"/>
    <n v="0.73015873015873012"/>
    <n v="0.42201834862385323"/>
  </r>
  <r>
    <x v="5"/>
    <x v="3"/>
    <m/>
    <s v="Mauritius Island"/>
    <n v="1999"/>
    <s v="Trou aux Biches_14"/>
    <s v="Trou aux Biches"/>
    <n v="20.5"/>
    <n v="46"/>
    <n v="2.2439024390243905"/>
    <n v="0.69172932330827064"/>
  </r>
  <r>
    <x v="5"/>
    <x v="3"/>
    <m/>
    <s v="Mauritius Island"/>
    <n v="1999"/>
    <s v="Trou aux Biches_4"/>
    <s v="Trou aux Biches"/>
    <n v="40.5"/>
    <n v="0"/>
    <n v="0"/>
    <n v="0"/>
  </r>
  <r>
    <x v="5"/>
    <x v="3"/>
    <m/>
    <s v="Mauritius Island"/>
    <n v="1999"/>
    <s v="Trou aux Biches_5"/>
    <s v="Trou aux Biches"/>
    <n v="40.5"/>
    <n v="11"/>
    <n v="0.27160493827160492"/>
    <n v="0.21359223300970873"/>
  </r>
  <r>
    <x v="5"/>
    <x v="3"/>
    <m/>
    <s v="Mauritius Island"/>
    <n v="1999"/>
    <s v="Trou aux Biches_6"/>
    <s v="Trou aux Biches"/>
    <n v="63"/>
    <n v="46"/>
    <n v="0.73015873015873012"/>
    <n v="0.42201834862385323"/>
  </r>
  <r>
    <x v="5"/>
    <x v="3"/>
    <m/>
    <s v="Mauritius Island"/>
    <n v="1999"/>
    <s v="Trou aux Biches_7"/>
    <s v="Trou aux Biches"/>
    <n v="88"/>
    <n v="11"/>
    <n v="0.125"/>
    <n v="0.1111111111111111"/>
  </r>
  <r>
    <x v="5"/>
    <x v="3"/>
    <m/>
    <s v="Mauritius Island"/>
    <n v="1999"/>
    <s v="Trou aux Biches_8"/>
    <s v="Trou aux Biches"/>
    <n v="63"/>
    <n v="26"/>
    <n v="0.41269841269841268"/>
    <n v="0.29213483146067415"/>
  </r>
  <r>
    <x v="3"/>
    <x v="2"/>
    <s v="Mauritius"/>
    <s v="Mauritius Island"/>
    <n v="1999"/>
    <s v="Trou d'Eau Douce_20"/>
    <s v="Trou d'Eau Douce"/>
    <n v="40.5"/>
    <n v="46"/>
    <n v="1.1358024691358024"/>
    <n v="0.53179190751445082"/>
  </r>
  <r>
    <x v="3"/>
    <x v="2"/>
    <s v="Mauritius"/>
    <s v="Mauritius Island"/>
    <n v="1999"/>
    <s v="Trou d'Eau Douce_21"/>
    <s v="Trou d'Eau Douce"/>
    <n v="63"/>
    <n v="26"/>
    <n v="0.41269841269841268"/>
    <n v="0.29213483146067415"/>
  </r>
  <r>
    <x v="3"/>
    <x v="2"/>
    <s v="Mauritius"/>
    <s v="Mauritius Island"/>
    <n v="1999"/>
    <s v="Trou d'Eau Douce_22"/>
    <s v="Trou d'Eau Douce"/>
    <n v="20.5"/>
    <n v="61"/>
    <n v="2.975609756097561"/>
    <n v="0.74846625766871167"/>
  </r>
  <r>
    <x v="3"/>
    <x v="2"/>
    <s v="Mauritius"/>
    <s v="Mauritius Island"/>
    <n v="1999"/>
    <s v="Trou d'Eau Douce_23"/>
    <s v="Trou d'Eau Douce"/>
    <n v="63"/>
    <n v="20.5"/>
    <n v="0.32539682539682541"/>
    <n v="0.24550898203592814"/>
  </r>
  <r>
    <x v="8"/>
    <x v="0"/>
    <s v="Mozambique"/>
    <s v="Inhambane"/>
    <n v="2000"/>
    <s v="Two-mile_Reef"/>
    <s v="Bazaruto_Archipelago"/>
    <n v="85.6"/>
    <n v="3.4"/>
    <n v="3.9719626168224303E-2"/>
    <n v="3.8202247191011236E-2"/>
  </r>
  <r>
    <x v="8"/>
    <x v="0"/>
    <s v="Mozambique"/>
    <s v="Maputo"/>
    <n v="2000"/>
    <s v="Baixo_Danae"/>
    <s v="Inhaca_Island"/>
    <n v="31.1"/>
    <n v="55.5"/>
    <n v="1.7845659163987138"/>
    <n v="0.64087759815242495"/>
  </r>
  <r>
    <x v="8"/>
    <x v="0"/>
    <s v="Mozambique"/>
    <m/>
    <m/>
    <s v="Barreira_Vermelha"/>
    <s v="Inhaca_Island"/>
    <n v="61.8"/>
    <n v="33.299999999999997"/>
    <n v="0.53883495145631066"/>
    <n v="0.35015772870662459"/>
  </r>
  <r>
    <x v="8"/>
    <x v="0"/>
    <s v="Mozambique"/>
    <m/>
    <m/>
    <s v="Ponta_Torres"/>
    <s v="Inhaca_Island"/>
    <n v="55.1"/>
    <n v="26.8"/>
    <n v="0.48638838475499091"/>
    <n v="0.32722832722832723"/>
  </r>
  <r>
    <x v="7"/>
    <x v="0"/>
    <s v="Mozambique"/>
    <s v="Nampula_Province"/>
    <n v="2000"/>
    <s v="Goa_Island"/>
    <s v="Mozambique_Island"/>
    <n v="42.1"/>
    <n v="29.7"/>
    <n v="0.70546318289786214"/>
    <n v="0.41364902506963791"/>
  </r>
  <r>
    <x v="7"/>
    <x v="0"/>
    <s v="Mozambique"/>
    <m/>
    <m/>
    <s v="Sete_Paus_Island"/>
    <s v="Mozambique_Island"/>
    <n v="51.7"/>
    <n v="17.2"/>
    <n v="0.33268858800773693"/>
    <n v="0.24963715529753264"/>
  </r>
  <r>
    <x v="7"/>
    <x v="0"/>
    <s v="Mozambique"/>
    <s v="Pemba_Bay"/>
    <n v="2000"/>
    <s v="Ponta_Maunhane"/>
    <s v="Pemba"/>
    <n v="78.099999999999994"/>
    <n v="12"/>
    <n v="0.15364916773367479"/>
    <n v="0.13318534961154274"/>
  </r>
  <r>
    <x v="8"/>
    <x v="0"/>
    <s v="Mozambique"/>
    <m/>
    <m/>
    <s v="Anchor's_Bay"/>
    <m/>
    <n v="10.8"/>
    <n v="74.3"/>
    <n v="6.8796296296296289"/>
    <n v="0.87309048178613402"/>
  </r>
  <r>
    <x v="8"/>
    <x v="0"/>
    <s v="Mozambique"/>
    <m/>
    <m/>
    <s v="Mike's_Cub_Board"/>
    <m/>
    <n v="7.8"/>
    <n v="77.099999999999994"/>
    <n v="9.8846153846153832"/>
    <n v="0.90812720848056538"/>
  </r>
  <r>
    <x v="8"/>
    <x v="0"/>
    <s v="Mozambique"/>
    <m/>
    <m/>
    <s v="Lighthouse_Reef"/>
    <m/>
    <n v="90.6"/>
    <n v="4"/>
    <n v="4.4150110375275942E-2"/>
    <n v="4.2283298097251586E-2"/>
  </r>
  <r>
    <x v="7"/>
    <x v="0"/>
    <s v="Mozambique"/>
    <m/>
    <m/>
    <s v="Sencar_Channel"/>
    <m/>
    <n v="31.8"/>
    <n v="56"/>
    <n v="1.7610062893081762"/>
    <n v="0.63781321184510253"/>
  </r>
  <r>
    <x v="4"/>
    <x v="0"/>
    <s v="Seychelles"/>
    <s v="Southern Sychelles"/>
    <n v="1998"/>
    <s v="(blank)"/>
    <s v="South St Pierre"/>
    <n v="29"/>
    <n v="11"/>
    <n v="0.37931034482758619"/>
    <n v="0.27500000000000002"/>
  </r>
  <r>
    <x v="9"/>
    <x v="0"/>
    <s v="Madagascar"/>
    <s v="Outer Slope"/>
    <n v="2001"/>
    <s v="West – Belo/Mer"/>
    <s v="Belo"/>
    <n v="56.7"/>
    <n v="14.4"/>
    <n v="0.25396825396825395"/>
    <n v="0.20253164556962022"/>
  </r>
  <r>
    <x v="10"/>
    <x v="3"/>
    <s v="Comoros"/>
    <s v="Outer Slope"/>
    <n v="2002"/>
    <s v="Nioumachoi - Moheli"/>
    <s v="Mea"/>
    <n v="52.6"/>
    <n v="20.7"/>
    <n v="0.39353612167300378"/>
    <n v="0.28240109140518416"/>
  </r>
  <r>
    <x v="3"/>
    <x v="2"/>
    <s v="Reunion"/>
    <s v="Reef Flat"/>
    <n v="2000"/>
    <s v="Etang Sale"/>
    <s v="Bassin Pirogue"/>
    <n v="50.3"/>
    <n v="9.4"/>
    <n v="0.18687872763419486"/>
    <n v="0.15745393634840874"/>
  </r>
  <r>
    <x v="3"/>
    <x v="2"/>
    <s v="Reunion"/>
    <s v="Outer Slope"/>
    <n v="2000"/>
    <s v="Etang Sale"/>
    <s v="Bassin Pirogue"/>
    <n v="57.8"/>
    <n v="31.8"/>
    <n v="0.55017301038062283"/>
    <n v="0.3549107142857143"/>
  </r>
  <r>
    <x v="3"/>
    <x v="2"/>
    <s v="Reunion"/>
    <s v="Reef Flat"/>
    <n v="2000"/>
    <s v="St Pierre"/>
    <s v="Ravine Blanche"/>
    <n v="58.1"/>
    <n v="18.899999999999999"/>
    <n v="0.3253012048192771"/>
    <n v="0.24545454545454543"/>
  </r>
  <r>
    <x v="3"/>
    <x v="3"/>
    <s v="Mauritius"/>
    <s v="Outer Slope"/>
    <n v="2002"/>
    <s v="Riviere Banane"/>
    <s v="Rivière banane"/>
    <n v="62.9"/>
    <n v="36.5"/>
    <n v="0.58028616852146264"/>
    <n v="0.36720321931589534"/>
  </r>
  <r>
    <x v="1"/>
    <x v="3"/>
    <s v="Kenya"/>
    <m/>
    <s v="1987/1988"/>
    <s v="Kwale"/>
    <s v="Mpunguti"/>
    <n v="28.7"/>
    <n v="1.2"/>
    <n v="4.1811846689895467E-2"/>
    <n v="4.0133779264214048E-2"/>
  </r>
  <r>
    <x v="1"/>
    <x v="3"/>
    <s v="Kenya"/>
    <m/>
    <s v="1987/1988"/>
    <s v="Kilifi "/>
    <s v="Uyombo"/>
    <n v="28.2"/>
    <n v="2.5"/>
    <n v="8.8652482269503549E-2"/>
    <n v="8.1433224755700334E-2"/>
  </r>
  <r>
    <x v="1"/>
    <x v="3"/>
    <s v="Kenya"/>
    <m/>
    <s v="1987/1988"/>
    <s v="Mombasa"/>
    <s v="Bamburi"/>
    <n v="17.3"/>
    <n v="3.3"/>
    <n v="0.19075144508670519"/>
    <n v="0.16019417475728154"/>
  </r>
  <r>
    <x v="1"/>
    <x v="3"/>
    <s v="Kenya"/>
    <m/>
    <s v="1987/1988"/>
    <s v="Mombasa"/>
    <s v="Leven"/>
    <n v="47.599999999999994"/>
    <n v="3.6"/>
    <n v="7.5630252100840345E-2"/>
    <n v="7.0312500000000014E-2"/>
  </r>
  <r>
    <x v="11"/>
    <x v="0"/>
    <s v="Madagascar"/>
    <s v="Barrier outer slope"/>
    <n v="1999"/>
    <s v=" south-western region of Toliara"/>
    <s v="Ifaty"/>
    <n v="54.800000000000004"/>
    <n v="40.700000000000003"/>
    <n v="0.74270072992700731"/>
    <n v="0.42617801047120424"/>
  </r>
  <r>
    <x v="11"/>
    <x v="0"/>
    <s v="Madagascar"/>
    <s v="Inner"/>
    <n v="1999"/>
    <s v=" south-western region of Toliara"/>
    <s v="Nosy Ve"/>
    <n v="68.3"/>
    <n v="10.199999999999999"/>
    <n v="0.14934114202049781"/>
    <n v="0.12993630573248408"/>
  </r>
  <r>
    <x v="10"/>
    <x v="3"/>
    <s v="Comoros"/>
    <s v="Inner"/>
    <n v="1999"/>
    <s v="Mitsamiouli"/>
    <s v=" North-West Mitsamiouli Reef"/>
    <n v="55"/>
    <n v="32"/>
    <n v="0.58181818181818179"/>
    <n v="0.36781609195402298"/>
  </r>
  <r>
    <x v="10"/>
    <x v="3"/>
    <s v="Comoros"/>
    <s v="Inner"/>
    <n v="1999"/>
    <s v=" Mohéli island "/>
    <s v="Itsamia"/>
    <n v="54"/>
    <n v="29"/>
    <n v="0.53703703703703709"/>
    <n v="0.3493975903614458"/>
  </r>
  <r>
    <x v="5"/>
    <x v="3"/>
    <m/>
    <s v="Outer"/>
    <n v="1999"/>
    <s v="La Saline"/>
    <s v="Trois Chameaux - O"/>
    <n v="50.4"/>
    <n v="39.6"/>
    <n v="0.78571428571428581"/>
    <n v="0.44"/>
  </r>
  <r>
    <x v="5"/>
    <x v="3"/>
    <m/>
    <s v="Inner"/>
    <n v="1999"/>
    <s v="La Saline"/>
    <s v="Trois Chameaux - I"/>
    <n v="32.5"/>
    <n v="7.5"/>
    <n v="0.23076923076923078"/>
    <n v="0.1875"/>
  </r>
  <r>
    <x v="10"/>
    <x v="3"/>
    <s v="Mayotte"/>
    <s v="Inner"/>
    <n v="1999"/>
    <s v="Surprise"/>
    <s v="Reef Flat"/>
    <n v="94.6"/>
    <n v="2.5"/>
    <n v="2.6427061310782242E-2"/>
    <n v="2.5746652935118436E-2"/>
  </r>
  <r>
    <x v="10"/>
    <x v="3"/>
    <s v="Mayotte"/>
    <s v="Outer"/>
    <n v="1999"/>
    <s v="Surprise"/>
    <s v="Deeper Reefs"/>
    <n v="97.2"/>
    <n v="2.2999999999999998"/>
    <n v="2.3662551440329214E-2"/>
    <n v="2.3115577889447233E-2"/>
  </r>
  <r>
    <x v="10"/>
    <x v="3"/>
    <s v="Mayotte"/>
    <s v="Inner"/>
    <n v="1999"/>
    <s v="Geyser bank"/>
    <s v="Inner"/>
    <n v="59.3"/>
    <n v="22.3"/>
    <n v="0.37605396290050591"/>
    <n v="0.27328431372549022"/>
  </r>
  <r>
    <x v="10"/>
    <x v="3"/>
    <s v="Mayotte"/>
    <s v="Outer"/>
    <n v="1999"/>
    <s v="Geyser bank"/>
    <s v="Outer"/>
    <n v="72.400000000000006"/>
    <n v="6.5"/>
    <n v="8.9779005524861871E-2"/>
    <n v="8.2382762991127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57F30-805F-485D-ABA7-326DB5E07454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M13:S23" firstHeaderRow="0" firstDataRow="1" firstDataCol="1"/>
  <pivotFields count="10">
    <pivotField showAll="0"/>
    <pivotField axis="axisRow" showAll="0">
      <items count="11">
        <item x="3"/>
        <item x="5"/>
        <item x="1"/>
        <item x="7"/>
        <item x="8"/>
        <item x="9"/>
        <item x="0"/>
        <item x="2"/>
        <item x="4"/>
        <item h="1"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numFmtId="165" showAll="0"/>
    <pivotField dataField="1" numFmtId="165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ALG" fld="7" subtotal="count" baseField="1" baseItem="1"/>
    <dataField name="Average of HC" fld="6" subtotal="average" baseField="1" baseItem="0"/>
    <dataField name="StdDev of HC" fld="6" subtotal="stdDev" baseField="1" baseItem="0"/>
    <dataField name="Average of ALG" fld="7" subtotal="average" baseField="1" baseItem="0"/>
    <dataField name="StdDev of ALG" fld="7" subtotal="stdDev" baseField="1" baseItem="0"/>
    <dataField name="Average of ALG/(ALG+HC)" fld="9" subtotal="average" baseField="1" baseItem="0"/>
  </dataFields>
  <formats count="6">
    <format dxfId="5">
      <pivotArea collapsedLevelsAreSubtotals="1" fieldPosition="0">
        <references count="2">
          <reference field="4294967294" count="2" selected="0">
            <x v="1"/>
            <x v="3"/>
          </reference>
          <reference field="1" count="0"/>
        </references>
      </pivotArea>
    </format>
    <format dxfId="4">
      <pivotArea collapsedLevelsAreSubtotals="1" fieldPosition="0">
        <references count="2">
          <reference field="4294967294" count="1" selected="0">
            <x v="5"/>
          </reference>
          <reference field="1" count="0"/>
        </references>
      </pivotArea>
    </format>
    <format dxfId="3">
      <pivotArea collapsedLevelsAreSubtotals="1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1">
      <pivotArea field="1" grandRow="1" outline="0" collapsedLevelsAreSubtotals="1" axis="axisRow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  <format dxfId="0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E5E81-69DA-49AE-B088-8231F832577B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M25:S37" firstHeaderRow="0" firstDataRow="1" firstDataCol="1"/>
  <pivotFields count="11">
    <pivotField axis="axisRow" showAll="0">
      <items count="13">
        <item x="1"/>
        <item x="7"/>
        <item x="10"/>
        <item x="2"/>
        <item x="4"/>
        <item x="6"/>
        <item x="3"/>
        <item x="0"/>
        <item h="1" x="5"/>
        <item x="9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numFmtId="165" showAll="0"/>
    <pivotField dataField="1" numFmtId="165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unt of ALG" fld="8" subtotal="count" baseField="0" baseItem="0"/>
    <dataField name="Average of HC2" fld="7" subtotal="average" baseField="0" baseItem="0"/>
    <dataField name="StdDev of HC" fld="7" subtotal="stdDev" baseField="0" baseItem="0"/>
    <dataField name="Average of ALG2" fld="8" subtotal="average" baseField="0" baseItem="0"/>
    <dataField name="StdDev of ALG3" fld="8" subtotal="stdDev" baseField="0" baseItem="0"/>
    <dataField name="Average of ALG/(ALG+HC)" fld="10" subtotal="average" baseField="0" baseItem="0"/>
  </dataFields>
  <formats count="4">
    <format dxfId="9">
      <pivotArea collapsedLevelsAreSubtotals="1" fieldPosition="0">
        <references count="2">
          <reference field="4294967294" count="5" selected="0">
            <x v="1"/>
            <x v="2"/>
            <x v="3"/>
            <x v="4"/>
            <x v="5"/>
          </reference>
          <reference field="0" count="0"/>
        </references>
      </pivotArea>
    </format>
    <format dxfId="8">
      <pivotArea collapsedLevelsAreSubtotals="1" fieldPosition="0">
        <references count="2">
          <reference field="4294967294" count="4" selected="0">
            <x v="1"/>
            <x v="2"/>
            <x v="3"/>
            <x v="4"/>
          </reference>
          <reference field="0" count="0"/>
        </references>
      </pivotArea>
    </format>
    <format dxfId="7">
      <pivotArea field="0" grandRow="1" outline="0" collapsedLevelsAreSubtotals="1" axis="axisRow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6">
      <pivotArea field="0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1C783-4E19-4D53-9B11-EFFC215F0EF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I94" firstHeaderRow="0" firstDataRow="1" firstDataCol="5"/>
  <pivotFields count="16">
    <pivotField compact="0" outline="0" showAll="0"/>
    <pivotField axis="axisRow" compact="0" outline="0" showAll="0" defaultSubtotal="0">
      <items count="8">
        <item x="4"/>
        <item x="3"/>
        <item x="1"/>
        <item x="0"/>
        <item x="6"/>
        <item x="2"/>
        <item x="5"/>
        <item x="7"/>
      </items>
    </pivotField>
    <pivotField axis="axisRow" compact="0" outline="0" showAll="0" defaultSubtotal="0">
      <items count="11">
        <item x="4"/>
        <item x="2"/>
        <item x="3"/>
        <item x="1"/>
        <item x="5"/>
        <item x="0"/>
        <item x="6"/>
        <item x="7"/>
        <item x="8"/>
        <item x="9"/>
        <item x="10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21">
        <item x="4"/>
        <item x="11"/>
        <item x="6"/>
        <item x="5"/>
        <item x="10"/>
        <item x="9"/>
        <item x="3"/>
        <item x="12"/>
        <item x="7"/>
        <item x="8"/>
        <item x="2"/>
        <item x="1"/>
        <item x="0"/>
        <item x="13"/>
        <item x="14"/>
        <item x="15"/>
        <item x="16"/>
        <item x="17"/>
        <item x="18"/>
        <item x="19"/>
        <item x="20"/>
      </items>
    </pivotField>
    <pivotField axis="axisRow" compact="0" outline="0" showAll="0">
      <items count="67">
        <item x="2"/>
        <item x="3"/>
        <item x="4"/>
        <item x="5"/>
        <item x="6"/>
        <item x="7"/>
        <item x="8"/>
        <item x="9"/>
        <item x="10"/>
        <item x="11"/>
        <item x="12"/>
        <item x="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0"/>
        <item x="26"/>
        <item x="3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axis="axisRow" compact="0" outline="0" showAll="0" defaultSubtotal="0">
      <items count="30">
        <item x="0"/>
        <item x="1"/>
        <item x="5"/>
        <item x="4"/>
        <item x="6"/>
        <item x="7"/>
        <item x="8"/>
        <item x="2"/>
        <item x="3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5">
    <field x="1"/>
    <field x="6"/>
    <field x="2"/>
    <field x="8"/>
    <field x="7"/>
  </rowFields>
  <rowItems count="91">
    <i>
      <x/>
      <x v="2"/>
      <x v="2"/>
      <x v="2"/>
      <x v="13"/>
    </i>
    <i r="1">
      <x v="3"/>
      <x v="1"/>
      <x v="2"/>
      <x v="8"/>
    </i>
    <i r="4">
      <x v="9"/>
    </i>
    <i r="2">
      <x v="2"/>
      <x v="2"/>
      <x v="8"/>
    </i>
    <i r="4">
      <x v="9"/>
    </i>
    <i r="1">
      <x v="4"/>
      <x v="4"/>
      <x v="2"/>
      <x v="30"/>
    </i>
    <i>
      <x v="1"/>
      <x/>
      <x v="5"/>
      <x v="2"/>
      <x v="7"/>
    </i>
    <i r="1">
      <x v="6"/>
      <x v="5"/>
      <x v="2"/>
      <x v="6"/>
    </i>
    <i>
      <x v="2"/>
      <x v="5"/>
      <x v="5"/>
      <x v="4"/>
      <x v="29"/>
    </i>
    <i r="3">
      <x v="5"/>
      <x v="29"/>
    </i>
    <i r="1">
      <x v="11"/>
      <x v="5"/>
      <x v="3"/>
      <x/>
    </i>
    <i r="3">
      <x v="6"/>
      <x/>
    </i>
    <i r="1">
      <x v="20"/>
      <x v="5"/>
      <x v="2"/>
      <x v="45"/>
    </i>
    <i r="4">
      <x v="46"/>
    </i>
    <i r="4">
      <x v="47"/>
    </i>
    <i r="4">
      <x v="48"/>
    </i>
    <i r="4">
      <x v="49"/>
    </i>
    <i r="4">
      <x v="50"/>
    </i>
    <i r="4">
      <x v="51"/>
    </i>
    <i r="4">
      <x v="52"/>
    </i>
    <i r="4">
      <x v="53"/>
    </i>
    <i r="4">
      <x v="54"/>
    </i>
    <i r="4">
      <x v="55"/>
    </i>
    <i r="4">
      <x v="56"/>
    </i>
    <i r="4">
      <x v="57"/>
    </i>
    <i r="4">
      <x v="58"/>
    </i>
    <i r="4">
      <x v="59"/>
    </i>
    <i r="4">
      <x v="61"/>
    </i>
    <i r="4">
      <x v="62"/>
    </i>
    <i r="4">
      <x v="63"/>
    </i>
    <i r="4">
      <x v="64"/>
    </i>
    <i r="3">
      <x v="16"/>
      <x v="60"/>
    </i>
    <i r="3">
      <x v="17"/>
      <x v="60"/>
    </i>
    <i r="3">
      <x v="18"/>
      <x v="60"/>
    </i>
    <i r="3">
      <x v="19"/>
      <x v="60"/>
    </i>
    <i r="3">
      <x v="20"/>
      <x v="29"/>
    </i>
    <i r="3">
      <x v="21"/>
      <x v="29"/>
    </i>
    <i r="3">
      <x v="22"/>
      <x v="29"/>
    </i>
    <i r="3">
      <x v="23"/>
      <x v="29"/>
    </i>
    <i r="3">
      <x v="24"/>
      <x v="29"/>
    </i>
    <i r="3">
      <x v="25"/>
      <x v="29"/>
    </i>
    <i r="3">
      <x v="26"/>
      <x v="65"/>
    </i>
    <i r="3">
      <x v="27"/>
      <x v="65"/>
    </i>
    <i r="3">
      <x v="28"/>
      <x v="65"/>
    </i>
    <i r="3">
      <x v="29"/>
      <x v="65"/>
    </i>
    <i>
      <x v="3"/>
      <x v="7"/>
      <x v="6"/>
      <x v="2"/>
      <x v="27"/>
    </i>
    <i r="1">
      <x v="9"/>
      <x v="5"/>
      <x v="4"/>
      <x v="28"/>
    </i>
    <i r="3">
      <x v="5"/>
      <x v="28"/>
    </i>
    <i r="1">
      <x v="10"/>
      <x v="5"/>
      <x v="4"/>
      <x v="5"/>
    </i>
    <i r="3">
      <x v="5"/>
      <x v="5"/>
    </i>
    <i r="1">
      <x v="12"/>
      <x v="5"/>
      <x/>
      <x v="25"/>
    </i>
    <i r="3">
      <x v="1"/>
      <x v="11"/>
    </i>
    <i r="3">
      <x v="7"/>
      <x v="11"/>
    </i>
    <i r="3">
      <x v="8"/>
      <x v="11"/>
    </i>
    <i>
      <x v="4"/>
      <x v="1"/>
      <x v="3"/>
      <x v="2"/>
      <x v="35"/>
    </i>
    <i r="1">
      <x v="8"/>
      <x v="4"/>
      <x v="2"/>
      <x v="24"/>
    </i>
    <i r="4">
      <x v="26"/>
    </i>
    <i r="4">
      <x v="34"/>
    </i>
    <i>
      <x v="5"/>
      <x v="12"/>
      <x v="3"/>
      <x v="2"/>
      <x v="1"/>
    </i>
    <i r="4">
      <x v="2"/>
    </i>
    <i r="4">
      <x v="3"/>
    </i>
    <i r="4">
      <x v="4"/>
    </i>
    <i r="4">
      <x v="10"/>
    </i>
    <i r="4">
      <x v="17"/>
    </i>
    <i r="1">
      <x v="13"/>
      <x v="7"/>
      <x v="2"/>
      <x v="37"/>
    </i>
    <i r="4">
      <x v="38"/>
    </i>
    <i r="1">
      <x v="14"/>
      <x v="8"/>
      <x v="2"/>
      <x v="39"/>
    </i>
    <i r="1">
      <x v="15"/>
      <x v="8"/>
      <x v="2"/>
      <x v="40"/>
    </i>
    <i r="2">
      <x v="9"/>
      <x v="2"/>
      <x v="40"/>
    </i>
    <i>
      <x v="6"/>
      <x v="12"/>
      <x/>
      <x v="2"/>
      <x v="12"/>
    </i>
    <i r="4">
      <x v="31"/>
    </i>
    <i r="2">
      <x v="1"/>
      <x v="2"/>
      <x v="14"/>
    </i>
    <i r="4">
      <x v="15"/>
    </i>
    <i r="4">
      <x v="16"/>
    </i>
    <i r="4">
      <x v="18"/>
    </i>
    <i r="4">
      <x v="19"/>
    </i>
    <i r="4">
      <x v="20"/>
    </i>
    <i r="4">
      <x v="21"/>
    </i>
    <i r="4">
      <x v="22"/>
    </i>
    <i r="4">
      <x v="23"/>
    </i>
    <i r="2">
      <x v="2"/>
      <x v="2"/>
      <x v="32"/>
    </i>
    <i r="4">
      <x v="33"/>
    </i>
    <i r="4">
      <x v="36"/>
    </i>
    <i>
      <x v="7"/>
      <x v="16"/>
      <x v="10"/>
      <x v="9"/>
      <x v="41"/>
    </i>
    <i r="1">
      <x v="17"/>
      <x v="10"/>
      <x v="10"/>
      <x v="42"/>
    </i>
    <i r="3">
      <x v="11"/>
      <x v="42"/>
    </i>
    <i r="3">
      <x v="12"/>
      <x v="42"/>
    </i>
    <i r="1">
      <x v="18"/>
      <x v="10"/>
      <x v="13"/>
      <x v="43"/>
    </i>
    <i r="3">
      <x v="14"/>
      <x v="43"/>
    </i>
    <i r="1">
      <x v="19"/>
      <x v="10"/>
      <x v="15"/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HC" fld="14" subtotal="count" baseField="0" baseItem="0"/>
    <dataField name="Average of HC" fld="14" subtotal="average" baseField="0" baseItem="0"/>
    <dataField name="Count of Alg" fld="15" subtotal="count" baseField="0" baseItem="0"/>
    <dataField name="Average of Alg" fld="1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12F79-E3E0-41D6-9ABC-8BE069991109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N4:S8" firstHeaderRow="0" firstDataRow="1" firstDataCol="1"/>
  <pivotFields count="11"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165" showAll="0"/>
    <pivotField dataField="1" numFmtId="165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ALG/(ALG+HC)" fld="10" subtotal="count" baseField="0" baseItem="0"/>
    <dataField name="Average of ALG" fld="8" subtotal="average" baseField="0" baseItem="1"/>
    <dataField name="StdDev of ALG" fld="8" subtotal="stdDev" baseField="0" baseItem="0"/>
    <dataField name="Average of ALG/(ALG+HC)2" fld="10" subtotal="average" baseField="0" baseItem="0"/>
    <dataField name="StdDev of ALG/(ALG+HC)3" fld="10" subtotal="stdDev" baseField="0" baseItem="0"/>
  </dataFields>
  <formats count="3">
    <format dxfId="12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1">
      <pivotArea collapsedLevelsAreSubtotals="1" fieldPosition="0">
        <references count="2">
          <reference field="4294967294" count="2" selected="0">
            <x v="3"/>
            <x v="4"/>
          </reference>
          <reference field="1" count="0"/>
        </references>
      </pivotArea>
    </format>
    <format dxfId="10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3504-4294-7F48-992F-973405A1A3DA}">
  <dimension ref="A3:AD124"/>
  <sheetViews>
    <sheetView zoomScaleNormal="100" workbookViewId="0">
      <selection activeCell="D129" sqref="D129"/>
    </sheetView>
  </sheetViews>
  <sheetFormatPr defaultColWidth="11" defaultRowHeight="15.5" x14ac:dyDescent="0.35"/>
  <cols>
    <col min="4" max="4" width="16.08203125" customWidth="1"/>
    <col min="6" max="6" width="18.75" customWidth="1"/>
    <col min="7" max="7" width="28" customWidth="1"/>
    <col min="10" max="11" width="10" customWidth="1"/>
  </cols>
  <sheetData>
    <row r="3" spans="1:16" x14ac:dyDescent="0.35">
      <c r="H3" t="s">
        <v>32</v>
      </c>
      <c r="I3" t="s">
        <v>52</v>
      </c>
      <c r="J3" t="s">
        <v>122</v>
      </c>
      <c r="K3" t="s">
        <v>121</v>
      </c>
      <c r="M3" t="s">
        <v>135</v>
      </c>
    </row>
    <row r="4" spans="1:16" x14ac:dyDescent="0.35">
      <c r="G4" t="s">
        <v>123</v>
      </c>
      <c r="H4" s="16">
        <f>AVERAGE(H$12:H$54)</f>
        <v>39.22999999999999</v>
      </c>
      <c r="I4" s="16">
        <f t="shared" ref="I4:J4" si="0">AVERAGE(I$12:I$54)</f>
        <v>24.443255813953488</v>
      </c>
      <c r="J4" s="16">
        <f t="shared" si="0"/>
        <v>0.73574561097542956</v>
      </c>
      <c r="K4" s="16">
        <f>AVERAGE(K$12:K$54)</f>
        <v>0.36347779504291355</v>
      </c>
      <c r="M4" t="s">
        <v>139</v>
      </c>
      <c r="N4" t="s">
        <v>136</v>
      </c>
      <c r="O4" t="s">
        <v>137</v>
      </c>
      <c r="P4" t="s">
        <v>138</v>
      </c>
    </row>
    <row r="5" spans="1:16" x14ac:dyDescent="0.35">
      <c r="G5" t="s">
        <v>126</v>
      </c>
      <c r="H5" s="16">
        <f>MEDIAN(H$12:H$54)</f>
        <v>40</v>
      </c>
      <c r="I5" s="16">
        <f t="shared" ref="I5:J5" si="1">MEDIAN(I$12:I$54)</f>
        <v>25.8</v>
      </c>
      <c r="J5" s="16">
        <f t="shared" si="1"/>
        <v>0.5252525252525253</v>
      </c>
      <c r="K5" s="16">
        <f>MEDIAN(K$12:K$54)</f>
        <v>0.3443708609271523</v>
      </c>
      <c r="M5" t="s">
        <v>5</v>
      </c>
      <c r="N5">
        <v>2</v>
      </c>
      <c r="O5">
        <v>4.1681973335782406E-2</v>
      </c>
      <c r="P5">
        <v>4.4092027519228208E-2</v>
      </c>
    </row>
    <row r="6" spans="1:16" x14ac:dyDescent="0.35">
      <c r="G6" t="s">
        <v>127</v>
      </c>
      <c r="H6" s="16">
        <f>STDEV(H$12:H$54)</f>
        <v>11.765797283409535</v>
      </c>
      <c r="I6" s="16">
        <f t="shared" ref="I6:K6" si="2">STDEV(I$12:I$54)</f>
        <v>14.931530830990191</v>
      </c>
      <c r="J6" s="16">
        <f t="shared" si="2"/>
        <v>0.60603570740227397</v>
      </c>
      <c r="K6" s="16">
        <f t="shared" si="2"/>
        <v>0.18852981326657539</v>
      </c>
      <c r="M6" t="s">
        <v>13</v>
      </c>
      <c r="N6">
        <v>10</v>
      </c>
      <c r="O6">
        <v>0.26600000000000001</v>
      </c>
      <c r="P6">
        <v>0.15596041317530346</v>
      </c>
    </row>
    <row r="7" spans="1:16" x14ac:dyDescent="0.35">
      <c r="G7" t="s">
        <v>124</v>
      </c>
      <c r="H7" s="16">
        <f>MIN(H$12:H$54)</f>
        <v>13.95</v>
      </c>
      <c r="I7" s="16">
        <f t="shared" ref="I7:K7" si="3">MIN(I$12:I$54)</f>
        <v>0.5</v>
      </c>
      <c r="J7" s="16">
        <f t="shared" si="3"/>
        <v>1.0615711252653927E-2</v>
      </c>
      <c r="K7" s="16">
        <f t="shared" si="3"/>
        <v>1.0504201680672268E-2</v>
      </c>
      <c r="M7" t="s">
        <v>120</v>
      </c>
      <c r="N7">
        <v>3</v>
      </c>
      <c r="O7">
        <v>0.28157096171802054</v>
      </c>
      <c r="P7">
        <v>3.875669791541745E-2</v>
      </c>
    </row>
    <row r="8" spans="1:16" x14ac:dyDescent="0.35">
      <c r="G8" t="s">
        <v>125</v>
      </c>
      <c r="H8" s="16">
        <f>MAX(H$12:H$54)</f>
        <v>64</v>
      </c>
      <c r="I8" s="16">
        <f t="shared" ref="I8:K8" si="4">MAX(I$12:I$54)</f>
        <v>55.71</v>
      </c>
      <c r="J8" s="16">
        <f t="shared" si="4"/>
        <v>2.6848192771084336</v>
      </c>
      <c r="K8" s="16">
        <f t="shared" si="4"/>
        <v>0.72861626994506923</v>
      </c>
      <c r="M8" t="s">
        <v>10</v>
      </c>
      <c r="N8">
        <v>8</v>
      </c>
      <c r="O8">
        <v>0.33704435639059993</v>
      </c>
      <c r="P8">
        <v>0.10189186039955475</v>
      </c>
    </row>
    <row r="9" spans="1:16" x14ac:dyDescent="0.35">
      <c r="M9" t="s">
        <v>7</v>
      </c>
      <c r="N9">
        <v>3</v>
      </c>
      <c r="O9">
        <v>0.34830748219685886</v>
      </c>
      <c r="P9">
        <v>0.17498849427780114</v>
      </c>
    </row>
    <row r="10" spans="1:16" x14ac:dyDescent="0.35">
      <c r="M10" t="s">
        <v>2</v>
      </c>
      <c r="N10">
        <v>20</v>
      </c>
      <c r="O10">
        <v>0.4929995097599017</v>
      </c>
      <c r="P10">
        <v>0.1424341364618863</v>
      </c>
    </row>
    <row r="11" spans="1:16" x14ac:dyDescent="0.35">
      <c r="A11" t="s">
        <v>252</v>
      </c>
      <c r="B11" t="s">
        <v>128</v>
      </c>
      <c r="C11" t="s">
        <v>0</v>
      </c>
      <c r="D11" t="s">
        <v>20</v>
      </c>
      <c r="E11" t="s">
        <v>16</v>
      </c>
      <c r="F11" t="s">
        <v>22</v>
      </c>
      <c r="G11" t="s">
        <v>21</v>
      </c>
      <c r="H11" t="s">
        <v>32</v>
      </c>
      <c r="I11" t="s">
        <v>52</v>
      </c>
      <c r="J11" t="s">
        <v>122</v>
      </c>
      <c r="K11" t="s">
        <v>121</v>
      </c>
    </row>
    <row r="12" spans="1:16" x14ac:dyDescent="0.35">
      <c r="A12" t="s">
        <v>244</v>
      </c>
      <c r="B12">
        <v>2</v>
      </c>
      <c r="C12" t="s">
        <v>5</v>
      </c>
      <c r="D12" t="s">
        <v>53</v>
      </c>
      <c r="E12">
        <v>1999</v>
      </c>
      <c r="F12" t="s">
        <v>4</v>
      </c>
      <c r="G12" t="s">
        <v>54</v>
      </c>
      <c r="H12">
        <v>47.1</v>
      </c>
      <c r="I12">
        <v>0.5</v>
      </c>
      <c r="J12" s="15">
        <f t="shared" ref="J12:J58" si="5">I12/H12</f>
        <v>1.0615711252653927E-2</v>
      </c>
      <c r="K12" s="15">
        <f t="shared" ref="K12:K58" si="6">I12/(H12+I12)</f>
        <v>1.0504201680672268E-2</v>
      </c>
      <c r="M12" t="s">
        <v>140</v>
      </c>
      <c r="N12">
        <v>42</v>
      </c>
      <c r="O12">
        <v>0.3719622716746292</v>
      </c>
      <c r="P12">
        <v>0.18539124532363049</v>
      </c>
    </row>
    <row r="13" spans="1:16" x14ac:dyDescent="0.35">
      <c r="A13" t="s">
        <v>249</v>
      </c>
      <c r="B13">
        <v>1</v>
      </c>
      <c r="C13" t="s">
        <v>13</v>
      </c>
      <c r="D13" t="s">
        <v>4</v>
      </c>
      <c r="E13">
        <v>1997</v>
      </c>
      <c r="F13" t="s">
        <v>4</v>
      </c>
      <c r="G13" t="s">
        <v>92</v>
      </c>
      <c r="H13">
        <v>53.11</v>
      </c>
      <c r="I13">
        <v>2.94</v>
      </c>
      <c r="J13" s="15">
        <f t="shared" si="5"/>
        <v>5.5356806627753719E-2</v>
      </c>
      <c r="K13" s="15">
        <f t="shared" si="6"/>
        <v>5.2453166815343448E-2</v>
      </c>
    </row>
    <row r="14" spans="1:16" x14ac:dyDescent="0.35">
      <c r="A14" t="s">
        <v>245</v>
      </c>
      <c r="B14">
        <v>2</v>
      </c>
      <c r="C14" t="s">
        <v>5</v>
      </c>
      <c r="D14" t="s">
        <v>48</v>
      </c>
      <c r="E14">
        <v>1999</v>
      </c>
      <c r="F14" t="s">
        <v>4</v>
      </c>
      <c r="G14" t="s">
        <v>49</v>
      </c>
      <c r="H14">
        <v>50.9</v>
      </c>
      <c r="I14">
        <v>4</v>
      </c>
      <c r="J14" s="15">
        <f t="shared" si="5"/>
        <v>7.8585461689587424E-2</v>
      </c>
      <c r="K14" s="15">
        <f t="shared" si="6"/>
        <v>7.2859744990892539E-2</v>
      </c>
      <c r="M14">
        <v>1</v>
      </c>
      <c r="N14">
        <v>26</v>
      </c>
      <c r="O14">
        <v>0.42127158772282386</v>
      </c>
      <c r="P14">
        <v>0.19524049952793046</v>
      </c>
    </row>
    <row r="15" spans="1:16" x14ac:dyDescent="0.35">
      <c r="A15" t="s">
        <v>249</v>
      </c>
      <c r="B15">
        <v>1</v>
      </c>
      <c r="C15" t="s">
        <v>13</v>
      </c>
      <c r="D15" t="s">
        <v>4</v>
      </c>
      <c r="E15">
        <v>1997</v>
      </c>
      <c r="F15" t="s">
        <v>4</v>
      </c>
      <c r="G15" t="s">
        <v>90</v>
      </c>
      <c r="H15">
        <v>44.31</v>
      </c>
      <c r="I15">
        <v>3.88</v>
      </c>
      <c r="J15" s="15">
        <f t="shared" si="5"/>
        <v>8.7564883773414579E-2</v>
      </c>
      <c r="K15" s="15">
        <f t="shared" si="6"/>
        <v>8.0514629591201481E-2</v>
      </c>
      <c r="M15">
        <v>2</v>
      </c>
      <c r="N15">
        <v>16</v>
      </c>
      <c r="O15">
        <v>0.29183463309631263</v>
      </c>
      <c r="P15">
        <v>0.13910463947373297</v>
      </c>
    </row>
    <row r="16" spans="1:16" x14ac:dyDescent="0.35">
      <c r="A16" t="s">
        <v>249</v>
      </c>
      <c r="B16">
        <v>1</v>
      </c>
      <c r="C16" t="s">
        <v>13</v>
      </c>
      <c r="D16" t="s">
        <v>4</v>
      </c>
      <c r="E16">
        <v>1997</v>
      </c>
      <c r="F16" t="s">
        <v>4</v>
      </c>
      <c r="G16" t="s">
        <v>93</v>
      </c>
      <c r="H16">
        <v>51.85</v>
      </c>
      <c r="I16">
        <v>8.8699999999999992</v>
      </c>
      <c r="J16" s="15">
        <f t="shared" si="5"/>
        <v>0.17107039537126323</v>
      </c>
      <c r="K16" s="15">
        <f t="shared" si="6"/>
        <v>0.14608036890645584</v>
      </c>
    </row>
    <row r="17" spans="1:30" x14ac:dyDescent="0.35">
      <c r="A17" t="s">
        <v>249</v>
      </c>
      <c r="B17">
        <v>1</v>
      </c>
      <c r="C17" t="s">
        <v>13</v>
      </c>
      <c r="D17" t="s">
        <v>4</v>
      </c>
      <c r="E17">
        <v>1997</v>
      </c>
      <c r="F17" t="s">
        <v>4</v>
      </c>
      <c r="G17" t="s">
        <v>94</v>
      </c>
      <c r="H17">
        <v>13.95</v>
      </c>
      <c r="I17">
        <v>2.44</v>
      </c>
      <c r="J17" s="15">
        <f t="shared" si="5"/>
        <v>0.17491039426523297</v>
      </c>
      <c r="K17" s="15">
        <f t="shared" si="6"/>
        <v>0.14887126296522268</v>
      </c>
    </row>
    <row r="18" spans="1:30" x14ac:dyDescent="0.35">
      <c r="A18" t="s">
        <v>247</v>
      </c>
      <c r="B18">
        <v>3</v>
      </c>
      <c r="C18" t="s">
        <v>7</v>
      </c>
      <c r="D18" t="s">
        <v>82</v>
      </c>
      <c r="E18">
        <v>1999</v>
      </c>
      <c r="F18" t="s">
        <v>50</v>
      </c>
      <c r="G18" t="s">
        <v>83</v>
      </c>
      <c r="H18">
        <v>43</v>
      </c>
      <c r="I18">
        <v>8</v>
      </c>
      <c r="J18" s="15">
        <f t="shared" si="5"/>
        <v>0.18604651162790697</v>
      </c>
      <c r="K18" s="15">
        <f t="shared" si="6"/>
        <v>0.15686274509803921</v>
      </c>
    </row>
    <row r="19" spans="1:30" x14ac:dyDescent="0.35">
      <c r="A19" t="s">
        <v>249</v>
      </c>
      <c r="B19">
        <v>1</v>
      </c>
      <c r="C19" t="s">
        <v>2</v>
      </c>
      <c r="D19" t="s">
        <v>4</v>
      </c>
      <c r="E19">
        <v>1988</v>
      </c>
      <c r="F19" t="s">
        <v>4</v>
      </c>
      <c r="G19" t="s">
        <v>96</v>
      </c>
      <c r="H19">
        <v>41.7</v>
      </c>
      <c r="I19">
        <v>7.8</v>
      </c>
      <c r="J19" s="15">
        <f t="shared" si="5"/>
        <v>0.18705035971223019</v>
      </c>
      <c r="K19" s="15">
        <f t="shared" si="6"/>
        <v>0.15757575757575756</v>
      </c>
    </row>
    <row r="20" spans="1:30" x14ac:dyDescent="0.35">
      <c r="A20" t="s">
        <v>249</v>
      </c>
      <c r="B20">
        <v>1</v>
      </c>
      <c r="C20" t="s">
        <v>13</v>
      </c>
      <c r="D20" t="s">
        <v>4</v>
      </c>
      <c r="E20">
        <v>1997</v>
      </c>
      <c r="F20" t="s">
        <v>4</v>
      </c>
      <c r="G20" t="s">
        <v>91</v>
      </c>
      <c r="H20">
        <v>50.11</v>
      </c>
      <c r="I20">
        <v>10.97</v>
      </c>
      <c r="J20" s="15">
        <f t="shared" si="5"/>
        <v>0.21891837956495711</v>
      </c>
      <c r="K20" s="15">
        <f t="shared" si="6"/>
        <v>0.17960052390307796</v>
      </c>
    </row>
    <row r="21" spans="1:30" x14ac:dyDescent="0.35">
      <c r="A21" t="s">
        <v>247</v>
      </c>
      <c r="B21">
        <v>3</v>
      </c>
      <c r="C21" t="s">
        <v>10</v>
      </c>
      <c r="D21" t="s">
        <v>4</v>
      </c>
      <c r="E21">
        <v>1999</v>
      </c>
      <c r="F21" t="s">
        <v>119</v>
      </c>
      <c r="G21" t="s">
        <v>75</v>
      </c>
      <c r="H21">
        <v>32.5</v>
      </c>
      <c r="I21">
        <v>7.5</v>
      </c>
      <c r="J21" s="15">
        <f t="shared" si="5"/>
        <v>0.23076923076923078</v>
      </c>
      <c r="K21" s="15">
        <f t="shared" si="6"/>
        <v>0.1875</v>
      </c>
    </row>
    <row r="22" spans="1:30" x14ac:dyDescent="0.35">
      <c r="A22" t="s">
        <v>251</v>
      </c>
      <c r="B22">
        <v>2</v>
      </c>
      <c r="C22" t="s">
        <v>120</v>
      </c>
      <c r="D22" t="s">
        <v>59</v>
      </c>
      <c r="E22">
        <v>1998</v>
      </c>
      <c r="F22" t="s">
        <v>4</v>
      </c>
      <c r="G22" t="s">
        <v>63</v>
      </c>
      <c r="H22">
        <v>64</v>
      </c>
      <c r="I22" s="30">
        <v>9</v>
      </c>
      <c r="J22" s="15">
        <f t="shared" si="5"/>
        <v>0.140625</v>
      </c>
      <c r="K22" s="15">
        <f t="shared" si="6"/>
        <v>0.12328767123287671</v>
      </c>
    </row>
    <row r="23" spans="1:30" x14ac:dyDescent="0.35">
      <c r="A23" t="s">
        <v>247</v>
      </c>
      <c r="B23">
        <v>3</v>
      </c>
      <c r="C23" t="s">
        <v>10</v>
      </c>
      <c r="D23" t="s">
        <v>4</v>
      </c>
      <c r="E23">
        <v>1999</v>
      </c>
      <c r="F23" t="s">
        <v>81</v>
      </c>
      <c r="G23" t="s">
        <v>80</v>
      </c>
      <c r="H23">
        <v>53.5</v>
      </c>
      <c r="I23">
        <v>16.5</v>
      </c>
      <c r="J23" s="15">
        <f t="shared" si="5"/>
        <v>0.30841121495327101</v>
      </c>
      <c r="K23" s="15">
        <f t="shared" si="6"/>
        <v>0.23571428571428571</v>
      </c>
      <c r="Z23" t="s">
        <v>129</v>
      </c>
    </row>
    <row r="24" spans="1:30" x14ac:dyDescent="0.35">
      <c r="B24">
        <v>3</v>
      </c>
      <c r="D24" t="s">
        <v>67</v>
      </c>
      <c r="E24">
        <v>1999</v>
      </c>
      <c r="F24" t="s">
        <v>6</v>
      </c>
      <c r="G24" t="s">
        <v>68</v>
      </c>
      <c r="H24">
        <v>54.1</v>
      </c>
      <c r="I24">
        <v>21.3</v>
      </c>
      <c r="J24" s="15">
        <f t="shared" si="5"/>
        <v>0.39371534195933455</v>
      </c>
      <c r="K24" s="15">
        <f t="shared" si="6"/>
        <v>0.28249336870026526</v>
      </c>
      <c r="L24" t="s">
        <v>315</v>
      </c>
    </row>
    <row r="25" spans="1:30" x14ac:dyDescent="0.35">
      <c r="A25" t="s">
        <v>251</v>
      </c>
      <c r="B25">
        <v>2</v>
      </c>
      <c r="C25" t="s">
        <v>120</v>
      </c>
      <c r="D25" t="s">
        <v>59</v>
      </c>
      <c r="E25">
        <v>1998</v>
      </c>
      <c r="F25" t="s">
        <v>4</v>
      </c>
      <c r="G25" t="s">
        <v>60</v>
      </c>
      <c r="H25">
        <v>48</v>
      </c>
      <c r="I25">
        <v>20</v>
      </c>
      <c r="J25" s="15">
        <f t="shared" si="5"/>
        <v>0.41666666666666669</v>
      </c>
      <c r="K25" s="15">
        <f t="shared" si="6"/>
        <v>0.29411764705882354</v>
      </c>
      <c r="AA25" t="s">
        <v>122</v>
      </c>
      <c r="AD25" t="s">
        <v>121</v>
      </c>
    </row>
    <row r="26" spans="1:30" x14ac:dyDescent="0.35">
      <c r="A26" t="s">
        <v>249</v>
      </c>
      <c r="B26">
        <v>1</v>
      </c>
      <c r="C26" t="s">
        <v>2</v>
      </c>
      <c r="D26" t="s">
        <v>4</v>
      </c>
      <c r="E26">
        <v>1994</v>
      </c>
      <c r="F26" t="s">
        <v>4</v>
      </c>
      <c r="G26" t="s">
        <v>108</v>
      </c>
      <c r="H26">
        <v>32</v>
      </c>
      <c r="I26">
        <v>13.5</v>
      </c>
      <c r="J26" s="15">
        <f t="shared" si="5"/>
        <v>0.421875</v>
      </c>
      <c r="K26" s="15">
        <f t="shared" si="6"/>
        <v>0.2967032967032967</v>
      </c>
      <c r="Z26">
        <v>0.2</v>
      </c>
      <c r="AA26" cm="1">
        <f t="array" ref="AA26:AA40">FREQUENCY(J$12:J$54,Z26:Z39)</f>
        <v>9</v>
      </c>
      <c r="AC26">
        <v>0.05</v>
      </c>
      <c r="AD26" cm="1">
        <f t="array" ref="AD26:AD41">FREQUENCY(K$12:K$54,AC26:AC40)</f>
        <v>1</v>
      </c>
    </row>
    <row r="27" spans="1:30" x14ac:dyDescent="0.35">
      <c r="A27" t="s">
        <v>247</v>
      </c>
      <c r="B27">
        <v>3</v>
      </c>
      <c r="C27" t="s">
        <v>10</v>
      </c>
      <c r="D27" t="s">
        <v>65</v>
      </c>
      <c r="E27">
        <v>1999</v>
      </c>
      <c r="F27" t="s">
        <v>6</v>
      </c>
      <c r="G27" t="s">
        <v>66</v>
      </c>
      <c r="H27">
        <v>35.5</v>
      </c>
      <c r="I27">
        <v>15.3</v>
      </c>
      <c r="J27" s="15">
        <f t="shared" si="5"/>
        <v>0.43098591549295778</v>
      </c>
      <c r="K27" s="15">
        <f t="shared" si="6"/>
        <v>0.30118110236220474</v>
      </c>
      <c r="Z27">
        <v>0.4</v>
      </c>
      <c r="AA27">
        <v>6</v>
      </c>
      <c r="AC27">
        <v>0.1</v>
      </c>
      <c r="AD27">
        <v>3</v>
      </c>
    </row>
    <row r="28" spans="1:30" x14ac:dyDescent="0.35">
      <c r="A28" t="s">
        <v>250</v>
      </c>
      <c r="B28">
        <v>2</v>
      </c>
      <c r="C28" t="s">
        <v>120</v>
      </c>
      <c r="D28" t="s">
        <v>56</v>
      </c>
      <c r="E28">
        <v>1997</v>
      </c>
      <c r="F28" t="s">
        <v>4</v>
      </c>
      <c r="G28" t="s">
        <v>57</v>
      </c>
      <c r="H28">
        <v>33</v>
      </c>
      <c r="I28">
        <v>15</v>
      </c>
      <c r="J28" s="15">
        <f t="shared" si="5"/>
        <v>0.45454545454545453</v>
      </c>
      <c r="K28" s="15">
        <f t="shared" si="6"/>
        <v>0.3125</v>
      </c>
      <c r="Z28">
        <v>0.6</v>
      </c>
      <c r="AA28">
        <v>7</v>
      </c>
      <c r="AC28">
        <v>0.15</v>
      </c>
      <c r="AD28">
        <v>3</v>
      </c>
    </row>
    <row r="29" spans="1:30" x14ac:dyDescent="0.35">
      <c r="A29" t="s">
        <v>247</v>
      </c>
      <c r="B29">
        <v>3</v>
      </c>
      <c r="C29" t="s">
        <v>10</v>
      </c>
      <c r="D29" t="s">
        <v>4</v>
      </c>
      <c r="E29">
        <v>1999</v>
      </c>
      <c r="F29" t="s">
        <v>76</v>
      </c>
      <c r="G29" t="s">
        <v>75</v>
      </c>
      <c r="H29">
        <v>53.2</v>
      </c>
      <c r="I29">
        <v>16.8</v>
      </c>
      <c r="J29" s="15">
        <f t="shared" si="5"/>
        <v>0.31578947368421051</v>
      </c>
      <c r="K29" s="15">
        <f t="shared" si="6"/>
        <v>0.24000000000000002</v>
      </c>
      <c r="Z29">
        <v>0.8</v>
      </c>
      <c r="AA29">
        <v>4</v>
      </c>
      <c r="AC29">
        <v>0.2</v>
      </c>
      <c r="AD29">
        <v>4</v>
      </c>
    </row>
    <row r="30" spans="1:30" x14ac:dyDescent="0.35">
      <c r="A30" t="s">
        <v>247</v>
      </c>
      <c r="B30">
        <v>3</v>
      </c>
      <c r="C30" t="s">
        <v>10</v>
      </c>
      <c r="D30" t="s">
        <v>67</v>
      </c>
      <c r="E30">
        <v>1999</v>
      </c>
      <c r="F30" t="s">
        <v>50</v>
      </c>
      <c r="G30" t="s">
        <v>68</v>
      </c>
      <c r="H30">
        <v>59.8</v>
      </c>
      <c r="I30">
        <v>31</v>
      </c>
      <c r="J30" s="15">
        <f t="shared" si="5"/>
        <v>0.51839464882943143</v>
      </c>
      <c r="K30" s="15">
        <f t="shared" si="6"/>
        <v>0.34140969162995594</v>
      </c>
      <c r="Z30">
        <v>1</v>
      </c>
      <c r="AA30">
        <v>5</v>
      </c>
      <c r="AC30">
        <v>0.25</v>
      </c>
      <c r="AD30">
        <v>2</v>
      </c>
    </row>
    <row r="31" spans="1:30" x14ac:dyDescent="0.35">
      <c r="A31" t="s">
        <v>249</v>
      </c>
      <c r="B31">
        <v>1</v>
      </c>
      <c r="C31" t="s">
        <v>2</v>
      </c>
      <c r="D31" t="s">
        <v>4</v>
      </c>
      <c r="E31">
        <v>1993</v>
      </c>
      <c r="F31" t="s">
        <v>4</v>
      </c>
      <c r="G31" t="s">
        <v>106</v>
      </c>
      <c r="H31">
        <v>27.3</v>
      </c>
      <c r="I31">
        <v>14.3</v>
      </c>
      <c r="J31" s="15">
        <f t="shared" si="5"/>
        <v>0.52380952380952384</v>
      </c>
      <c r="K31" s="15">
        <f t="shared" si="6"/>
        <v>0.34375</v>
      </c>
      <c r="Z31">
        <v>1.2</v>
      </c>
      <c r="AA31">
        <v>5</v>
      </c>
      <c r="AC31">
        <v>0.3</v>
      </c>
      <c r="AD31">
        <v>4</v>
      </c>
    </row>
    <row r="32" spans="1:30" x14ac:dyDescent="0.35">
      <c r="A32" t="s">
        <v>249</v>
      </c>
      <c r="B32">
        <v>1</v>
      </c>
      <c r="C32" t="s">
        <v>2</v>
      </c>
      <c r="D32" t="s">
        <v>4</v>
      </c>
      <c r="E32">
        <v>1993</v>
      </c>
      <c r="F32" t="s">
        <v>4</v>
      </c>
      <c r="G32" t="s">
        <v>105</v>
      </c>
      <c r="H32">
        <v>49.5</v>
      </c>
      <c r="I32">
        <v>26</v>
      </c>
      <c r="J32" s="15">
        <f t="shared" si="5"/>
        <v>0.5252525252525253</v>
      </c>
      <c r="K32" s="15">
        <f t="shared" si="6"/>
        <v>0.3443708609271523</v>
      </c>
      <c r="Z32">
        <v>1.4</v>
      </c>
      <c r="AA32">
        <v>1</v>
      </c>
      <c r="AC32">
        <v>0.35</v>
      </c>
      <c r="AD32">
        <v>5</v>
      </c>
    </row>
    <row r="33" spans="1:30" x14ac:dyDescent="0.35">
      <c r="A33" t="s">
        <v>247</v>
      </c>
      <c r="B33">
        <v>3</v>
      </c>
      <c r="C33" t="s">
        <v>7</v>
      </c>
      <c r="D33" t="s">
        <v>82</v>
      </c>
      <c r="E33">
        <v>1999</v>
      </c>
      <c r="F33" t="s">
        <v>6</v>
      </c>
      <c r="G33" t="s">
        <v>83</v>
      </c>
      <c r="H33">
        <v>41</v>
      </c>
      <c r="I33">
        <v>26</v>
      </c>
      <c r="J33" s="15">
        <f t="shared" si="5"/>
        <v>0.63414634146341464</v>
      </c>
      <c r="K33" s="15">
        <f t="shared" si="6"/>
        <v>0.38805970149253732</v>
      </c>
      <c r="Z33">
        <v>1.6</v>
      </c>
      <c r="AA33">
        <v>2</v>
      </c>
      <c r="AC33">
        <v>0.4</v>
      </c>
      <c r="AD33">
        <v>3</v>
      </c>
    </row>
    <row r="34" spans="1:30" x14ac:dyDescent="0.35">
      <c r="A34" t="s">
        <v>249</v>
      </c>
      <c r="B34">
        <v>1</v>
      </c>
      <c r="C34" t="s">
        <v>2</v>
      </c>
      <c r="D34" t="s">
        <v>4</v>
      </c>
      <c r="E34">
        <v>1993</v>
      </c>
      <c r="F34" t="s">
        <v>4</v>
      </c>
      <c r="G34" t="s">
        <v>101</v>
      </c>
      <c r="H34">
        <v>37.5</v>
      </c>
      <c r="I34">
        <v>24.1</v>
      </c>
      <c r="J34" s="15">
        <f t="shared" si="5"/>
        <v>0.64266666666666672</v>
      </c>
      <c r="K34" s="15">
        <f t="shared" si="6"/>
        <v>0.39123376623376627</v>
      </c>
      <c r="Z34">
        <v>1.8</v>
      </c>
      <c r="AA34">
        <v>1</v>
      </c>
      <c r="AC34">
        <v>0.45</v>
      </c>
      <c r="AD34">
        <v>1</v>
      </c>
    </row>
    <row r="35" spans="1:30" x14ac:dyDescent="0.35">
      <c r="A35" t="s">
        <v>249</v>
      </c>
      <c r="B35">
        <v>1</v>
      </c>
      <c r="C35" t="s">
        <v>2</v>
      </c>
      <c r="D35" t="s">
        <v>4</v>
      </c>
      <c r="E35">
        <v>1994</v>
      </c>
      <c r="F35" t="s">
        <v>4</v>
      </c>
      <c r="G35" t="s">
        <v>109</v>
      </c>
      <c r="H35">
        <v>50</v>
      </c>
      <c r="I35">
        <v>32.4</v>
      </c>
      <c r="J35" s="15">
        <f t="shared" si="5"/>
        <v>0.64800000000000002</v>
      </c>
      <c r="K35" s="15">
        <f t="shared" si="6"/>
        <v>0.39320388349514557</v>
      </c>
      <c r="Z35">
        <v>2</v>
      </c>
      <c r="AA35">
        <v>1</v>
      </c>
      <c r="AC35">
        <v>0.5</v>
      </c>
      <c r="AD35">
        <v>5</v>
      </c>
    </row>
    <row r="36" spans="1:30" x14ac:dyDescent="0.35">
      <c r="A36" t="s">
        <v>247</v>
      </c>
      <c r="B36">
        <v>3</v>
      </c>
      <c r="C36" t="s">
        <v>10</v>
      </c>
      <c r="D36" t="s">
        <v>4</v>
      </c>
      <c r="E36">
        <v>1999</v>
      </c>
      <c r="F36" t="s">
        <v>118</v>
      </c>
      <c r="G36" t="s">
        <v>75</v>
      </c>
      <c r="H36">
        <v>50.4</v>
      </c>
      <c r="I36">
        <v>39.6</v>
      </c>
      <c r="J36" s="15">
        <f t="shared" si="5"/>
        <v>0.78571428571428581</v>
      </c>
      <c r="K36" s="15">
        <f t="shared" si="6"/>
        <v>0.44</v>
      </c>
      <c r="Z36">
        <v>2.2000000000000002</v>
      </c>
      <c r="AA36">
        <v>1</v>
      </c>
      <c r="AC36">
        <v>0.55000000000000004</v>
      </c>
      <c r="AD36">
        <v>5</v>
      </c>
    </row>
    <row r="37" spans="1:30" x14ac:dyDescent="0.35">
      <c r="A37" t="s">
        <v>249</v>
      </c>
      <c r="B37">
        <v>1</v>
      </c>
      <c r="C37" t="s">
        <v>2</v>
      </c>
      <c r="D37" t="s">
        <v>4</v>
      </c>
      <c r="E37">
        <v>1993</v>
      </c>
      <c r="F37" t="s">
        <v>4</v>
      </c>
      <c r="G37" t="s">
        <v>98</v>
      </c>
      <c r="H37">
        <v>40.6</v>
      </c>
      <c r="I37">
        <v>34.4</v>
      </c>
      <c r="J37" s="15">
        <f t="shared" si="5"/>
        <v>0.84729064039408863</v>
      </c>
      <c r="K37" s="15">
        <f t="shared" si="6"/>
        <v>0.45866666666666667</v>
      </c>
      <c r="Z37">
        <v>2.4</v>
      </c>
      <c r="AA37">
        <v>0</v>
      </c>
      <c r="AC37">
        <v>0.6</v>
      </c>
      <c r="AD37">
        <v>2</v>
      </c>
    </row>
    <row r="38" spans="1:30" x14ac:dyDescent="0.35">
      <c r="A38" t="s">
        <v>249</v>
      </c>
      <c r="B38">
        <v>1</v>
      </c>
      <c r="C38" t="s">
        <v>2</v>
      </c>
      <c r="D38" t="s">
        <v>29</v>
      </c>
      <c r="E38">
        <v>1998</v>
      </c>
      <c r="F38" t="s">
        <v>4</v>
      </c>
      <c r="G38" t="s">
        <v>30</v>
      </c>
      <c r="H38">
        <v>39.6</v>
      </c>
      <c r="I38">
        <v>35.5</v>
      </c>
      <c r="J38" s="15">
        <f t="shared" si="5"/>
        <v>0.89646464646464641</v>
      </c>
      <c r="K38" s="15">
        <f t="shared" si="6"/>
        <v>0.47270306258322242</v>
      </c>
      <c r="Z38">
        <v>2.6</v>
      </c>
      <c r="AA38">
        <v>0</v>
      </c>
      <c r="AC38">
        <v>0.65</v>
      </c>
      <c r="AD38">
        <v>3</v>
      </c>
    </row>
    <row r="39" spans="1:30" x14ac:dyDescent="0.35">
      <c r="A39" t="s">
        <v>249</v>
      </c>
      <c r="B39">
        <v>1</v>
      </c>
      <c r="C39" t="s">
        <v>2</v>
      </c>
      <c r="D39" t="s">
        <v>4</v>
      </c>
      <c r="E39">
        <v>1993</v>
      </c>
      <c r="F39" t="s">
        <v>4</v>
      </c>
      <c r="G39" t="s">
        <v>100</v>
      </c>
      <c r="H39">
        <v>28.7</v>
      </c>
      <c r="I39">
        <v>25.8</v>
      </c>
      <c r="J39" s="15">
        <f t="shared" si="5"/>
        <v>0.89895470383275267</v>
      </c>
      <c r="K39" s="15">
        <f t="shared" si="6"/>
        <v>0.47339449541284406</v>
      </c>
      <c r="Z39">
        <v>2.8</v>
      </c>
      <c r="AA39">
        <v>1</v>
      </c>
      <c r="AC39">
        <v>0.7</v>
      </c>
      <c r="AD39">
        <v>1</v>
      </c>
    </row>
    <row r="40" spans="1:30" x14ac:dyDescent="0.35">
      <c r="A40" t="s">
        <v>249</v>
      </c>
      <c r="B40">
        <v>1</v>
      </c>
      <c r="C40" t="s">
        <v>13</v>
      </c>
      <c r="D40" t="s">
        <v>4</v>
      </c>
      <c r="E40">
        <v>1997</v>
      </c>
      <c r="F40" t="s">
        <v>4</v>
      </c>
      <c r="G40" t="s">
        <v>43</v>
      </c>
      <c r="H40">
        <v>29.73</v>
      </c>
      <c r="I40">
        <v>28.06</v>
      </c>
      <c r="J40" s="15">
        <f t="shared" si="5"/>
        <v>0.94382778338378737</v>
      </c>
      <c r="K40" s="15">
        <f t="shared" si="6"/>
        <v>0.48555113341408546</v>
      </c>
      <c r="AA40">
        <v>0</v>
      </c>
      <c r="AC40">
        <v>0.75</v>
      </c>
      <c r="AD40">
        <v>1</v>
      </c>
    </row>
    <row r="41" spans="1:30" x14ac:dyDescent="0.35">
      <c r="A41" t="s">
        <v>247</v>
      </c>
      <c r="B41">
        <v>3</v>
      </c>
      <c r="C41" t="s">
        <v>7</v>
      </c>
      <c r="D41" t="s">
        <v>84</v>
      </c>
      <c r="E41">
        <v>1999</v>
      </c>
      <c r="F41" t="s">
        <v>8</v>
      </c>
      <c r="G41" t="s">
        <v>85</v>
      </c>
      <c r="H41">
        <v>30</v>
      </c>
      <c r="I41">
        <v>30</v>
      </c>
      <c r="J41" s="15">
        <f t="shared" si="5"/>
        <v>1</v>
      </c>
      <c r="K41" s="15">
        <f t="shared" si="6"/>
        <v>0.5</v>
      </c>
      <c r="AD41">
        <v>0</v>
      </c>
    </row>
    <row r="42" spans="1:30" x14ac:dyDescent="0.35">
      <c r="A42" t="s">
        <v>247</v>
      </c>
      <c r="B42">
        <v>3</v>
      </c>
      <c r="C42" t="s">
        <v>7</v>
      </c>
      <c r="D42" t="s">
        <v>84</v>
      </c>
      <c r="E42">
        <v>1999</v>
      </c>
      <c r="F42" t="s">
        <v>9</v>
      </c>
      <c r="G42" t="s">
        <v>85</v>
      </c>
      <c r="H42">
        <v>48</v>
      </c>
      <c r="I42">
        <v>17</v>
      </c>
      <c r="J42" s="15">
        <f t="shared" si="5"/>
        <v>0.35416666666666669</v>
      </c>
      <c r="K42" s="15">
        <f t="shared" si="6"/>
        <v>0.26153846153846155</v>
      </c>
    </row>
    <row r="43" spans="1:30" x14ac:dyDescent="0.35">
      <c r="A43" t="s">
        <v>249</v>
      </c>
      <c r="B43">
        <v>1</v>
      </c>
      <c r="C43" t="s">
        <v>2</v>
      </c>
      <c r="D43" t="s">
        <v>4</v>
      </c>
      <c r="E43">
        <v>1993</v>
      </c>
      <c r="F43" s="19" t="s">
        <v>4</v>
      </c>
      <c r="G43" s="19" t="s">
        <v>99</v>
      </c>
      <c r="H43" s="19">
        <v>40</v>
      </c>
      <c r="I43" s="19">
        <v>40.9</v>
      </c>
      <c r="J43" s="20">
        <f t="shared" si="5"/>
        <v>1.0225</v>
      </c>
      <c r="K43" s="20">
        <f t="shared" si="6"/>
        <v>0.50556242274412855</v>
      </c>
    </row>
    <row r="44" spans="1:30" x14ac:dyDescent="0.35">
      <c r="A44" t="s">
        <v>249</v>
      </c>
      <c r="B44">
        <v>1</v>
      </c>
      <c r="C44" t="s">
        <v>2</v>
      </c>
      <c r="D44" t="s">
        <v>4</v>
      </c>
      <c r="E44">
        <v>1993</v>
      </c>
      <c r="F44" s="19" t="s">
        <v>4</v>
      </c>
      <c r="G44" s="19" t="s">
        <v>104</v>
      </c>
      <c r="H44" s="19">
        <v>32.1</v>
      </c>
      <c r="I44" s="19">
        <v>33.299999999999997</v>
      </c>
      <c r="J44" s="20">
        <f t="shared" si="5"/>
        <v>1.0373831775700932</v>
      </c>
      <c r="K44" s="20">
        <f t="shared" si="6"/>
        <v>0.50917431192660545</v>
      </c>
    </row>
    <row r="45" spans="1:30" x14ac:dyDescent="0.35">
      <c r="A45" t="s">
        <v>249</v>
      </c>
      <c r="B45">
        <v>1</v>
      </c>
      <c r="C45" t="s">
        <v>2</v>
      </c>
      <c r="D45" t="s">
        <v>4</v>
      </c>
      <c r="E45">
        <v>1988</v>
      </c>
      <c r="F45" s="19" t="s">
        <v>4</v>
      </c>
      <c r="G45" s="19" t="s">
        <v>107</v>
      </c>
      <c r="H45" s="19">
        <v>31.1</v>
      </c>
      <c r="I45" s="19">
        <v>32.9</v>
      </c>
      <c r="J45" s="20">
        <f t="shared" si="5"/>
        <v>1.057877813504823</v>
      </c>
      <c r="K45" s="20">
        <f t="shared" si="6"/>
        <v>0.51406249999999998</v>
      </c>
    </row>
    <row r="46" spans="1:30" x14ac:dyDescent="0.35">
      <c r="A46" t="s">
        <v>249</v>
      </c>
      <c r="B46">
        <v>1</v>
      </c>
      <c r="C46" t="s">
        <v>2</v>
      </c>
      <c r="D46" t="s">
        <v>38</v>
      </c>
      <c r="E46">
        <v>1994</v>
      </c>
      <c r="F46" s="19" t="s">
        <v>4</v>
      </c>
      <c r="G46" s="19" t="s">
        <v>39</v>
      </c>
      <c r="H46" s="19">
        <v>35.700000000000003</v>
      </c>
      <c r="I46" s="19">
        <v>39.799999999999997</v>
      </c>
      <c r="J46" s="20">
        <f t="shared" si="5"/>
        <v>1.11484593837535</v>
      </c>
      <c r="K46" s="20">
        <f t="shared" si="6"/>
        <v>0.52715231788079464</v>
      </c>
    </row>
    <row r="47" spans="1:30" x14ac:dyDescent="0.35">
      <c r="A47" t="s">
        <v>247</v>
      </c>
      <c r="B47">
        <v>3</v>
      </c>
      <c r="C47" t="s">
        <v>10</v>
      </c>
      <c r="D47" t="s">
        <v>65</v>
      </c>
      <c r="E47">
        <v>1999</v>
      </c>
      <c r="F47" s="19" t="s">
        <v>50</v>
      </c>
      <c r="G47" s="19" t="s">
        <v>66</v>
      </c>
      <c r="H47" s="19">
        <v>40.6</v>
      </c>
      <c r="I47" s="19">
        <v>45.5</v>
      </c>
      <c r="J47" s="20">
        <f t="shared" si="5"/>
        <v>1.1206896551724137</v>
      </c>
      <c r="K47" s="20">
        <f t="shared" si="6"/>
        <v>0.52845528455284552</v>
      </c>
    </row>
    <row r="48" spans="1:30" x14ac:dyDescent="0.35">
      <c r="A48" t="s">
        <v>249</v>
      </c>
      <c r="B48">
        <v>1</v>
      </c>
      <c r="C48" t="s">
        <v>2</v>
      </c>
      <c r="D48" t="s">
        <v>4</v>
      </c>
      <c r="E48">
        <v>1993</v>
      </c>
      <c r="F48" s="19" t="s">
        <v>4</v>
      </c>
      <c r="G48" s="19" t="s">
        <v>103</v>
      </c>
      <c r="H48" s="19">
        <v>29.1</v>
      </c>
      <c r="I48" s="19">
        <v>39.1</v>
      </c>
      <c r="J48" s="20">
        <f t="shared" si="5"/>
        <v>1.3436426116838487</v>
      </c>
      <c r="K48" s="20">
        <f t="shared" si="6"/>
        <v>0.57331378299120239</v>
      </c>
    </row>
    <row r="49" spans="1:18" x14ac:dyDescent="0.35">
      <c r="A49" t="s">
        <v>249</v>
      </c>
      <c r="B49">
        <v>1</v>
      </c>
      <c r="C49" t="s">
        <v>2</v>
      </c>
      <c r="D49" t="s">
        <v>4</v>
      </c>
      <c r="E49">
        <v>1994</v>
      </c>
      <c r="F49" s="17" t="s">
        <v>4</v>
      </c>
      <c r="G49" s="17" t="s">
        <v>110</v>
      </c>
      <c r="H49" s="17">
        <v>19.2</v>
      </c>
      <c r="I49" s="17">
        <v>28.8</v>
      </c>
      <c r="J49" s="18">
        <f t="shared" si="5"/>
        <v>1.5</v>
      </c>
      <c r="K49" s="18">
        <f t="shared" si="6"/>
        <v>0.6</v>
      </c>
    </row>
    <row r="50" spans="1:18" x14ac:dyDescent="0.35">
      <c r="A50" t="s">
        <v>249</v>
      </c>
      <c r="B50">
        <v>1</v>
      </c>
      <c r="C50" t="s">
        <v>2</v>
      </c>
      <c r="D50" t="s">
        <v>4</v>
      </c>
      <c r="E50">
        <v>1993</v>
      </c>
      <c r="F50" s="17" t="s">
        <v>4</v>
      </c>
      <c r="G50" s="17" t="s">
        <v>102</v>
      </c>
      <c r="H50" s="17">
        <v>32</v>
      </c>
      <c r="I50" s="17">
        <v>48.8</v>
      </c>
      <c r="J50" s="18">
        <f t="shared" si="5"/>
        <v>1.5249999999999999</v>
      </c>
      <c r="K50" s="18">
        <f t="shared" si="6"/>
        <v>0.60396039603960394</v>
      </c>
    </row>
    <row r="51" spans="1:18" x14ac:dyDescent="0.35">
      <c r="A51" t="s">
        <v>249</v>
      </c>
      <c r="B51">
        <v>1</v>
      </c>
      <c r="C51" t="s">
        <v>2</v>
      </c>
      <c r="D51" t="s">
        <v>43</v>
      </c>
      <c r="E51">
        <v>1993</v>
      </c>
      <c r="F51" s="17" t="s">
        <v>4</v>
      </c>
      <c r="G51" s="17" t="s">
        <v>45</v>
      </c>
      <c r="H51" s="17">
        <v>25.33</v>
      </c>
      <c r="I51" s="17">
        <v>44.97</v>
      </c>
      <c r="J51" s="18">
        <f t="shared" si="5"/>
        <v>1.7753651796288985</v>
      </c>
      <c r="K51" s="18">
        <f t="shared" si="6"/>
        <v>0.63968705547652915</v>
      </c>
    </row>
    <row r="52" spans="1:18" x14ac:dyDescent="0.35">
      <c r="D52" t="s">
        <v>43</v>
      </c>
      <c r="E52">
        <v>1994</v>
      </c>
      <c r="F52" s="17" t="s">
        <v>4</v>
      </c>
      <c r="G52" s="17" t="s">
        <v>45</v>
      </c>
      <c r="H52" s="17">
        <v>24.2</v>
      </c>
      <c r="I52" s="17">
        <v>44.81</v>
      </c>
      <c r="J52" s="18">
        <f t="shared" si="5"/>
        <v>1.8516528925619835</v>
      </c>
      <c r="K52" s="18">
        <f t="shared" si="6"/>
        <v>0.64932618461092595</v>
      </c>
      <c r="N52" t="s">
        <v>259</v>
      </c>
    </row>
    <row r="53" spans="1:18" x14ac:dyDescent="0.35">
      <c r="A53" t="s">
        <v>249</v>
      </c>
      <c r="B53">
        <v>1</v>
      </c>
      <c r="C53" t="s">
        <v>2</v>
      </c>
      <c r="D53" t="s">
        <v>43</v>
      </c>
      <c r="E53">
        <v>1993</v>
      </c>
      <c r="F53" s="21" t="s">
        <v>4</v>
      </c>
      <c r="G53" s="21" t="s">
        <v>44</v>
      </c>
      <c r="H53" s="21">
        <v>22.85</v>
      </c>
      <c r="I53" s="21">
        <v>48.01</v>
      </c>
      <c r="J53" s="22">
        <f t="shared" si="5"/>
        <v>2.1010940919037195</v>
      </c>
      <c r="K53" s="22">
        <f t="shared" si="6"/>
        <v>0.67753316398532315</v>
      </c>
    </row>
    <row r="54" spans="1:18" x14ac:dyDescent="0.35">
      <c r="D54" t="s">
        <v>43</v>
      </c>
      <c r="E54">
        <v>1994</v>
      </c>
      <c r="F54" s="21" t="s">
        <v>4</v>
      </c>
      <c r="G54" s="21" t="s">
        <v>44</v>
      </c>
      <c r="H54" s="21">
        <v>20.75</v>
      </c>
      <c r="I54" s="21">
        <v>55.71</v>
      </c>
      <c r="J54" s="22">
        <f t="shared" si="5"/>
        <v>2.6848192771084336</v>
      </c>
      <c r="K54" s="22">
        <f t="shared" si="6"/>
        <v>0.72861626994506923</v>
      </c>
      <c r="N54" t="s">
        <v>259</v>
      </c>
    </row>
    <row r="55" spans="1:18" x14ac:dyDescent="0.35">
      <c r="A55" t="s">
        <v>249</v>
      </c>
      <c r="B55">
        <v>1</v>
      </c>
      <c r="C55" s="24" t="s">
        <v>13</v>
      </c>
      <c r="E55" s="24">
        <v>1995</v>
      </c>
      <c r="F55" s="28" t="s">
        <v>146</v>
      </c>
      <c r="G55" s="28" t="s">
        <v>147</v>
      </c>
      <c r="H55" s="17">
        <v>32.4</v>
      </c>
      <c r="I55" s="17">
        <v>48</v>
      </c>
      <c r="J55" s="18">
        <f t="shared" si="5"/>
        <v>1.4814814814814816</v>
      </c>
      <c r="K55" s="18">
        <f t="shared" si="6"/>
        <v>0.59701492537313428</v>
      </c>
    </row>
    <row r="56" spans="1:18" x14ac:dyDescent="0.35">
      <c r="A56" t="s">
        <v>249</v>
      </c>
      <c r="B56">
        <v>1</v>
      </c>
      <c r="C56" s="24" t="s">
        <v>13</v>
      </c>
      <c r="E56" s="24">
        <v>1995</v>
      </c>
      <c r="F56" s="28" t="s">
        <v>146</v>
      </c>
      <c r="G56" s="28" t="s">
        <v>151</v>
      </c>
      <c r="H56" s="17">
        <v>52.8</v>
      </c>
      <c r="I56" s="17">
        <v>28.4</v>
      </c>
      <c r="J56" s="18">
        <f t="shared" si="5"/>
        <v>0.53787878787878785</v>
      </c>
      <c r="K56" s="18">
        <f t="shared" si="6"/>
        <v>0.34975369458128081</v>
      </c>
    </row>
    <row r="57" spans="1:18" x14ac:dyDescent="0.35">
      <c r="A57" t="s">
        <v>249</v>
      </c>
      <c r="B57">
        <v>1</v>
      </c>
      <c r="C57" s="24" t="s">
        <v>13</v>
      </c>
      <c r="E57" s="24">
        <v>1996</v>
      </c>
      <c r="F57" s="28" t="s">
        <v>152</v>
      </c>
      <c r="G57" s="28" t="s">
        <v>152</v>
      </c>
      <c r="H57" s="17">
        <v>33.799999999999997</v>
      </c>
      <c r="I57" s="17">
        <v>52.9</v>
      </c>
      <c r="J57" s="18">
        <f t="shared" si="5"/>
        <v>1.5650887573964498</v>
      </c>
      <c r="K57" s="18">
        <f t="shared" si="6"/>
        <v>0.61014994232987319</v>
      </c>
    </row>
    <row r="58" spans="1:18" x14ac:dyDescent="0.35">
      <c r="A58" t="s">
        <v>248</v>
      </c>
      <c r="B58">
        <v>2</v>
      </c>
      <c r="C58" s="24" t="s">
        <v>13</v>
      </c>
      <c r="E58" s="24">
        <v>1991</v>
      </c>
      <c r="F58" s="28" t="s">
        <v>154</v>
      </c>
      <c r="G58" s="28" t="s">
        <v>155</v>
      </c>
      <c r="H58" s="17">
        <v>80</v>
      </c>
      <c r="I58" s="17">
        <v>1</v>
      </c>
      <c r="J58" s="18">
        <f t="shared" si="5"/>
        <v>1.2500000000000001E-2</v>
      </c>
      <c r="K58" s="18">
        <f t="shared" si="6"/>
        <v>1.2345679012345678E-2</v>
      </c>
    </row>
    <row r="59" spans="1:18" x14ac:dyDescent="0.35">
      <c r="A59" t="s">
        <v>247</v>
      </c>
      <c r="B59" s="30">
        <v>3</v>
      </c>
      <c r="C59" s="32" t="s">
        <v>7</v>
      </c>
      <c r="D59" s="30" t="s">
        <v>177</v>
      </c>
      <c r="E59" s="32">
        <v>1999</v>
      </c>
      <c r="F59" s="33"/>
      <c r="G59" s="30" t="s">
        <v>214</v>
      </c>
      <c r="H59" s="30">
        <v>63</v>
      </c>
      <c r="I59" s="30">
        <v>26</v>
      </c>
      <c r="J59" s="18">
        <f t="shared" ref="J59:J99" si="7">I59/H59</f>
        <v>0.41269841269841268</v>
      </c>
      <c r="K59" s="18">
        <f t="shared" ref="K59:K99" si="8">I59/(H59+I59)</f>
        <v>0.29213483146067415</v>
      </c>
    </row>
    <row r="60" spans="1:18" x14ac:dyDescent="0.35">
      <c r="A60" t="s">
        <v>247</v>
      </c>
      <c r="B60" s="30">
        <v>3</v>
      </c>
      <c r="C60" s="32" t="s">
        <v>7</v>
      </c>
      <c r="D60" s="30" t="s">
        <v>177</v>
      </c>
      <c r="E60" s="32">
        <v>1999</v>
      </c>
      <c r="F60" s="33"/>
      <c r="G60" s="30" t="s">
        <v>225</v>
      </c>
      <c r="H60" s="30">
        <v>88</v>
      </c>
      <c r="I60" s="30">
        <v>26</v>
      </c>
      <c r="J60" s="18">
        <f t="shared" si="7"/>
        <v>0.29545454545454547</v>
      </c>
      <c r="K60" s="18">
        <f t="shared" si="8"/>
        <v>0.22807017543859648</v>
      </c>
      <c r="R60">
        <f>11/42</f>
        <v>0.26190476190476192</v>
      </c>
    </row>
    <row r="61" spans="1:18" x14ac:dyDescent="0.35">
      <c r="A61" t="s">
        <v>247</v>
      </c>
      <c r="B61" s="30">
        <v>3</v>
      </c>
      <c r="C61" s="32" t="s">
        <v>7</v>
      </c>
      <c r="D61" s="30" t="s">
        <v>177</v>
      </c>
      <c r="E61" s="32">
        <v>1999</v>
      </c>
      <c r="F61" s="33"/>
      <c r="G61" s="30" t="s">
        <v>221</v>
      </c>
      <c r="H61" s="30">
        <v>40.5</v>
      </c>
      <c r="I61" s="30">
        <v>46</v>
      </c>
      <c r="J61" s="18">
        <f t="shared" si="7"/>
        <v>1.1358024691358024</v>
      </c>
      <c r="K61" s="18">
        <f t="shared" si="8"/>
        <v>0.53179190751445082</v>
      </c>
    </row>
    <row r="62" spans="1:18" x14ac:dyDescent="0.35">
      <c r="A62" t="s">
        <v>247</v>
      </c>
      <c r="B62" s="30">
        <v>3</v>
      </c>
      <c r="C62" s="32" t="s">
        <v>7</v>
      </c>
      <c r="D62" s="30" t="s">
        <v>177</v>
      </c>
      <c r="E62" s="32">
        <v>1999</v>
      </c>
      <c r="F62" s="33"/>
      <c r="G62" s="30" t="s">
        <v>217</v>
      </c>
      <c r="H62" s="30">
        <v>88</v>
      </c>
      <c r="I62" s="30">
        <v>11</v>
      </c>
      <c r="J62" s="18">
        <f t="shared" si="7"/>
        <v>0.125</v>
      </c>
      <c r="K62" s="18">
        <f t="shared" si="8"/>
        <v>0.1111111111111111</v>
      </c>
      <c r="P62" t="s">
        <v>130</v>
      </c>
    </row>
    <row r="63" spans="1:18" x14ac:dyDescent="0.35">
      <c r="A63" t="s">
        <v>247</v>
      </c>
      <c r="B63" s="30">
        <v>3</v>
      </c>
      <c r="C63" s="32" t="s">
        <v>7</v>
      </c>
      <c r="D63" s="30" t="s">
        <v>177</v>
      </c>
      <c r="E63" s="32">
        <v>1999</v>
      </c>
      <c r="F63" s="33"/>
      <c r="G63" s="30" t="s">
        <v>219</v>
      </c>
      <c r="H63" s="30">
        <v>63</v>
      </c>
      <c r="I63" s="30">
        <v>40.5</v>
      </c>
      <c r="J63" s="18">
        <f t="shared" si="7"/>
        <v>0.6428571428571429</v>
      </c>
      <c r="K63" s="18">
        <f t="shared" si="8"/>
        <v>0.39130434782608697</v>
      </c>
      <c r="P63" t="s">
        <v>131</v>
      </c>
    </row>
    <row r="64" spans="1:18" x14ac:dyDescent="0.35">
      <c r="A64" t="s">
        <v>247</v>
      </c>
      <c r="B64" s="30">
        <v>3</v>
      </c>
      <c r="C64" s="32" t="s">
        <v>7</v>
      </c>
      <c r="D64" s="30" t="s">
        <v>177</v>
      </c>
      <c r="E64" s="32">
        <v>1999</v>
      </c>
      <c r="F64" s="33"/>
      <c r="G64" s="30" t="s">
        <v>157</v>
      </c>
      <c r="H64" s="30">
        <v>20.5</v>
      </c>
      <c r="I64" s="30">
        <v>68.5</v>
      </c>
      <c r="J64" s="18">
        <f t="shared" si="7"/>
        <v>3.3414634146341462</v>
      </c>
      <c r="K64" s="18">
        <f t="shared" si="8"/>
        <v>0.7696629213483146</v>
      </c>
      <c r="P64" t="s">
        <v>141</v>
      </c>
    </row>
    <row r="65" spans="1:17" x14ac:dyDescent="0.35">
      <c r="A65" t="s">
        <v>247</v>
      </c>
      <c r="B65" s="30">
        <v>3</v>
      </c>
      <c r="C65" s="32" t="s">
        <v>7</v>
      </c>
      <c r="D65" s="30" t="s">
        <v>177</v>
      </c>
      <c r="E65" s="32">
        <v>1999</v>
      </c>
      <c r="F65" s="33"/>
      <c r="G65" s="30" t="s">
        <v>200</v>
      </c>
      <c r="H65" s="30">
        <v>20.5</v>
      </c>
      <c r="I65" s="30">
        <v>26</v>
      </c>
      <c r="J65" s="18">
        <f t="shared" si="7"/>
        <v>1.2682926829268293</v>
      </c>
      <c r="K65" s="18">
        <f t="shared" si="8"/>
        <v>0.55913978494623651</v>
      </c>
      <c r="P65" t="s">
        <v>143</v>
      </c>
    </row>
    <row r="66" spans="1:17" x14ac:dyDescent="0.35">
      <c r="A66" t="s">
        <v>247</v>
      </c>
      <c r="B66" s="30">
        <v>3</v>
      </c>
      <c r="C66" s="32" t="s">
        <v>7</v>
      </c>
      <c r="D66" s="30" t="s">
        <v>177</v>
      </c>
      <c r="E66" s="32">
        <v>1999</v>
      </c>
      <c r="F66" s="33"/>
      <c r="G66" s="30" t="s">
        <v>198</v>
      </c>
      <c r="H66" s="30">
        <v>20.5</v>
      </c>
      <c r="I66" s="30">
        <v>11</v>
      </c>
      <c r="J66" s="18">
        <f t="shared" si="7"/>
        <v>0.53658536585365857</v>
      </c>
      <c r="K66" s="18">
        <f t="shared" si="8"/>
        <v>0.34920634920634919</v>
      </c>
    </row>
    <row r="67" spans="1:17" x14ac:dyDescent="0.35">
      <c r="A67" t="s">
        <v>247</v>
      </c>
      <c r="B67" s="30">
        <v>3</v>
      </c>
      <c r="C67" s="32" t="s">
        <v>7</v>
      </c>
      <c r="D67" s="30" t="s">
        <v>177</v>
      </c>
      <c r="E67" s="32">
        <v>1999</v>
      </c>
      <c r="F67" s="33"/>
      <c r="G67" s="30" t="s">
        <v>196</v>
      </c>
      <c r="H67" s="30">
        <v>63</v>
      </c>
      <c r="I67" s="30">
        <v>20.5</v>
      </c>
      <c r="J67" s="18">
        <f t="shared" si="7"/>
        <v>0.32539682539682541</v>
      </c>
      <c r="K67" s="18">
        <f t="shared" si="8"/>
        <v>0.24550898203592814</v>
      </c>
      <c r="P67" t="s">
        <v>144</v>
      </c>
    </row>
    <row r="68" spans="1:17" x14ac:dyDescent="0.35">
      <c r="A68" t="s">
        <v>247</v>
      </c>
      <c r="B68" s="30">
        <v>3</v>
      </c>
      <c r="C68" s="32" t="s">
        <v>7</v>
      </c>
      <c r="D68" s="30" t="s">
        <v>177</v>
      </c>
      <c r="E68" s="32">
        <v>1999</v>
      </c>
      <c r="F68" s="33"/>
      <c r="G68" s="30" t="s">
        <v>224</v>
      </c>
      <c r="H68" s="30">
        <v>40.5</v>
      </c>
      <c r="I68" s="30">
        <v>41</v>
      </c>
      <c r="J68" s="18">
        <f t="shared" si="7"/>
        <v>1.0123456790123457</v>
      </c>
      <c r="K68" s="18">
        <f t="shared" si="8"/>
        <v>0.50306748466257667</v>
      </c>
    </row>
    <row r="69" spans="1:17" x14ac:dyDescent="0.35">
      <c r="A69" t="s">
        <v>247</v>
      </c>
      <c r="B69" s="30">
        <v>3</v>
      </c>
      <c r="C69" s="32" t="s">
        <v>7</v>
      </c>
      <c r="D69" s="30" t="s">
        <v>177</v>
      </c>
      <c r="E69" s="32">
        <v>1999</v>
      </c>
      <c r="F69" s="33"/>
      <c r="G69" s="30" t="s">
        <v>223</v>
      </c>
      <c r="H69" s="30">
        <v>20.5</v>
      </c>
      <c r="I69" s="30">
        <v>61</v>
      </c>
      <c r="J69" s="18">
        <f t="shared" si="7"/>
        <v>2.975609756097561</v>
      </c>
      <c r="K69" s="18">
        <f t="shared" si="8"/>
        <v>0.74846625766871167</v>
      </c>
    </row>
    <row r="70" spans="1:17" x14ac:dyDescent="0.35">
      <c r="A70" t="s">
        <v>247</v>
      </c>
      <c r="B70" s="30">
        <v>3</v>
      </c>
      <c r="C70" s="32" t="s">
        <v>7</v>
      </c>
      <c r="D70" s="30" t="s">
        <v>177</v>
      </c>
      <c r="E70" s="32">
        <v>1999</v>
      </c>
      <c r="F70" s="33"/>
      <c r="G70" s="30" t="s">
        <v>222</v>
      </c>
      <c r="H70" s="30">
        <v>20.5</v>
      </c>
      <c r="I70" s="30">
        <v>61</v>
      </c>
      <c r="J70" s="18">
        <f t="shared" si="7"/>
        <v>2.975609756097561</v>
      </c>
      <c r="K70" s="18">
        <f t="shared" si="8"/>
        <v>0.74846625766871167</v>
      </c>
    </row>
    <row r="71" spans="1:17" x14ac:dyDescent="0.35">
      <c r="A71" t="s">
        <v>247</v>
      </c>
      <c r="B71" s="30">
        <v>3</v>
      </c>
      <c r="C71" s="32" t="s">
        <v>7</v>
      </c>
      <c r="D71" s="30" t="s">
        <v>177</v>
      </c>
      <c r="E71" s="32">
        <v>1999</v>
      </c>
      <c r="F71" s="33"/>
      <c r="G71" s="30" t="s">
        <v>215</v>
      </c>
      <c r="H71" s="30">
        <v>20.5</v>
      </c>
      <c r="I71" s="30">
        <v>11</v>
      </c>
      <c r="J71" s="18">
        <f t="shared" si="7"/>
        <v>0.53658536585365857</v>
      </c>
      <c r="K71" s="18">
        <f t="shared" si="8"/>
        <v>0.34920634920634919</v>
      </c>
    </row>
    <row r="72" spans="1:17" x14ac:dyDescent="0.35">
      <c r="A72" t="s">
        <v>247</v>
      </c>
      <c r="B72" s="30">
        <v>3</v>
      </c>
      <c r="C72" s="32" t="s">
        <v>7</v>
      </c>
      <c r="D72" s="30" t="s">
        <v>177</v>
      </c>
      <c r="E72" s="32">
        <v>1999</v>
      </c>
      <c r="F72" s="33"/>
      <c r="G72" s="30" t="s">
        <v>227</v>
      </c>
      <c r="H72" s="30">
        <v>40.5</v>
      </c>
      <c r="I72" s="30">
        <v>41</v>
      </c>
      <c r="J72" s="18">
        <f t="shared" si="7"/>
        <v>1.0123456790123457</v>
      </c>
      <c r="K72" s="18">
        <f t="shared" si="8"/>
        <v>0.50306748466257667</v>
      </c>
      <c r="Q72">
        <f>5/6</f>
        <v>0.83333333333333337</v>
      </c>
    </row>
    <row r="73" spans="1:17" x14ac:dyDescent="0.35">
      <c r="A73" t="s">
        <v>247</v>
      </c>
      <c r="B73" s="30">
        <v>3</v>
      </c>
      <c r="C73" s="32" t="s">
        <v>7</v>
      </c>
      <c r="D73" s="30" t="s">
        <v>177</v>
      </c>
      <c r="E73" s="32">
        <v>1999</v>
      </c>
      <c r="F73" s="33"/>
      <c r="G73" s="30" t="s">
        <v>220</v>
      </c>
      <c r="H73" s="30">
        <v>63</v>
      </c>
      <c r="I73" s="30">
        <v>26</v>
      </c>
      <c r="J73" s="18">
        <f t="shared" si="7"/>
        <v>0.41269841269841268</v>
      </c>
      <c r="K73" s="18">
        <f t="shared" si="8"/>
        <v>0.29213483146067415</v>
      </c>
    </row>
    <row r="74" spans="1:17" x14ac:dyDescent="0.35">
      <c r="A74" t="s">
        <v>247</v>
      </c>
      <c r="B74" s="30">
        <v>3</v>
      </c>
      <c r="C74" s="32" t="s">
        <v>7</v>
      </c>
      <c r="D74" s="30" t="s">
        <v>177</v>
      </c>
      <c r="E74" s="32">
        <v>1999</v>
      </c>
      <c r="F74" s="33"/>
      <c r="G74" s="30" t="s">
        <v>184</v>
      </c>
      <c r="H74" s="30">
        <v>40.5</v>
      </c>
      <c r="I74" s="30">
        <v>11</v>
      </c>
      <c r="J74" s="18">
        <f t="shared" si="7"/>
        <v>0.27160493827160492</v>
      </c>
      <c r="K74" s="18">
        <f t="shared" si="8"/>
        <v>0.21359223300970873</v>
      </c>
    </row>
    <row r="75" spans="1:17" x14ac:dyDescent="0.35">
      <c r="A75" t="s">
        <v>247</v>
      </c>
      <c r="B75" s="30">
        <v>3</v>
      </c>
      <c r="C75" s="32" t="s">
        <v>7</v>
      </c>
      <c r="D75" s="30" t="s">
        <v>177</v>
      </c>
      <c r="E75" s="32">
        <v>1999</v>
      </c>
      <c r="F75" s="33"/>
      <c r="G75" s="30" t="s">
        <v>178</v>
      </c>
      <c r="H75" s="30">
        <v>63</v>
      </c>
      <c r="I75" s="30">
        <v>26</v>
      </c>
      <c r="J75" s="18">
        <f t="shared" si="7"/>
        <v>0.41269841269841268</v>
      </c>
      <c r="K75" s="18">
        <f t="shared" si="8"/>
        <v>0.29213483146067415</v>
      </c>
      <c r="P75" t="s">
        <v>142</v>
      </c>
    </row>
    <row r="76" spans="1:17" x14ac:dyDescent="0.35">
      <c r="A76" t="s">
        <v>247</v>
      </c>
      <c r="B76" s="30">
        <v>3</v>
      </c>
      <c r="C76" s="32" t="s">
        <v>7</v>
      </c>
      <c r="D76" s="30" t="s">
        <v>177</v>
      </c>
      <c r="E76" s="32">
        <v>1999</v>
      </c>
      <c r="F76" s="33"/>
      <c r="G76" s="30" t="s">
        <v>194</v>
      </c>
      <c r="H76" s="30">
        <v>20.5</v>
      </c>
      <c r="I76" s="30">
        <v>46</v>
      </c>
      <c r="J76" s="18">
        <f t="shared" si="7"/>
        <v>2.2439024390243905</v>
      </c>
      <c r="K76" s="18">
        <f t="shared" si="8"/>
        <v>0.69172932330827064</v>
      </c>
    </row>
    <row r="77" spans="1:17" x14ac:dyDescent="0.35">
      <c r="A77" t="s">
        <v>247</v>
      </c>
      <c r="B77" s="30">
        <v>3</v>
      </c>
      <c r="C77" s="32" t="s">
        <v>7</v>
      </c>
      <c r="D77" s="30" t="s">
        <v>177</v>
      </c>
      <c r="E77" s="32">
        <v>1999</v>
      </c>
      <c r="F77" s="33"/>
      <c r="G77" s="30" t="s">
        <v>182</v>
      </c>
      <c r="H77" s="30">
        <v>63</v>
      </c>
      <c r="I77" s="30">
        <v>11</v>
      </c>
      <c r="J77" s="18">
        <f t="shared" si="7"/>
        <v>0.17460317460317459</v>
      </c>
      <c r="K77" s="18">
        <f t="shared" si="8"/>
        <v>0.14864864864864866</v>
      </c>
    </row>
    <row r="78" spans="1:17" x14ac:dyDescent="0.35">
      <c r="A78" t="s">
        <v>247</v>
      </c>
      <c r="B78" s="30">
        <v>3</v>
      </c>
      <c r="C78" s="32" t="s">
        <v>7</v>
      </c>
      <c r="D78" s="30" t="s">
        <v>177</v>
      </c>
      <c r="E78" s="32">
        <v>1999</v>
      </c>
      <c r="F78" s="30" t="s">
        <v>204</v>
      </c>
      <c r="G78" s="30" t="s">
        <v>203</v>
      </c>
      <c r="H78" s="30">
        <v>88</v>
      </c>
      <c r="I78" s="30">
        <v>11</v>
      </c>
      <c r="J78" s="18">
        <f t="shared" si="7"/>
        <v>0.125</v>
      </c>
      <c r="K78" s="18">
        <f t="shared" si="8"/>
        <v>0.1111111111111111</v>
      </c>
    </row>
    <row r="79" spans="1:17" x14ac:dyDescent="0.35">
      <c r="A79" t="s">
        <v>247</v>
      </c>
      <c r="B79" s="30">
        <v>3</v>
      </c>
      <c r="C79" s="32" t="s">
        <v>7</v>
      </c>
      <c r="D79" s="30" t="s">
        <v>177</v>
      </c>
      <c r="E79" s="32">
        <v>1999</v>
      </c>
      <c r="F79" s="30" t="s">
        <v>205</v>
      </c>
      <c r="G79" s="30" t="s">
        <v>203</v>
      </c>
      <c r="H79" s="30">
        <v>40.5</v>
      </c>
      <c r="I79" s="30">
        <v>46</v>
      </c>
      <c r="J79" s="18">
        <f t="shared" si="7"/>
        <v>1.1358024691358024</v>
      </c>
      <c r="K79" s="18">
        <f t="shared" si="8"/>
        <v>0.53179190751445082</v>
      </c>
    </row>
    <row r="80" spans="1:17" x14ac:dyDescent="0.35">
      <c r="A80" t="s">
        <v>247</v>
      </c>
      <c r="B80" s="30">
        <v>3</v>
      </c>
      <c r="C80" s="32" t="s">
        <v>7</v>
      </c>
      <c r="D80" s="30" t="s">
        <v>177</v>
      </c>
      <c r="E80" s="32">
        <v>1999</v>
      </c>
      <c r="F80" s="30" t="s">
        <v>206</v>
      </c>
      <c r="G80" s="30" t="s">
        <v>203</v>
      </c>
      <c r="H80" s="30">
        <v>63</v>
      </c>
      <c r="I80" s="30">
        <v>46</v>
      </c>
      <c r="J80" s="18">
        <f t="shared" si="7"/>
        <v>0.73015873015873012</v>
      </c>
      <c r="K80" s="18">
        <f t="shared" si="8"/>
        <v>0.42201834862385323</v>
      </c>
    </row>
    <row r="81" spans="1:15" x14ac:dyDescent="0.35">
      <c r="A81" t="s">
        <v>247</v>
      </c>
      <c r="B81" s="30">
        <v>3</v>
      </c>
      <c r="C81" s="32" t="s">
        <v>7</v>
      </c>
      <c r="D81" s="30" t="s">
        <v>177</v>
      </c>
      <c r="E81" s="32">
        <v>1999</v>
      </c>
      <c r="F81" s="30" t="s">
        <v>207</v>
      </c>
      <c r="G81" s="30" t="s">
        <v>203</v>
      </c>
      <c r="H81" s="30">
        <v>63</v>
      </c>
      <c r="I81" s="30">
        <v>46</v>
      </c>
      <c r="J81" s="18">
        <f t="shared" si="7"/>
        <v>0.73015873015873012</v>
      </c>
      <c r="K81" s="18">
        <f t="shared" si="8"/>
        <v>0.42201834862385323</v>
      </c>
    </row>
    <row r="82" spans="1:15" x14ac:dyDescent="0.35">
      <c r="B82" s="30"/>
      <c r="C82" s="32"/>
      <c r="D82" s="30" t="s">
        <v>177</v>
      </c>
      <c r="E82" s="32">
        <v>1999</v>
      </c>
      <c r="F82" s="30" t="s">
        <v>201</v>
      </c>
      <c r="G82" s="30" t="s">
        <v>83</v>
      </c>
      <c r="H82" s="30">
        <v>20.5</v>
      </c>
      <c r="I82" s="30">
        <v>46</v>
      </c>
      <c r="J82" s="18">
        <f t="shared" si="7"/>
        <v>2.2439024390243905</v>
      </c>
      <c r="K82" s="18">
        <f t="shared" si="8"/>
        <v>0.69172932330827064</v>
      </c>
      <c r="L82" t="s">
        <v>229</v>
      </c>
    </row>
    <row r="83" spans="1:15" x14ac:dyDescent="0.35">
      <c r="B83" s="30"/>
      <c r="C83" s="32"/>
      <c r="D83" s="30" t="s">
        <v>177</v>
      </c>
      <c r="E83" s="32">
        <v>1999</v>
      </c>
      <c r="F83" s="30" t="s">
        <v>187</v>
      </c>
      <c r="G83" s="30" t="s">
        <v>83</v>
      </c>
      <c r="H83" s="30">
        <v>40.5</v>
      </c>
      <c r="I83" s="30">
        <v>0</v>
      </c>
      <c r="J83" s="18">
        <f t="shared" si="7"/>
        <v>0</v>
      </c>
      <c r="K83" s="18">
        <f t="shared" si="8"/>
        <v>0</v>
      </c>
    </row>
    <row r="84" spans="1:15" x14ac:dyDescent="0.35">
      <c r="B84" s="30"/>
      <c r="C84" s="32"/>
      <c r="D84" s="30" t="s">
        <v>177</v>
      </c>
      <c r="E84" s="32">
        <v>1999</v>
      </c>
      <c r="F84" s="30" t="s">
        <v>189</v>
      </c>
      <c r="G84" s="30" t="s">
        <v>83</v>
      </c>
      <c r="H84" s="30">
        <v>40.5</v>
      </c>
      <c r="I84" s="30">
        <v>11</v>
      </c>
      <c r="J84" s="18">
        <f t="shared" si="7"/>
        <v>0.27160493827160492</v>
      </c>
      <c r="K84" s="18">
        <f t="shared" si="8"/>
        <v>0.21359223300970873</v>
      </c>
    </row>
    <row r="85" spans="1:15" x14ac:dyDescent="0.35">
      <c r="B85" s="30"/>
      <c r="C85" s="32"/>
      <c r="D85" s="30" t="s">
        <v>177</v>
      </c>
      <c r="E85" s="32">
        <v>1999</v>
      </c>
      <c r="F85" s="30" t="s">
        <v>190</v>
      </c>
      <c r="G85" s="30" t="s">
        <v>83</v>
      </c>
      <c r="H85" s="30">
        <v>63</v>
      </c>
      <c r="I85" s="30">
        <v>46</v>
      </c>
      <c r="J85" s="18">
        <f t="shared" si="7"/>
        <v>0.73015873015873012</v>
      </c>
      <c r="K85" s="18">
        <f t="shared" si="8"/>
        <v>0.42201834862385323</v>
      </c>
    </row>
    <row r="86" spans="1:15" x14ac:dyDescent="0.35">
      <c r="B86" s="30"/>
      <c r="C86" s="32"/>
      <c r="D86" s="30" t="s">
        <v>177</v>
      </c>
      <c r="E86" s="32">
        <v>1999</v>
      </c>
      <c r="F86" s="30" t="s">
        <v>192</v>
      </c>
      <c r="G86" s="30" t="s">
        <v>83</v>
      </c>
      <c r="H86" s="30">
        <v>88</v>
      </c>
      <c r="I86" s="30">
        <v>11</v>
      </c>
      <c r="J86" s="18">
        <f t="shared" si="7"/>
        <v>0.125</v>
      </c>
      <c r="K86" s="18">
        <f t="shared" si="8"/>
        <v>0.1111111111111111</v>
      </c>
    </row>
    <row r="87" spans="1:15" x14ac:dyDescent="0.35">
      <c r="B87" s="30"/>
      <c r="C87" s="32"/>
      <c r="D87" s="30" t="s">
        <v>177</v>
      </c>
      <c r="E87" s="32">
        <v>1999</v>
      </c>
      <c r="F87" s="30" t="s">
        <v>193</v>
      </c>
      <c r="G87" s="30" t="s">
        <v>83</v>
      </c>
      <c r="H87" s="30">
        <v>63</v>
      </c>
      <c r="I87" s="30">
        <v>26</v>
      </c>
      <c r="J87" s="18">
        <f t="shared" si="7"/>
        <v>0.41269841269841268</v>
      </c>
      <c r="K87" s="18">
        <f t="shared" si="8"/>
        <v>0.29213483146067415</v>
      </c>
    </row>
    <row r="88" spans="1:15" x14ac:dyDescent="0.35">
      <c r="A88" t="s">
        <v>247</v>
      </c>
      <c r="B88" s="30">
        <v>3</v>
      </c>
      <c r="C88" s="32" t="s">
        <v>7</v>
      </c>
      <c r="D88" s="30" t="s">
        <v>177</v>
      </c>
      <c r="E88" s="32">
        <v>1999</v>
      </c>
      <c r="F88" s="30" t="s">
        <v>209</v>
      </c>
      <c r="G88" s="30" t="s">
        <v>208</v>
      </c>
      <c r="H88" s="30">
        <v>40.5</v>
      </c>
      <c r="I88" s="30">
        <v>46</v>
      </c>
      <c r="J88" s="18">
        <f t="shared" si="7"/>
        <v>1.1358024691358024</v>
      </c>
      <c r="K88" s="18">
        <f t="shared" si="8"/>
        <v>0.53179190751445082</v>
      </c>
    </row>
    <row r="89" spans="1:15" x14ac:dyDescent="0.35">
      <c r="A89" t="s">
        <v>247</v>
      </c>
      <c r="B89" s="30">
        <v>3</v>
      </c>
      <c r="C89" s="32" t="s">
        <v>7</v>
      </c>
      <c r="D89" s="30" t="s">
        <v>177</v>
      </c>
      <c r="E89" s="32">
        <v>1999</v>
      </c>
      <c r="F89" s="30" t="s">
        <v>211</v>
      </c>
      <c r="G89" s="30" t="s">
        <v>208</v>
      </c>
      <c r="H89" s="30">
        <v>63</v>
      </c>
      <c r="I89" s="30">
        <v>26</v>
      </c>
      <c r="J89" s="18">
        <f t="shared" si="7"/>
        <v>0.41269841269841268</v>
      </c>
      <c r="K89" s="18">
        <f t="shared" si="8"/>
        <v>0.29213483146067415</v>
      </c>
    </row>
    <row r="90" spans="1:15" x14ac:dyDescent="0.35">
      <c r="A90" t="s">
        <v>247</v>
      </c>
      <c r="B90" s="30">
        <v>3</v>
      </c>
      <c r="C90" s="32" t="s">
        <v>7</v>
      </c>
      <c r="D90" s="30" t="s">
        <v>177</v>
      </c>
      <c r="E90" s="32">
        <v>1999</v>
      </c>
      <c r="F90" s="30" t="s">
        <v>212</v>
      </c>
      <c r="G90" s="30" t="s">
        <v>208</v>
      </c>
      <c r="H90" s="30">
        <v>20.5</v>
      </c>
      <c r="I90" s="30">
        <v>61</v>
      </c>
      <c r="J90" s="18">
        <f t="shared" si="7"/>
        <v>2.975609756097561</v>
      </c>
      <c r="K90" s="18">
        <f t="shared" si="8"/>
        <v>0.74846625766871167</v>
      </c>
    </row>
    <row r="91" spans="1:15" x14ac:dyDescent="0.35">
      <c r="A91" t="s">
        <v>247</v>
      </c>
      <c r="B91" s="30">
        <v>3</v>
      </c>
      <c r="C91" s="32" t="s">
        <v>7</v>
      </c>
      <c r="D91" s="30" t="s">
        <v>177</v>
      </c>
      <c r="E91" s="32">
        <v>1999</v>
      </c>
      <c r="F91" s="30" t="s">
        <v>213</v>
      </c>
      <c r="G91" s="30" t="s">
        <v>208</v>
      </c>
      <c r="H91" s="30">
        <v>63</v>
      </c>
      <c r="I91" s="30">
        <v>20.5</v>
      </c>
      <c r="J91" s="18">
        <f t="shared" si="7"/>
        <v>0.32539682539682541</v>
      </c>
      <c r="K91" s="18">
        <f t="shared" si="8"/>
        <v>0.24550898203592814</v>
      </c>
    </row>
    <row r="92" spans="1:15" x14ac:dyDescent="0.35">
      <c r="A92" t="s">
        <v>243</v>
      </c>
      <c r="B92" s="30">
        <v>2</v>
      </c>
      <c r="C92" s="30" t="s">
        <v>159</v>
      </c>
      <c r="D92" s="30" t="s">
        <v>160</v>
      </c>
      <c r="E92" s="30">
        <v>2000</v>
      </c>
      <c r="F92" s="30" t="s">
        <v>163</v>
      </c>
      <c r="G92" s="30" t="s">
        <v>162</v>
      </c>
      <c r="H92" s="30">
        <v>85.6</v>
      </c>
      <c r="I92" s="30">
        <v>3.4</v>
      </c>
      <c r="J92" s="18">
        <f t="shared" si="7"/>
        <v>3.9719626168224303E-2</v>
      </c>
      <c r="K92" s="18">
        <f t="shared" si="8"/>
        <v>3.8202247191011236E-2</v>
      </c>
    </row>
    <row r="93" spans="1:15" x14ac:dyDescent="0.35">
      <c r="A93" t="s">
        <v>243</v>
      </c>
      <c r="B93" s="30">
        <v>2</v>
      </c>
      <c r="C93" s="30" t="s">
        <v>159</v>
      </c>
      <c r="D93" s="30" t="s">
        <v>164</v>
      </c>
      <c r="E93" s="30">
        <v>2000</v>
      </c>
      <c r="F93" s="30" t="s">
        <v>166</v>
      </c>
      <c r="G93" s="30" t="s">
        <v>165</v>
      </c>
      <c r="H93" s="30">
        <v>31.1</v>
      </c>
      <c r="I93" s="30">
        <v>55.5</v>
      </c>
      <c r="J93" s="18">
        <f t="shared" si="7"/>
        <v>1.7845659163987138</v>
      </c>
      <c r="K93" s="18">
        <f t="shared" si="8"/>
        <v>0.64087759815242495</v>
      </c>
      <c r="O93" t="s">
        <v>242</v>
      </c>
    </row>
    <row r="94" spans="1:15" x14ac:dyDescent="0.35">
      <c r="A94" t="s">
        <v>243</v>
      </c>
      <c r="B94" s="30">
        <v>2</v>
      </c>
      <c r="C94" s="30" t="s">
        <v>159</v>
      </c>
      <c r="D94" s="30"/>
      <c r="E94" s="30"/>
      <c r="F94" s="30" t="s">
        <v>167</v>
      </c>
      <c r="G94" s="30" t="s">
        <v>165</v>
      </c>
      <c r="H94" s="30">
        <v>61.8</v>
      </c>
      <c r="I94" s="30">
        <v>33.299999999999997</v>
      </c>
      <c r="J94" s="18">
        <f t="shared" si="7"/>
        <v>0.53883495145631066</v>
      </c>
      <c r="K94" s="18">
        <f t="shared" si="8"/>
        <v>0.35015772870662459</v>
      </c>
      <c r="O94" t="s">
        <v>243</v>
      </c>
    </row>
    <row r="95" spans="1:15" x14ac:dyDescent="0.35">
      <c r="A95" t="s">
        <v>243</v>
      </c>
      <c r="B95" s="30">
        <v>2</v>
      </c>
      <c r="C95" s="30" t="s">
        <v>159</v>
      </c>
      <c r="D95" s="30"/>
      <c r="E95" s="30"/>
      <c r="F95" s="30" t="s">
        <v>168</v>
      </c>
      <c r="G95" s="30" t="s">
        <v>165</v>
      </c>
      <c r="H95" s="30">
        <v>55.1</v>
      </c>
      <c r="I95" s="30">
        <v>26.8</v>
      </c>
      <c r="J95" s="18">
        <f t="shared" si="7"/>
        <v>0.48638838475499091</v>
      </c>
      <c r="K95" s="18">
        <f t="shared" si="8"/>
        <v>0.32722832722832723</v>
      </c>
      <c r="O95" t="s">
        <v>244</v>
      </c>
    </row>
    <row r="96" spans="1:15" x14ac:dyDescent="0.35">
      <c r="A96" t="s">
        <v>248</v>
      </c>
      <c r="B96" s="30">
        <v>2</v>
      </c>
      <c r="C96" s="30" t="s">
        <v>159</v>
      </c>
      <c r="D96" s="30" t="s">
        <v>169</v>
      </c>
      <c r="E96" s="30">
        <v>2000</v>
      </c>
      <c r="F96" s="30" t="s">
        <v>171</v>
      </c>
      <c r="G96" s="30" t="s">
        <v>170</v>
      </c>
      <c r="H96" s="30">
        <v>42.1</v>
      </c>
      <c r="I96" s="30">
        <v>29.7</v>
      </c>
      <c r="J96" s="18">
        <f t="shared" si="7"/>
        <v>0.70546318289786214</v>
      </c>
      <c r="K96" s="18">
        <f>I96/(H96+I96)</f>
        <v>0.41364902506963791</v>
      </c>
      <c r="O96" t="s">
        <v>245</v>
      </c>
    </row>
    <row r="97" spans="1:17" x14ac:dyDescent="0.35">
      <c r="A97" t="s">
        <v>248</v>
      </c>
      <c r="B97" s="30">
        <v>2</v>
      </c>
      <c r="C97" s="30" t="s">
        <v>159</v>
      </c>
      <c r="D97" s="30"/>
      <c r="E97" s="30"/>
      <c r="F97" s="30" t="s">
        <v>172</v>
      </c>
      <c r="G97" s="30" t="s">
        <v>170</v>
      </c>
      <c r="H97" s="30">
        <v>51.7</v>
      </c>
      <c r="I97" s="30">
        <v>17.2</v>
      </c>
      <c r="J97" s="18">
        <f t="shared" si="7"/>
        <v>0.33268858800773693</v>
      </c>
      <c r="K97" s="18">
        <f t="shared" si="8"/>
        <v>0.24963715529753264</v>
      </c>
      <c r="O97" t="s">
        <v>246</v>
      </c>
    </row>
    <row r="98" spans="1:17" x14ac:dyDescent="0.35">
      <c r="A98" t="s">
        <v>248</v>
      </c>
      <c r="B98" s="30">
        <v>2</v>
      </c>
      <c r="C98" s="30" t="s">
        <v>159</v>
      </c>
      <c r="D98" s="30" t="s">
        <v>173</v>
      </c>
      <c r="E98" s="30">
        <v>2000</v>
      </c>
      <c r="F98" s="30" t="s">
        <v>175</v>
      </c>
      <c r="G98" s="30" t="s">
        <v>174</v>
      </c>
      <c r="H98" s="30">
        <v>78.099999999999994</v>
      </c>
      <c r="I98" s="30">
        <v>12</v>
      </c>
      <c r="J98" s="18">
        <f t="shared" si="7"/>
        <v>0.15364916773367479</v>
      </c>
      <c r="K98" s="18">
        <f t="shared" si="8"/>
        <v>0.13318534961154274</v>
      </c>
      <c r="O98" t="s">
        <v>247</v>
      </c>
    </row>
    <row r="99" spans="1:17" x14ac:dyDescent="0.35">
      <c r="A99" t="s">
        <v>243</v>
      </c>
      <c r="B99" s="30">
        <v>2</v>
      </c>
      <c r="C99" s="30" t="s">
        <v>159</v>
      </c>
      <c r="F99" s="30" t="s">
        <v>238</v>
      </c>
      <c r="H99" s="30">
        <v>10.8</v>
      </c>
      <c r="I99" s="30">
        <v>74.3</v>
      </c>
      <c r="J99" s="18">
        <f t="shared" si="7"/>
        <v>6.8796296296296289</v>
      </c>
      <c r="K99" s="18">
        <f t="shared" si="8"/>
        <v>0.87309048178613402</v>
      </c>
      <c r="O99" t="s">
        <v>248</v>
      </c>
    </row>
    <row r="100" spans="1:17" x14ac:dyDescent="0.35">
      <c r="A100" t="s">
        <v>243</v>
      </c>
      <c r="B100" s="30">
        <v>2</v>
      </c>
      <c r="C100" s="30" t="s">
        <v>159</v>
      </c>
      <c r="F100" s="30" t="s">
        <v>239</v>
      </c>
      <c r="H100" s="30">
        <v>7.8</v>
      </c>
      <c r="I100" s="30">
        <v>77.099999999999994</v>
      </c>
      <c r="J100" s="18">
        <f t="shared" ref="J100:J103" si="9">I100/H100</f>
        <v>9.8846153846153832</v>
      </c>
      <c r="K100" s="18">
        <f t="shared" ref="K100:K103" si="10">I100/(H100+I100)</f>
        <v>0.90812720848056538</v>
      </c>
      <c r="O100" t="s">
        <v>249</v>
      </c>
    </row>
    <row r="101" spans="1:17" x14ac:dyDescent="0.35">
      <c r="A101" t="s">
        <v>243</v>
      </c>
      <c r="B101" s="30">
        <v>2</v>
      </c>
      <c r="C101" s="30" t="s">
        <v>159</v>
      </c>
      <c r="F101" s="30" t="s">
        <v>240</v>
      </c>
      <c r="H101" s="30">
        <v>90.6</v>
      </c>
      <c r="I101" s="30">
        <v>4</v>
      </c>
      <c r="J101" s="18">
        <f t="shared" si="9"/>
        <v>4.4150110375275942E-2</v>
      </c>
      <c r="K101" s="18">
        <f t="shared" si="10"/>
        <v>4.2283298097251586E-2</v>
      </c>
      <c r="O101" t="s">
        <v>250</v>
      </c>
    </row>
    <row r="102" spans="1:17" x14ac:dyDescent="0.35">
      <c r="A102" t="s">
        <v>248</v>
      </c>
      <c r="B102" s="30">
        <v>2</v>
      </c>
      <c r="C102" s="30" t="s">
        <v>159</v>
      </c>
      <c r="F102" s="30" t="s">
        <v>241</v>
      </c>
      <c r="H102">
        <v>31.8</v>
      </c>
      <c r="I102">
        <v>56</v>
      </c>
      <c r="J102" s="18">
        <f t="shared" si="9"/>
        <v>1.7610062893081762</v>
      </c>
      <c r="K102" s="18">
        <f t="shared" si="10"/>
        <v>0.63781321184510253</v>
      </c>
      <c r="O102" t="s">
        <v>251</v>
      </c>
    </row>
    <row r="103" spans="1:17" x14ac:dyDescent="0.35">
      <c r="A103" t="s">
        <v>251</v>
      </c>
      <c r="B103">
        <v>2</v>
      </c>
      <c r="C103" t="s">
        <v>120</v>
      </c>
      <c r="D103" t="s">
        <v>59</v>
      </c>
      <c r="E103">
        <v>1998</v>
      </c>
      <c r="F103" t="s">
        <v>4</v>
      </c>
      <c r="G103" s="30" t="s">
        <v>64</v>
      </c>
      <c r="H103" s="30">
        <v>29</v>
      </c>
      <c r="I103" s="30">
        <v>11</v>
      </c>
      <c r="J103" s="18">
        <f t="shared" si="9"/>
        <v>0.37931034482758619</v>
      </c>
      <c r="K103" s="18">
        <f t="shared" si="10"/>
        <v>0.27500000000000002</v>
      </c>
    </row>
    <row r="104" spans="1:17" x14ac:dyDescent="0.35">
      <c r="A104" t="s">
        <v>262</v>
      </c>
      <c r="B104">
        <v>2</v>
      </c>
      <c r="C104" t="s">
        <v>5</v>
      </c>
      <c r="D104" t="s">
        <v>50</v>
      </c>
      <c r="E104">
        <v>2001</v>
      </c>
      <c r="F104" t="s">
        <v>263</v>
      </c>
      <c r="G104" t="s">
        <v>264</v>
      </c>
      <c r="H104">
        <v>56.7</v>
      </c>
      <c r="I104">
        <v>14.4</v>
      </c>
      <c r="J104" s="18">
        <f t="shared" ref="J104:J124" si="11">I104/H104</f>
        <v>0.25396825396825395</v>
      </c>
      <c r="K104" s="18">
        <f t="shared" ref="K104:K123" si="12">I104/(H104+I104)</f>
        <v>0.20253164556962022</v>
      </c>
      <c r="N104" t="s">
        <v>31</v>
      </c>
      <c r="O104" t="s">
        <v>32</v>
      </c>
      <c r="P104">
        <v>56.7</v>
      </c>
      <c r="Q104">
        <v>56.7</v>
      </c>
    </row>
    <row r="105" spans="1:17" x14ac:dyDescent="0.35">
      <c r="A105" t="s">
        <v>242</v>
      </c>
      <c r="C105" t="s">
        <v>266</v>
      </c>
      <c r="D105" t="s">
        <v>50</v>
      </c>
      <c r="E105">
        <v>2002</v>
      </c>
      <c r="F105" t="s">
        <v>267</v>
      </c>
      <c r="G105" t="s">
        <v>268</v>
      </c>
      <c r="H105">
        <v>52.6</v>
      </c>
      <c r="I105">
        <v>20.7</v>
      </c>
      <c r="J105" s="18">
        <f t="shared" si="11"/>
        <v>0.39353612167300378</v>
      </c>
      <c r="K105" s="18">
        <f t="shared" si="12"/>
        <v>0.28240109140518416</v>
      </c>
      <c r="N105" t="s">
        <v>31</v>
      </c>
      <c r="O105" t="s">
        <v>32</v>
      </c>
      <c r="P105">
        <v>52.6</v>
      </c>
      <c r="Q105">
        <v>52.6</v>
      </c>
    </row>
    <row r="106" spans="1:17" x14ac:dyDescent="0.35">
      <c r="A106" t="s">
        <v>247</v>
      </c>
      <c r="B106">
        <v>3</v>
      </c>
      <c r="C106" t="s">
        <v>10</v>
      </c>
      <c r="D106" t="s">
        <v>6</v>
      </c>
      <c r="E106">
        <v>2000</v>
      </c>
      <c r="F106" t="s">
        <v>272</v>
      </c>
      <c r="G106" t="s">
        <v>273</v>
      </c>
      <c r="H106">
        <v>50.3</v>
      </c>
      <c r="I106">
        <v>9.4</v>
      </c>
      <c r="J106" s="18">
        <f t="shared" si="11"/>
        <v>0.18687872763419486</v>
      </c>
      <c r="K106" s="18">
        <f t="shared" si="12"/>
        <v>0.15745393634840874</v>
      </c>
      <c r="N106" t="s">
        <v>31</v>
      </c>
      <c r="O106" t="s">
        <v>32</v>
      </c>
      <c r="P106">
        <v>50.3</v>
      </c>
      <c r="Q106">
        <v>50.3</v>
      </c>
    </row>
    <row r="107" spans="1:17" x14ac:dyDescent="0.35">
      <c r="A107" t="s">
        <v>247</v>
      </c>
      <c r="B107">
        <v>3</v>
      </c>
      <c r="C107" t="s">
        <v>10</v>
      </c>
      <c r="D107" t="s">
        <v>50</v>
      </c>
      <c r="E107">
        <v>2000</v>
      </c>
      <c r="F107" t="s">
        <v>272</v>
      </c>
      <c r="G107" t="s">
        <v>273</v>
      </c>
      <c r="H107">
        <v>57.8</v>
      </c>
      <c r="I107">
        <v>31.8</v>
      </c>
      <c r="J107" s="18">
        <f t="shared" si="11"/>
        <v>0.55017301038062283</v>
      </c>
      <c r="K107" s="18">
        <f t="shared" si="12"/>
        <v>0.3549107142857143</v>
      </c>
      <c r="N107" t="s">
        <v>31</v>
      </c>
      <c r="O107" t="s">
        <v>32</v>
      </c>
      <c r="P107">
        <v>57.8</v>
      </c>
      <c r="Q107">
        <v>57.8</v>
      </c>
    </row>
    <row r="108" spans="1:17" x14ac:dyDescent="0.35">
      <c r="A108" t="s">
        <v>247</v>
      </c>
      <c r="B108">
        <v>3</v>
      </c>
      <c r="C108" t="s">
        <v>10</v>
      </c>
      <c r="D108" t="s">
        <v>6</v>
      </c>
      <c r="E108">
        <v>2000</v>
      </c>
      <c r="F108" t="s">
        <v>274</v>
      </c>
      <c r="G108" t="s">
        <v>275</v>
      </c>
      <c r="H108">
        <v>58.1</v>
      </c>
      <c r="I108">
        <v>18.899999999999999</v>
      </c>
      <c r="J108" s="18">
        <f t="shared" si="11"/>
        <v>0.3253012048192771</v>
      </c>
      <c r="K108" s="18">
        <f t="shared" si="12"/>
        <v>0.24545454545454543</v>
      </c>
      <c r="N108" t="s">
        <v>31</v>
      </c>
      <c r="O108" t="s">
        <v>32</v>
      </c>
      <c r="P108">
        <v>58.1</v>
      </c>
      <c r="Q108">
        <v>58.1</v>
      </c>
    </row>
    <row r="109" spans="1:17" x14ac:dyDescent="0.35">
      <c r="A109" t="s">
        <v>247</v>
      </c>
      <c r="C109" t="s">
        <v>7</v>
      </c>
      <c r="D109" t="s">
        <v>50</v>
      </c>
      <c r="E109">
        <v>2002</v>
      </c>
      <c r="F109" t="s">
        <v>276</v>
      </c>
      <c r="G109" t="s">
        <v>277</v>
      </c>
      <c r="H109">
        <v>62.9</v>
      </c>
      <c r="I109">
        <v>36.5</v>
      </c>
      <c r="J109" s="18">
        <f t="shared" si="11"/>
        <v>0.58028616852146264</v>
      </c>
      <c r="K109" s="18">
        <f t="shared" si="12"/>
        <v>0.36720321931589534</v>
      </c>
      <c r="N109" t="s">
        <v>31</v>
      </c>
      <c r="O109" t="s">
        <v>32</v>
      </c>
      <c r="P109">
        <v>62.9</v>
      </c>
      <c r="Q109">
        <v>62.9</v>
      </c>
    </row>
    <row r="110" spans="1:17" x14ac:dyDescent="0.35">
      <c r="A110" t="s">
        <v>249</v>
      </c>
      <c r="C110" t="s">
        <v>2</v>
      </c>
      <c r="E110" t="s">
        <v>280</v>
      </c>
      <c r="F110" t="s">
        <v>43</v>
      </c>
      <c r="G110" t="s">
        <v>281</v>
      </c>
      <c r="H110">
        <v>28.7</v>
      </c>
      <c r="I110">
        <v>1.2</v>
      </c>
      <c r="J110" s="18">
        <f t="shared" si="11"/>
        <v>4.1811846689895467E-2</v>
      </c>
      <c r="K110" s="18">
        <f t="shared" si="12"/>
        <v>4.0133779264214048E-2</v>
      </c>
      <c r="N110" t="s">
        <v>282</v>
      </c>
      <c r="O110" t="s">
        <v>32</v>
      </c>
      <c r="P110">
        <v>28.7</v>
      </c>
      <c r="Q110">
        <v>28.7</v>
      </c>
    </row>
    <row r="111" spans="1:17" x14ac:dyDescent="0.35">
      <c r="A111" t="s">
        <v>249</v>
      </c>
      <c r="C111" t="s">
        <v>2</v>
      </c>
      <c r="E111" t="s">
        <v>280</v>
      </c>
      <c r="F111" t="s">
        <v>284</v>
      </c>
      <c r="G111" t="s">
        <v>285</v>
      </c>
      <c r="H111">
        <v>28.2</v>
      </c>
      <c r="I111">
        <v>2.5</v>
      </c>
      <c r="J111" s="18">
        <f t="shared" si="11"/>
        <v>8.8652482269503549E-2</v>
      </c>
      <c r="K111" s="18">
        <f t="shared" si="12"/>
        <v>8.1433224755700334E-2</v>
      </c>
      <c r="N111" t="s">
        <v>282</v>
      </c>
      <c r="O111" t="s">
        <v>32</v>
      </c>
      <c r="P111">
        <v>28.2</v>
      </c>
      <c r="Q111">
        <v>28.2</v>
      </c>
    </row>
    <row r="112" spans="1:17" x14ac:dyDescent="0.35">
      <c r="A112" t="s">
        <v>249</v>
      </c>
      <c r="C112" t="s">
        <v>2</v>
      </c>
      <c r="E112" t="s">
        <v>280</v>
      </c>
      <c r="F112" t="s">
        <v>286</v>
      </c>
      <c r="G112" t="s">
        <v>287</v>
      </c>
      <c r="H112">
        <v>17.3</v>
      </c>
      <c r="I112">
        <v>3.3</v>
      </c>
      <c r="J112" s="18">
        <f t="shared" si="11"/>
        <v>0.19075144508670519</v>
      </c>
      <c r="K112" s="18">
        <f t="shared" si="12"/>
        <v>0.16019417475728154</v>
      </c>
      <c r="N112" t="s">
        <v>282</v>
      </c>
      <c r="O112" t="s">
        <v>32</v>
      </c>
      <c r="P112">
        <v>17.3</v>
      </c>
    </row>
    <row r="113" spans="1:18" x14ac:dyDescent="0.35">
      <c r="A113" t="s">
        <v>249</v>
      </c>
      <c r="C113" t="s">
        <v>2</v>
      </c>
      <c r="E113" t="s">
        <v>280</v>
      </c>
      <c r="F113" t="s">
        <v>286</v>
      </c>
      <c r="G113" t="s">
        <v>288</v>
      </c>
      <c r="H113">
        <v>47.599999999999994</v>
      </c>
      <c r="I113">
        <v>3.6</v>
      </c>
      <c r="J113" s="18">
        <f t="shared" si="11"/>
        <v>7.5630252100840345E-2</v>
      </c>
      <c r="K113" s="18">
        <f t="shared" si="12"/>
        <v>7.0312500000000014E-2</v>
      </c>
      <c r="N113" t="s">
        <v>282</v>
      </c>
      <c r="O113" t="s">
        <v>32</v>
      </c>
      <c r="P113">
        <v>47.599999999999994</v>
      </c>
    </row>
    <row r="114" spans="1:18" x14ac:dyDescent="0.35">
      <c r="A114" t="s">
        <v>262</v>
      </c>
      <c r="B114">
        <v>2</v>
      </c>
      <c r="C114" t="s">
        <v>5</v>
      </c>
      <c r="D114" t="s">
        <v>292</v>
      </c>
      <c r="E114">
        <v>1999</v>
      </c>
      <c r="F114" t="s">
        <v>290</v>
      </c>
      <c r="G114" t="s">
        <v>291</v>
      </c>
      <c r="H114">
        <v>54.800000000000004</v>
      </c>
      <c r="I114">
        <v>40.700000000000003</v>
      </c>
      <c r="J114" s="18">
        <f t="shared" si="11"/>
        <v>0.74270072992700731</v>
      </c>
      <c r="K114" s="18">
        <f t="shared" si="12"/>
        <v>0.42617801047120424</v>
      </c>
      <c r="M114">
        <v>8</v>
      </c>
      <c r="N114" t="s">
        <v>293</v>
      </c>
      <c r="O114" t="s">
        <v>32</v>
      </c>
      <c r="P114">
        <v>40.700000000000003</v>
      </c>
      <c r="Q114">
        <v>54.800000000000004</v>
      </c>
    </row>
    <row r="115" spans="1:18" x14ac:dyDescent="0.35">
      <c r="A115" t="s">
        <v>262</v>
      </c>
      <c r="B115">
        <v>2</v>
      </c>
      <c r="C115" t="s">
        <v>5</v>
      </c>
      <c r="D115" t="s">
        <v>298</v>
      </c>
      <c r="E115">
        <v>1999</v>
      </c>
      <c r="F115" t="s">
        <v>290</v>
      </c>
      <c r="G115" t="s">
        <v>297</v>
      </c>
      <c r="H115">
        <v>68.3</v>
      </c>
      <c r="I115">
        <v>10.199999999999999</v>
      </c>
      <c r="J115" s="18">
        <f t="shared" si="11"/>
        <v>0.14934114202049781</v>
      </c>
      <c r="K115" s="18">
        <f t="shared" si="12"/>
        <v>0.12993630573248408</v>
      </c>
      <c r="N115" t="s">
        <v>293</v>
      </c>
      <c r="O115" t="s">
        <v>32</v>
      </c>
      <c r="P115">
        <v>42.3</v>
      </c>
      <c r="Q115">
        <v>68.3</v>
      </c>
    </row>
    <row r="116" spans="1:18" x14ac:dyDescent="0.35">
      <c r="A116" t="s">
        <v>242</v>
      </c>
      <c r="C116" t="s">
        <v>266</v>
      </c>
      <c r="D116" t="s">
        <v>298</v>
      </c>
      <c r="E116">
        <v>1999</v>
      </c>
      <c r="F116" t="s">
        <v>299</v>
      </c>
      <c r="G116" t="s">
        <v>300</v>
      </c>
      <c r="H116">
        <v>55</v>
      </c>
      <c r="I116">
        <v>32</v>
      </c>
      <c r="J116" s="18">
        <f t="shared" si="11"/>
        <v>0.58181818181818179</v>
      </c>
      <c r="K116" s="18">
        <f t="shared" si="12"/>
        <v>0.36781609195402298</v>
      </c>
      <c r="M116">
        <v>1</v>
      </c>
      <c r="N116" t="s">
        <v>293</v>
      </c>
      <c r="O116" t="s">
        <v>32</v>
      </c>
      <c r="P116">
        <v>40</v>
      </c>
      <c r="Q116">
        <v>55</v>
      </c>
    </row>
    <row r="117" spans="1:18" x14ac:dyDescent="0.35">
      <c r="A117" t="s">
        <v>242</v>
      </c>
      <c r="C117" t="s">
        <v>266</v>
      </c>
      <c r="D117" t="s">
        <v>298</v>
      </c>
      <c r="E117">
        <v>1999</v>
      </c>
      <c r="F117" t="s">
        <v>301</v>
      </c>
      <c r="G117" t="s">
        <v>302</v>
      </c>
      <c r="H117">
        <v>54</v>
      </c>
      <c r="I117">
        <v>29</v>
      </c>
      <c r="J117" s="18">
        <f t="shared" si="11"/>
        <v>0.53703703703703709</v>
      </c>
      <c r="K117" s="18">
        <f t="shared" si="12"/>
        <v>0.3493975903614458</v>
      </c>
      <c r="M117">
        <v>1</v>
      </c>
      <c r="N117" t="s">
        <v>293</v>
      </c>
      <c r="O117" t="s">
        <v>32</v>
      </c>
      <c r="P117">
        <v>36</v>
      </c>
      <c r="Q117">
        <v>54</v>
      </c>
    </row>
    <row r="118" spans="1:18" x14ac:dyDescent="0.35">
      <c r="D118" t="s">
        <v>305</v>
      </c>
      <c r="E118">
        <v>1999</v>
      </c>
      <c r="F118" t="s">
        <v>75</v>
      </c>
      <c r="G118" t="s">
        <v>304</v>
      </c>
      <c r="H118">
        <v>50.4</v>
      </c>
      <c r="I118">
        <v>39.6</v>
      </c>
      <c r="J118" s="18">
        <f t="shared" si="11"/>
        <v>0.78571428571428581</v>
      </c>
      <c r="K118" s="18">
        <f t="shared" si="12"/>
        <v>0.44</v>
      </c>
      <c r="L118" t="s">
        <v>315</v>
      </c>
      <c r="M118">
        <v>12</v>
      </c>
      <c r="N118" t="s">
        <v>73</v>
      </c>
      <c r="O118" t="s">
        <v>32</v>
      </c>
      <c r="P118">
        <v>50</v>
      </c>
      <c r="Q118">
        <v>50.4</v>
      </c>
    </row>
    <row r="119" spans="1:18" x14ac:dyDescent="0.35">
      <c r="D119" t="s">
        <v>298</v>
      </c>
      <c r="E119">
        <v>1999</v>
      </c>
      <c r="F119" t="s">
        <v>75</v>
      </c>
      <c r="G119" t="s">
        <v>306</v>
      </c>
      <c r="H119">
        <v>32.5</v>
      </c>
      <c r="I119">
        <v>7.5</v>
      </c>
      <c r="J119" s="18">
        <f t="shared" si="11"/>
        <v>0.23076923076923078</v>
      </c>
      <c r="K119" s="18">
        <f t="shared" si="12"/>
        <v>0.1875</v>
      </c>
      <c r="L119" t="s">
        <v>315</v>
      </c>
      <c r="M119">
        <v>1</v>
      </c>
      <c r="N119" t="s">
        <v>73</v>
      </c>
      <c r="O119" t="s">
        <v>32</v>
      </c>
      <c r="P119">
        <v>30</v>
      </c>
      <c r="Q119">
        <v>32.5</v>
      </c>
    </row>
    <row r="120" spans="1:18" x14ac:dyDescent="0.35">
      <c r="A120" t="s">
        <v>242</v>
      </c>
      <c r="C120" t="s">
        <v>307</v>
      </c>
      <c r="D120" t="s">
        <v>298</v>
      </c>
      <c r="E120">
        <v>1999</v>
      </c>
      <c r="F120" t="s">
        <v>308</v>
      </c>
      <c r="G120" t="s">
        <v>6</v>
      </c>
      <c r="H120">
        <v>94.6</v>
      </c>
      <c r="I120">
        <v>2.5</v>
      </c>
      <c r="J120" s="18">
        <f t="shared" si="11"/>
        <v>2.6427061310782242E-2</v>
      </c>
      <c r="K120" s="18">
        <f t="shared" si="12"/>
        <v>2.5746652935118436E-2</v>
      </c>
      <c r="M120">
        <v>0.5</v>
      </c>
      <c r="N120" t="s">
        <v>309</v>
      </c>
      <c r="O120" t="s">
        <v>32</v>
      </c>
      <c r="P120">
        <v>4.5999999999999996</v>
      </c>
      <c r="Q120">
        <v>94.6</v>
      </c>
    </row>
    <row r="121" spans="1:18" x14ac:dyDescent="0.35">
      <c r="A121" t="s">
        <v>242</v>
      </c>
      <c r="C121" t="s">
        <v>307</v>
      </c>
      <c r="D121" t="s">
        <v>305</v>
      </c>
      <c r="E121">
        <v>1999</v>
      </c>
      <c r="F121" t="s">
        <v>308</v>
      </c>
      <c r="G121" t="s">
        <v>310</v>
      </c>
      <c r="H121">
        <v>97.2</v>
      </c>
      <c r="I121">
        <v>2.2999999999999998</v>
      </c>
      <c r="J121" s="18">
        <f t="shared" si="11"/>
        <v>2.3662551440329214E-2</v>
      </c>
      <c r="K121" s="18">
        <f t="shared" si="12"/>
        <v>2.3115577889447233E-2</v>
      </c>
      <c r="M121">
        <v>6</v>
      </c>
      <c r="N121" t="s">
        <v>309</v>
      </c>
      <c r="O121" t="s">
        <v>32</v>
      </c>
      <c r="P121">
        <v>28</v>
      </c>
      <c r="Q121">
        <v>97.2</v>
      </c>
    </row>
    <row r="122" spans="1:18" x14ac:dyDescent="0.35">
      <c r="A122" t="s">
        <v>242</v>
      </c>
      <c r="C122" t="s">
        <v>307</v>
      </c>
      <c r="D122" t="s">
        <v>298</v>
      </c>
      <c r="E122">
        <v>1999</v>
      </c>
      <c r="F122" t="s">
        <v>311</v>
      </c>
      <c r="G122" t="s">
        <v>298</v>
      </c>
      <c r="H122">
        <v>59.3</v>
      </c>
      <c r="I122">
        <v>22.3</v>
      </c>
      <c r="J122" s="18">
        <f t="shared" si="11"/>
        <v>0.37605396290050591</v>
      </c>
      <c r="K122" s="18">
        <f t="shared" si="12"/>
        <v>0.27328431372549022</v>
      </c>
      <c r="M122">
        <v>6</v>
      </c>
      <c r="N122" t="s">
        <v>309</v>
      </c>
      <c r="O122" t="s">
        <v>32</v>
      </c>
      <c r="P122">
        <v>34.299999999999997</v>
      </c>
      <c r="Q122">
        <v>59.3</v>
      </c>
      <c r="R122">
        <v>22.3</v>
      </c>
    </row>
    <row r="123" spans="1:18" x14ac:dyDescent="0.35">
      <c r="A123" t="s">
        <v>242</v>
      </c>
      <c r="C123" t="s">
        <v>307</v>
      </c>
      <c r="D123" t="s">
        <v>305</v>
      </c>
      <c r="E123">
        <v>1999</v>
      </c>
      <c r="F123" t="s">
        <v>311</v>
      </c>
      <c r="G123" t="s">
        <v>305</v>
      </c>
      <c r="H123">
        <v>72.400000000000006</v>
      </c>
      <c r="I123">
        <v>6.5</v>
      </c>
      <c r="J123" s="18">
        <f t="shared" si="11"/>
        <v>8.9779005524861871E-2</v>
      </c>
      <c r="K123" s="18">
        <f t="shared" si="12"/>
        <v>8.2382762991127997E-2</v>
      </c>
      <c r="M123">
        <v>6</v>
      </c>
      <c r="N123" t="s">
        <v>309</v>
      </c>
      <c r="O123" t="s">
        <v>32</v>
      </c>
      <c r="P123">
        <v>63.1</v>
      </c>
      <c r="Q123">
        <v>72.400000000000006</v>
      </c>
    </row>
    <row r="124" spans="1:18" x14ac:dyDescent="0.35">
      <c r="A124" t="s">
        <v>249</v>
      </c>
      <c r="B124">
        <v>1</v>
      </c>
      <c r="C124" t="s">
        <v>2</v>
      </c>
      <c r="D124" t="s">
        <v>38</v>
      </c>
      <c r="E124">
        <v>1996</v>
      </c>
      <c r="F124" s="17" t="s">
        <v>4</v>
      </c>
      <c r="G124" s="7" t="s">
        <v>316</v>
      </c>
      <c r="H124" s="17">
        <v>24.4</v>
      </c>
      <c r="I124" s="17">
        <f>39.4+6.6+1.1</f>
        <v>47.1</v>
      </c>
      <c r="J124" s="18">
        <f t="shared" si="11"/>
        <v>1.9303278688524592</v>
      </c>
      <c r="K124" s="18">
        <f>I124/(H124+I124)</f>
        <v>0.65874125874125877</v>
      </c>
    </row>
  </sheetData>
  <autoFilter ref="A11:AD124" xr:uid="{691E3504-4294-7F48-992F-973405A1A3DA}"/>
  <sortState xmlns:xlrd2="http://schemas.microsoft.com/office/spreadsheetml/2017/richdata2" ref="M5:P10">
    <sortCondition ref="O5:O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2F10-C3FA-4670-B1D3-862E470633EF}">
  <dimension ref="B2:I28"/>
  <sheetViews>
    <sheetView topLeftCell="P13" zoomScaleNormal="100" workbookViewId="0">
      <selection activeCell="R21" sqref="R21"/>
    </sheetView>
  </sheetViews>
  <sheetFormatPr defaultRowHeight="15.5" x14ac:dyDescent="0.35"/>
  <cols>
    <col min="4" max="4" width="16.25" customWidth="1"/>
    <col min="5" max="5" width="13.5" bestFit="1" customWidth="1"/>
    <col min="6" max="6" width="15.58203125" customWidth="1"/>
    <col min="7" max="7" width="16.33203125" customWidth="1"/>
    <col min="8" max="8" width="16.75" customWidth="1"/>
  </cols>
  <sheetData>
    <row r="2" spans="2:9" x14ac:dyDescent="0.35">
      <c r="B2" t="s">
        <v>256</v>
      </c>
    </row>
    <row r="3" spans="2:9" x14ac:dyDescent="0.35">
      <c r="B3" t="s">
        <v>0</v>
      </c>
      <c r="C3" t="s">
        <v>258</v>
      </c>
      <c r="D3" t="s">
        <v>114</v>
      </c>
      <c r="E3" t="s">
        <v>237</v>
      </c>
      <c r="F3" t="s">
        <v>233</v>
      </c>
      <c r="G3" t="s">
        <v>235</v>
      </c>
      <c r="H3" t="s">
        <v>234</v>
      </c>
    </row>
    <row r="4" spans="2:9" x14ac:dyDescent="0.35">
      <c r="B4" s="23" t="s">
        <v>2</v>
      </c>
      <c r="C4">
        <v>22</v>
      </c>
      <c r="D4" s="13">
        <v>33.458181818181828</v>
      </c>
      <c r="E4" s="13">
        <v>9.0928096325055847</v>
      </c>
      <c r="F4" s="13">
        <v>26.40818181818182</v>
      </c>
      <c r="G4" s="13">
        <v>15.534011114284068</v>
      </c>
      <c r="H4" s="15">
        <v>0.40155097360996522</v>
      </c>
      <c r="I4" s="16"/>
    </row>
    <row r="5" spans="2:9" x14ac:dyDescent="0.35">
      <c r="B5" s="23" t="s">
        <v>120</v>
      </c>
      <c r="C5">
        <v>4</v>
      </c>
      <c r="D5" s="13">
        <v>43.5</v>
      </c>
      <c r="E5" s="13">
        <v>15.92691642053372</v>
      </c>
      <c r="F5" s="13">
        <v>13.75</v>
      </c>
      <c r="G5" s="13">
        <v>4.8562674281111553</v>
      </c>
      <c r="H5" s="15">
        <v>0.25122632957292507</v>
      </c>
      <c r="I5" s="16"/>
    </row>
    <row r="6" spans="2:9" x14ac:dyDescent="0.35">
      <c r="B6" s="23" t="s">
        <v>13</v>
      </c>
      <c r="C6">
        <v>10</v>
      </c>
      <c r="D6" s="13">
        <v>44.206000000000003</v>
      </c>
      <c r="E6" s="13">
        <v>17.95145874604934</v>
      </c>
      <c r="F6" s="13">
        <v>18.746000000000002</v>
      </c>
      <c r="G6" s="13">
        <v>19.470427262332425</v>
      </c>
      <c r="H6" s="15">
        <v>0.26623353268920208</v>
      </c>
      <c r="I6" s="16"/>
    </row>
    <row r="7" spans="2:9" x14ac:dyDescent="0.35">
      <c r="B7" s="23" t="s">
        <v>159</v>
      </c>
      <c r="C7">
        <v>11</v>
      </c>
      <c r="D7" s="13">
        <v>49.68181818181818</v>
      </c>
      <c r="E7" s="13">
        <v>28.179241231155167</v>
      </c>
      <c r="F7" s="13">
        <v>35.390909090909084</v>
      </c>
      <c r="G7" s="13">
        <v>26.608436802843368</v>
      </c>
      <c r="H7" s="15">
        <v>0.41947742104237767</v>
      </c>
      <c r="I7" s="16"/>
    </row>
    <row r="8" spans="2:9" x14ac:dyDescent="0.35">
      <c r="B8" s="23" t="s">
        <v>266</v>
      </c>
      <c r="C8">
        <v>3</v>
      </c>
      <c r="D8" s="13">
        <v>53.866666666666667</v>
      </c>
      <c r="E8" s="13">
        <v>1.2055427546685478</v>
      </c>
      <c r="F8" s="13">
        <v>27.233333333333334</v>
      </c>
      <c r="G8" s="13">
        <v>5.8534889880594374</v>
      </c>
      <c r="H8" s="15">
        <v>0.33320492457355094</v>
      </c>
    </row>
    <row r="9" spans="2:9" x14ac:dyDescent="0.35">
      <c r="B9" s="23" t="s">
        <v>307</v>
      </c>
      <c r="C9">
        <v>4</v>
      </c>
      <c r="D9" s="13">
        <v>80.875</v>
      </c>
      <c r="E9" s="13">
        <v>18.185960702329329</v>
      </c>
      <c r="F9" s="13">
        <v>8.4</v>
      </c>
      <c r="G9" s="13">
        <v>9.4664319219721484</v>
      </c>
      <c r="H9" s="15">
        <v>0.10113232688529597</v>
      </c>
    </row>
    <row r="10" spans="2:9" x14ac:dyDescent="0.35">
      <c r="B10" s="23" t="s">
        <v>5</v>
      </c>
      <c r="C10">
        <v>5</v>
      </c>
      <c r="D10" s="13">
        <v>55.56</v>
      </c>
      <c r="E10" s="13">
        <v>8.0229670322144209</v>
      </c>
      <c r="F10" s="13">
        <v>13.960000000000003</v>
      </c>
      <c r="G10" s="13">
        <v>15.888140231002494</v>
      </c>
      <c r="H10" s="15">
        <v>0.16840198168897466</v>
      </c>
    </row>
    <row r="11" spans="2:9" x14ac:dyDescent="0.35">
      <c r="B11" s="23" t="s">
        <v>7</v>
      </c>
      <c r="C11">
        <v>32</v>
      </c>
      <c r="D11" s="13">
        <v>47.684375000000003</v>
      </c>
      <c r="E11" s="13">
        <v>21.292374969806417</v>
      </c>
      <c r="F11" s="13">
        <v>32.203125</v>
      </c>
      <c r="G11" s="13">
        <v>17.275686520600694</v>
      </c>
      <c r="H11" s="15">
        <v>0.40459218545758174</v>
      </c>
    </row>
    <row r="12" spans="2:9" x14ac:dyDescent="0.35">
      <c r="B12" s="23" t="s">
        <v>10</v>
      </c>
      <c r="C12">
        <v>10</v>
      </c>
      <c r="D12" s="13">
        <v>49.17</v>
      </c>
      <c r="E12" s="13">
        <v>9.6793078264925381</v>
      </c>
      <c r="F12" s="13">
        <v>23.23</v>
      </c>
      <c r="G12" s="13">
        <v>12.930244476506315</v>
      </c>
      <c r="H12" s="15">
        <v>0.30320795603479606</v>
      </c>
    </row>
    <row r="13" spans="2:9" x14ac:dyDescent="0.35">
      <c r="B13" s="48" t="s">
        <v>260</v>
      </c>
      <c r="C13" s="34">
        <v>101</v>
      </c>
      <c r="D13" s="35">
        <v>46.328118811881183</v>
      </c>
      <c r="E13" s="35">
        <v>19.708694970132935</v>
      </c>
      <c r="F13" s="35">
        <v>26.342970297029712</v>
      </c>
      <c r="G13" s="35">
        <v>18.193038093982775</v>
      </c>
      <c r="H13" s="36">
        <v>0.34990888297788514</v>
      </c>
      <c r="I13" s="16"/>
    </row>
    <row r="14" spans="2:9" x14ac:dyDescent="0.35">
      <c r="D14" s="13"/>
      <c r="E14" s="13"/>
      <c r="F14" s="13"/>
      <c r="G14" s="13"/>
      <c r="H14" s="15"/>
      <c r="I14" s="16"/>
    </row>
    <row r="15" spans="2:9" x14ac:dyDescent="0.35">
      <c r="D15" s="13"/>
      <c r="E15" s="13"/>
      <c r="F15" s="13"/>
      <c r="G15" s="13"/>
      <c r="H15" s="15"/>
      <c r="I15" s="16"/>
    </row>
    <row r="16" spans="2:9" x14ac:dyDescent="0.35">
      <c r="B16" t="s">
        <v>257</v>
      </c>
      <c r="C16" t="s">
        <v>258</v>
      </c>
      <c r="D16" s="13" t="s">
        <v>253</v>
      </c>
      <c r="E16" s="13" t="s">
        <v>237</v>
      </c>
      <c r="F16" s="13" t="s">
        <v>254</v>
      </c>
      <c r="G16" s="13" t="s">
        <v>255</v>
      </c>
      <c r="H16" s="15" t="s">
        <v>234</v>
      </c>
      <c r="I16" s="16"/>
    </row>
    <row r="17" spans="2:9" x14ac:dyDescent="0.35">
      <c r="B17" s="23" t="s">
        <v>249</v>
      </c>
      <c r="C17">
        <v>31</v>
      </c>
      <c r="D17" s="13">
        <v>35.423870967741948</v>
      </c>
      <c r="E17" s="13">
        <v>10.810164869979014</v>
      </c>
      <c r="F17" s="13">
        <v>24.756129032258066</v>
      </c>
      <c r="G17" s="13">
        <v>16.669533422268568</v>
      </c>
      <c r="H17" s="15">
        <v>0.37045519571931967</v>
      </c>
      <c r="I17" s="16"/>
    </row>
    <row r="18" spans="2:9" x14ac:dyDescent="0.35">
      <c r="B18" s="23" t="s">
        <v>248</v>
      </c>
      <c r="C18">
        <v>5</v>
      </c>
      <c r="D18" s="13">
        <v>56.739999999999995</v>
      </c>
      <c r="E18" s="13">
        <v>21.558130716738873</v>
      </c>
      <c r="F18" s="13">
        <v>23.18</v>
      </c>
      <c r="G18" s="13">
        <v>21.049750592346694</v>
      </c>
      <c r="H18" s="15">
        <v>0.28932608416723227</v>
      </c>
      <c r="I18" s="16"/>
    </row>
    <row r="19" spans="2:9" x14ac:dyDescent="0.35">
      <c r="B19" s="23" t="s">
        <v>242</v>
      </c>
      <c r="C19">
        <v>7</v>
      </c>
      <c r="D19" s="13">
        <v>69.3</v>
      </c>
      <c r="E19" s="13">
        <v>19.345886729052602</v>
      </c>
      <c r="F19" s="13">
        <v>16.471428571428572</v>
      </c>
      <c r="G19" s="13">
        <v>12.552651019567442</v>
      </c>
      <c r="H19" s="15">
        <v>0.20059201160883383</v>
      </c>
      <c r="I19" s="16"/>
    </row>
    <row r="20" spans="2:9" x14ac:dyDescent="0.35">
      <c r="B20" s="23" t="s">
        <v>245</v>
      </c>
      <c r="C20">
        <v>1</v>
      </c>
      <c r="D20" s="13">
        <v>50.9</v>
      </c>
      <c r="E20" s="13"/>
      <c r="F20" s="13">
        <v>4</v>
      </c>
      <c r="G20" s="13"/>
      <c r="H20" s="15">
        <v>7.2859744990892539E-2</v>
      </c>
      <c r="I20" s="16"/>
    </row>
    <row r="21" spans="2:9" x14ac:dyDescent="0.35">
      <c r="B21" s="23" t="s">
        <v>251</v>
      </c>
      <c r="C21">
        <v>3</v>
      </c>
      <c r="D21" s="13">
        <v>47</v>
      </c>
      <c r="E21" s="13">
        <v>17.521415467935231</v>
      </c>
      <c r="F21" s="13">
        <v>13.333333333333334</v>
      </c>
      <c r="G21" s="13">
        <v>5.8594652770823137</v>
      </c>
      <c r="H21" s="15">
        <v>0.2308017727639001</v>
      </c>
      <c r="I21" s="16"/>
    </row>
    <row r="22" spans="2:9" x14ac:dyDescent="0.35">
      <c r="B22" s="23" t="s">
        <v>250</v>
      </c>
      <c r="C22">
        <v>1</v>
      </c>
      <c r="D22" s="13">
        <v>33</v>
      </c>
      <c r="E22" s="13"/>
      <c r="F22" s="13">
        <v>15</v>
      </c>
      <c r="G22" s="13"/>
      <c r="H22" s="15">
        <v>0.3125</v>
      </c>
      <c r="I22" s="16"/>
    </row>
    <row r="23" spans="2:9" x14ac:dyDescent="0.35">
      <c r="B23" s="23" t="s">
        <v>247</v>
      </c>
      <c r="C23">
        <v>42</v>
      </c>
      <c r="D23" s="13">
        <v>48.038095238095238</v>
      </c>
      <c r="E23" s="13">
        <v>19.072607766508987</v>
      </c>
      <c r="F23" s="13">
        <v>30.06666666666667</v>
      </c>
      <c r="G23" s="13">
        <v>16.652922788458891</v>
      </c>
      <c r="H23" s="15">
        <v>0.38045308321406129</v>
      </c>
    </row>
    <row r="24" spans="2:9" x14ac:dyDescent="0.35">
      <c r="B24" s="23" t="s">
        <v>244</v>
      </c>
      <c r="C24">
        <v>1</v>
      </c>
      <c r="D24" s="13">
        <v>47.1</v>
      </c>
      <c r="E24" s="13"/>
      <c r="F24" s="13">
        <v>0.5</v>
      </c>
      <c r="G24" s="13"/>
      <c r="H24" s="15">
        <v>1.0504201680672268E-2</v>
      </c>
    </row>
    <row r="25" spans="2:9" x14ac:dyDescent="0.35">
      <c r="B25" s="23" t="s">
        <v>262</v>
      </c>
      <c r="C25">
        <v>1</v>
      </c>
      <c r="D25" s="13">
        <v>56.7</v>
      </c>
      <c r="E25" s="13"/>
      <c r="F25" s="13">
        <v>14.4</v>
      </c>
      <c r="G25" s="13"/>
      <c r="H25" s="15">
        <v>0.20253164556962022</v>
      </c>
    </row>
    <row r="26" spans="2:9" x14ac:dyDescent="0.35">
      <c r="B26" s="23" t="s">
        <v>246</v>
      </c>
      <c r="C26">
        <v>2</v>
      </c>
      <c r="D26" s="13">
        <v>61.55</v>
      </c>
      <c r="E26" s="13">
        <v>9.5459415460184385</v>
      </c>
      <c r="F26" s="13">
        <v>25.450000000000003</v>
      </c>
      <c r="G26" s="13">
        <v>21.5667568261897</v>
      </c>
      <c r="H26" s="15">
        <v>0.27805715810184417</v>
      </c>
    </row>
    <row r="27" spans="2:9" x14ac:dyDescent="0.35">
      <c r="B27" s="23" t="s">
        <v>243</v>
      </c>
      <c r="C27">
        <v>7</v>
      </c>
      <c r="D27" s="13">
        <v>48.971428571428575</v>
      </c>
      <c r="E27" s="13">
        <v>33.536682120016685</v>
      </c>
      <c r="F27" s="13">
        <v>39.199999999999996</v>
      </c>
      <c r="G27" s="13">
        <v>30.668550666766116</v>
      </c>
      <c r="H27" s="15">
        <v>0.45428098423461988</v>
      </c>
    </row>
    <row r="28" spans="2:9" x14ac:dyDescent="0.35">
      <c r="B28" s="48" t="s">
        <v>260</v>
      </c>
      <c r="C28" s="34">
        <v>101</v>
      </c>
      <c r="D28" s="35">
        <v>46.328118811881218</v>
      </c>
      <c r="E28" s="35">
        <v>19.708694970132839</v>
      </c>
      <c r="F28" s="35">
        <v>26.342970297029712</v>
      </c>
      <c r="G28" s="35">
        <v>18.193038093982782</v>
      </c>
      <c r="H28" s="36">
        <v>0.34990888297788503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EC6F-2AF2-8B4E-B77C-3F9D339B5FB4}">
  <dimension ref="A3:S94"/>
  <sheetViews>
    <sheetView topLeftCell="I7" workbookViewId="0">
      <selection activeCell="M26" sqref="M26:S37"/>
    </sheetView>
  </sheetViews>
  <sheetFormatPr defaultColWidth="16.83203125" defaultRowHeight="15.5" x14ac:dyDescent="0.35"/>
  <cols>
    <col min="5" max="5" width="35" bestFit="1" customWidth="1"/>
    <col min="6" max="6" width="11" bestFit="1" customWidth="1"/>
    <col min="7" max="7" width="13" bestFit="1" customWidth="1"/>
    <col min="8" max="8" width="11.5" bestFit="1" customWidth="1"/>
    <col min="9" max="9" width="13.5" bestFit="1" customWidth="1"/>
    <col min="13" max="13" width="12.33203125" bestFit="1" customWidth="1"/>
    <col min="14" max="14" width="12.08203125" bestFit="1" customWidth="1"/>
    <col min="15" max="15" width="13" bestFit="1" customWidth="1"/>
    <col min="16" max="16" width="12" bestFit="1" customWidth="1"/>
    <col min="17" max="17" width="14.08203125" bestFit="1" customWidth="1"/>
    <col min="18" max="18" width="13.25" bestFit="1" customWidth="1"/>
    <col min="19" max="19" width="23.08203125" bestFit="1" customWidth="1"/>
  </cols>
  <sheetData>
    <row r="3" spans="1:19" x14ac:dyDescent="0.35">
      <c r="A3" s="14" t="s">
        <v>0</v>
      </c>
      <c r="B3" s="14" t="s">
        <v>20</v>
      </c>
      <c r="C3" s="14" t="s">
        <v>16</v>
      </c>
      <c r="D3" s="14" t="s">
        <v>22</v>
      </c>
      <c r="E3" s="14" t="s">
        <v>21</v>
      </c>
      <c r="F3" t="s">
        <v>116</v>
      </c>
      <c r="G3" t="s">
        <v>114</v>
      </c>
      <c r="H3" t="s">
        <v>117</v>
      </c>
      <c r="I3" t="s">
        <v>115</v>
      </c>
    </row>
    <row r="4" spans="1:19" x14ac:dyDescent="0.35">
      <c r="A4" t="s">
        <v>2</v>
      </c>
      <c r="B4" t="s">
        <v>38</v>
      </c>
      <c r="C4">
        <v>1994</v>
      </c>
      <c r="D4" t="s">
        <v>4</v>
      </c>
      <c r="E4" t="s">
        <v>39</v>
      </c>
      <c r="F4">
        <v>1</v>
      </c>
      <c r="G4">
        <v>35.700000000000003</v>
      </c>
      <c r="H4">
        <v>1</v>
      </c>
      <c r="I4">
        <v>39.799999999999997</v>
      </c>
      <c r="N4" s="14" t="s">
        <v>113</v>
      </c>
      <c r="O4" t="s">
        <v>132</v>
      </c>
      <c r="P4" t="s">
        <v>233</v>
      </c>
      <c r="Q4" t="s">
        <v>235</v>
      </c>
      <c r="R4" t="s">
        <v>133</v>
      </c>
      <c r="S4" t="s">
        <v>134</v>
      </c>
    </row>
    <row r="5" spans="1:19" x14ac:dyDescent="0.35">
      <c r="B5" t="s">
        <v>43</v>
      </c>
      <c r="C5">
        <v>1993</v>
      </c>
      <c r="D5" t="s">
        <v>4</v>
      </c>
      <c r="E5" t="s">
        <v>44</v>
      </c>
      <c r="F5">
        <v>1</v>
      </c>
      <c r="G5">
        <v>22.85</v>
      </c>
      <c r="H5">
        <v>1</v>
      </c>
      <c r="I5">
        <v>48.01</v>
      </c>
      <c r="M5" t="s">
        <v>231</v>
      </c>
      <c r="N5" s="23">
        <v>1</v>
      </c>
      <c r="O5">
        <v>27</v>
      </c>
      <c r="P5" s="13">
        <v>28.031111111111112</v>
      </c>
      <c r="Q5" s="13">
        <v>15.302636608751021</v>
      </c>
      <c r="R5" s="15">
        <v>0.41229768105635972</v>
      </c>
      <c r="S5" s="15">
        <v>0.18355494766602151</v>
      </c>
    </row>
    <row r="6" spans="1:19" x14ac:dyDescent="0.35">
      <c r="E6" t="s">
        <v>45</v>
      </c>
      <c r="F6">
        <v>1</v>
      </c>
      <c r="G6">
        <v>25.33</v>
      </c>
      <c r="H6">
        <v>1</v>
      </c>
      <c r="I6">
        <v>44.97</v>
      </c>
      <c r="M6" t="s">
        <v>230</v>
      </c>
      <c r="N6" s="23">
        <v>2</v>
      </c>
      <c r="O6">
        <v>21</v>
      </c>
      <c r="P6" s="13">
        <v>24.528571428571428</v>
      </c>
      <c r="Q6" s="13">
        <v>23.489617767369968</v>
      </c>
      <c r="R6" s="15">
        <v>0.30826250177214642</v>
      </c>
      <c r="S6" s="15">
        <v>0.26581545235337767</v>
      </c>
    </row>
    <row r="7" spans="1:19" x14ac:dyDescent="0.35">
      <c r="C7">
        <v>1994</v>
      </c>
      <c r="D7" t="s">
        <v>4</v>
      </c>
      <c r="E7" t="s">
        <v>44</v>
      </c>
      <c r="F7">
        <v>1</v>
      </c>
      <c r="G7">
        <v>20.75</v>
      </c>
      <c r="H7">
        <v>1</v>
      </c>
      <c r="I7">
        <v>55.71</v>
      </c>
      <c r="M7" t="s">
        <v>232</v>
      </c>
      <c r="N7" s="23">
        <v>3</v>
      </c>
      <c r="O7">
        <v>42</v>
      </c>
      <c r="P7" s="13">
        <v>29.704761904761909</v>
      </c>
      <c r="Q7" s="13">
        <v>16.674852577414683</v>
      </c>
      <c r="R7" s="15">
        <v>0.37843618200892726</v>
      </c>
      <c r="S7" s="15">
        <v>0.18320310865992856</v>
      </c>
    </row>
    <row r="8" spans="1:19" x14ac:dyDescent="0.35">
      <c r="E8" t="s">
        <v>45</v>
      </c>
      <c r="F8">
        <v>1</v>
      </c>
      <c r="G8">
        <v>24.2</v>
      </c>
      <c r="H8">
        <v>1</v>
      </c>
      <c r="I8">
        <v>44.81</v>
      </c>
      <c r="N8" s="23" t="s">
        <v>14</v>
      </c>
      <c r="O8">
        <v>90</v>
      </c>
      <c r="P8">
        <v>27.994888888888887</v>
      </c>
      <c r="Q8">
        <v>18.019624648128097</v>
      </c>
      <c r="R8">
        <v>0.37222077300124135</v>
      </c>
      <c r="S8">
        <v>0.20652695743105284</v>
      </c>
    </row>
    <row r="9" spans="1:19" x14ac:dyDescent="0.35">
      <c r="B9" t="s">
        <v>29</v>
      </c>
      <c r="C9">
        <v>1998</v>
      </c>
      <c r="D9" t="s">
        <v>4</v>
      </c>
      <c r="E9" t="s">
        <v>30</v>
      </c>
      <c r="F9">
        <v>1</v>
      </c>
      <c r="G9">
        <v>39.6</v>
      </c>
      <c r="H9">
        <v>1</v>
      </c>
      <c r="I9">
        <v>35.5</v>
      </c>
    </row>
    <row r="10" spans="1:19" x14ac:dyDescent="0.35">
      <c r="A10" t="s">
        <v>5</v>
      </c>
      <c r="B10" t="s">
        <v>53</v>
      </c>
      <c r="C10">
        <v>1999</v>
      </c>
      <c r="D10" t="s">
        <v>4</v>
      </c>
      <c r="E10" t="s">
        <v>54</v>
      </c>
      <c r="F10">
        <v>1</v>
      </c>
      <c r="G10">
        <v>47.1</v>
      </c>
      <c r="H10">
        <v>1</v>
      </c>
      <c r="I10">
        <v>0.5</v>
      </c>
    </row>
    <row r="11" spans="1:19" x14ac:dyDescent="0.35">
      <c r="B11" t="s">
        <v>48</v>
      </c>
      <c r="C11">
        <v>1999</v>
      </c>
      <c r="D11" t="s">
        <v>4</v>
      </c>
      <c r="E11" t="s">
        <v>49</v>
      </c>
      <c r="F11">
        <v>1</v>
      </c>
      <c r="G11">
        <v>50.9</v>
      </c>
      <c r="H11">
        <v>1</v>
      </c>
      <c r="I11">
        <v>4</v>
      </c>
    </row>
    <row r="12" spans="1:19" x14ac:dyDescent="0.35">
      <c r="A12" t="s">
        <v>7</v>
      </c>
      <c r="B12" t="s">
        <v>82</v>
      </c>
      <c r="C12">
        <v>1999</v>
      </c>
      <c r="D12" t="s">
        <v>6</v>
      </c>
      <c r="E12" t="s">
        <v>83</v>
      </c>
      <c r="F12">
        <v>1</v>
      </c>
      <c r="G12">
        <v>41</v>
      </c>
      <c r="H12">
        <v>1</v>
      </c>
      <c r="I12">
        <v>26</v>
      </c>
    </row>
    <row r="13" spans="1:19" x14ac:dyDescent="0.35">
      <c r="D13" t="s">
        <v>50</v>
      </c>
      <c r="E13" t="s">
        <v>83</v>
      </c>
      <c r="F13">
        <v>1</v>
      </c>
      <c r="G13">
        <v>43</v>
      </c>
      <c r="H13">
        <v>1</v>
      </c>
      <c r="I13">
        <v>8</v>
      </c>
      <c r="M13" s="14" t="s">
        <v>113</v>
      </c>
      <c r="N13" t="s">
        <v>236</v>
      </c>
      <c r="O13" t="s">
        <v>114</v>
      </c>
      <c r="P13" t="s">
        <v>237</v>
      </c>
      <c r="Q13" t="s">
        <v>233</v>
      </c>
      <c r="R13" t="s">
        <v>235</v>
      </c>
      <c r="S13" t="s">
        <v>234</v>
      </c>
    </row>
    <row r="14" spans="1:19" x14ac:dyDescent="0.35">
      <c r="B14" t="s">
        <v>84</v>
      </c>
      <c r="C14">
        <v>1999</v>
      </c>
      <c r="D14" t="s">
        <v>8</v>
      </c>
      <c r="E14" t="s">
        <v>85</v>
      </c>
      <c r="F14">
        <v>1</v>
      </c>
      <c r="G14">
        <v>30</v>
      </c>
      <c r="H14">
        <v>1</v>
      </c>
      <c r="I14">
        <v>30</v>
      </c>
      <c r="M14" s="23" t="s">
        <v>2</v>
      </c>
      <c r="N14">
        <v>22</v>
      </c>
      <c r="O14" s="13">
        <v>33.458181818181828</v>
      </c>
      <c r="P14" s="13">
        <v>9.0928096325055847</v>
      </c>
      <c r="Q14" s="13">
        <v>26.40818181818182</v>
      </c>
      <c r="R14" s="13">
        <v>15.534011114284068</v>
      </c>
      <c r="S14" s="15">
        <v>0.40155097360996522</v>
      </c>
    </row>
    <row r="15" spans="1:19" x14ac:dyDescent="0.35">
      <c r="D15" t="s">
        <v>9</v>
      </c>
      <c r="E15" t="s">
        <v>85</v>
      </c>
      <c r="F15">
        <v>1</v>
      </c>
      <c r="G15">
        <v>48</v>
      </c>
      <c r="M15" s="23" t="s">
        <v>120</v>
      </c>
      <c r="N15">
        <v>4</v>
      </c>
      <c r="O15" s="13">
        <v>43.5</v>
      </c>
      <c r="P15" s="13">
        <v>15.92691642053372</v>
      </c>
      <c r="Q15" s="13">
        <v>13.75</v>
      </c>
      <c r="R15" s="13">
        <v>4.8562674281111553</v>
      </c>
      <c r="S15" s="15">
        <v>0.25122632957292507</v>
      </c>
    </row>
    <row r="16" spans="1:19" x14ac:dyDescent="0.35">
      <c r="B16" t="s">
        <v>177</v>
      </c>
      <c r="C16">
        <v>1999</v>
      </c>
      <c r="D16" t="s">
        <v>4</v>
      </c>
      <c r="E16" t="s">
        <v>214</v>
      </c>
      <c r="F16">
        <v>1</v>
      </c>
      <c r="G16">
        <v>63</v>
      </c>
      <c r="H16">
        <v>1</v>
      </c>
      <c r="I16">
        <v>26</v>
      </c>
      <c r="M16" s="23" t="s">
        <v>13</v>
      </c>
      <c r="N16">
        <v>10</v>
      </c>
      <c r="O16" s="13">
        <v>44.206000000000003</v>
      </c>
      <c r="P16" s="13">
        <v>17.95145874604934</v>
      </c>
      <c r="Q16" s="13">
        <v>18.746000000000002</v>
      </c>
      <c r="R16" s="13">
        <v>19.470427262332425</v>
      </c>
      <c r="S16" s="15">
        <v>0.26623353268920208</v>
      </c>
    </row>
    <row r="17" spans="5:19" x14ac:dyDescent="0.35">
      <c r="E17" t="s">
        <v>225</v>
      </c>
      <c r="F17">
        <v>1</v>
      </c>
      <c r="G17">
        <v>88</v>
      </c>
      <c r="H17">
        <v>1</v>
      </c>
      <c r="I17">
        <v>26</v>
      </c>
      <c r="M17" s="23" t="s">
        <v>159</v>
      </c>
      <c r="N17">
        <v>11</v>
      </c>
      <c r="O17" s="13">
        <v>49.68181818181818</v>
      </c>
      <c r="P17" s="13">
        <v>28.179241231155167</v>
      </c>
      <c r="Q17" s="13">
        <v>35.390909090909084</v>
      </c>
      <c r="R17" s="13">
        <v>26.608436802843368</v>
      </c>
      <c r="S17" s="15">
        <v>0.41947742104237767</v>
      </c>
    </row>
    <row r="18" spans="5:19" x14ac:dyDescent="0.35">
      <c r="E18" t="s">
        <v>221</v>
      </c>
      <c r="F18">
        <v>1</v>
      </c>
      <c r="G18">
        <v>40.5</v>
      </c>
      <c r="H18">
        <v>1</v>
      </c>
      <c r="I18">
        <v>46</v>
      </c>
      <c r="M18" s="23" t="s">
        <v>266</v>
      </c>
      <c r="N18">
        <v>3</v>
      </c>
      <c r="O18" s="13">
        <v>53.866666666666667</v>
      </c>
      <c r="P18" s="13">
        <v>1.2055427546685478</v>
      </c>
      <c r="Q18" s="13">
        <v>27.233333333333334</v>
      </c>
      <c r="R18" s="13">
        <v>5.8534889880594374</v>
      </c>
      <c r="S18" s="15">
        <v>0.33320492457355094</v>
      </c>
    </row>
    <row r="19" spans="5:19" x14ac:dyDescent="0.35">
      <c r="E19" t="s">
        <v>217</v>
      </c>
      <c r="F19">
        <v>1</v>
      </c>
      <c r="G19">
        <v>88</v>
      </c>
      <c r="H19">
        <v>1</v>
      </c>
      <c r="I19">
        <v>11</v>
      </c>
      <c r="M19" s="23" t="s">
        <v>307</v>
      </c>
      <c r="N19">
        <v>4</v>
      </c>
      <c r="O19" s="13">
        <v>80.875</v>
      </c>
      <c r="P19" s="13">
        <v>18.185960702329329</v>
      </c>
      <c r="Q19" s="13">
        <v>8.4</v>
      </c>
      <c r="R19" s="13">
        <v>9.4664319219721484</v>
      </c>
      <c r="S19" s="15">
        <v>0.10113232688529597</v>
      </c>
    </row>
    <row r="20" spans="5:19" x14ac:dyDescent="0.35">
      <c r="E20" t="s">
        <v>219</v>
      </c>
      <c r="F20">
        <v>1</v>
      </c>
      <c r="G20">
        <v>63</v>
      </c>
      <c r="H20">
        <v>1</v>
      </c>
      <c r="I20">
        <v>40.5</v>
      </c>
      <c r="M20" s="23" t="s">
        <v>5</v>
      </c>
      <c r="N20">
        <v>5</v>
      </c>
      <c r="O20" s="13">
        <v>55.56</v>
      </c>
      <c r="P20" s="13">
        <v>8.0229670322144209</v>
      </c>
      <c r="Q20" s="13">
        <v>13.960000000000003</v>
      </c>
      <c r="R20" s="13">
        <v>15.888140231002494</v>
      </c>
      <c r="S20" s="15">
        <v>0.16840198168897466</v>
      </c>
    </row>
    <row r="21" spans="5:19" x14ac:dyDescent="0.35">
      <c r="E21" t="s">
        <v>157</v>
      </c>
      <c r="F21">
        <v>1</v>
      </c>
      <c r="G21">
        <v>20.5</v>
      </c>
      <c r="H21">
        <v>1</v>
      </c>
      <c r="I21">
        <v>68.5</v>
      </c>
      <c r="M21" s="23" t="s">
        <v>7</v>
      </c>
      <c r="N21">
        <v>32</v>
      </c>
      <c r="O21" s="13">
        <v>47.684375000000003</v>
      </c>
      <c r="P21" s="13">
        <v>21.292374969806417</v>
      </c>
      <c r="Q21" s="13">
        <v>32.203125</v>
      </c>
      <c r="R21" s="13">
        <v>17.275686520600694</v>
      </c>
      <c r="S21" s="15">
        <v>0.40459218545758174</v>
      </c>
    </row>
    <row r="22" spans="5:19" x14ac:dyDescent="0.35">
      <c r="E22" t="s">
        <v>200</v>
      </c>
      <c r="F22">
        <v>1</v>
      </c>
      <c r="G22">
        <v>20.5</v>
      </c>
      <c r="H22">
        <v>1</v>
      </c>
      <c r="I22">
        <v>26</v>
      </c>
      <c r="M22" s="23" t="s">
        <v>10</v>
      </c>
      <c r="N22">
        <v>10</v>
      </c>
      <c r="O22" s="13">
        <v>49.17</v>
      </c>
      <c r="P22" s="13">
        <v>9.6793078264925381</v>
      </c>
      <c r="Q22" s="13">
        <v>23.23</v>
      </c>
      <c r="R22" s="13">
        <v>12.930244476506315</v>
      </c>
      <c r="S22" s="15">
        <v>0.30320795603479606</v>
      </c>
    </row>
    <row r="23" spans="5:19" x14ac:dyDescent="0.35">
      <c r="E23" t="s">
        <v>198</v>
      </c>
      <c r="F23">
        <v>1</v>
      </c>
      <c r="G23">
        <v>20.5</v>
      </c>
      <c r="H23">
        <v>1</v>
      </c>
      <c r="I23">
        <v>11</v>
      </c>
      <c r="M23" s="23" t="s">
        <v>14</v>
      </c>
      <c r="N23">
        <v>101</v>
      </c>
      <c r="O23" s="13">
        <v>46.328118811881183</v>
      </c>
      <c r="P23" s="13">
        <v>19.708694970132935</v>
      </c>
      <c r="Q23" s="13">
        <v>26.342970297029712</v>
      </c>
      <c r="R23" s="13">
        <v>18.193038093982775</v>
      </c>
      <c r="S23" s="15">
        <v>0.34990888297788514</v>
      </c>
    </row>
    <row r="24" spans="5:19" x14ac:dyDescent="0.35">
      <c r="E24" t="s">
        <v>196</v>
      </c>
      <c r="F24">
        <v>1</v>
      </c>
      <c r="G24">
        <v>63</v>
      </c>
      <c r="H24">
        <v>1</v>
      </c>
      <c r="I24">
        <v>20.5</v>
      </c>
    </row>
    <row r="25" spans="5:19" x14ac:dyDescent="0.35">
      <c r="E25" t="s">
        <v>224</v>
      </c>
      <c r="F25">
        <v>1</v>
      </c>
      <c r="G25">
        <v>40.5</v>
      </c>
      <c r="H25">
        <v>1</v>
      </c>
      <c r="I25">
        <v>41</v>
      </c>
      <c r="M25" s="14" t="s">
        <v>113</v>
      </c>
      <c r="N25" t="s">
        <v>236</v>
      </c>
      <c r="O25" t="s">
        <v>253</v>
      </c>
      <c r="P25" t="s">
        <v>237</v>
      </c>
      <c r="Q25" t="s">
        <v>254</v>
      </c>
      <c r="R25" t="s">
        <v>255</v>
      </c>
      <c r="S25" t="s">
        <v>234</v>
      </c>
    </row>
    <row r="26" spans="5:19" x14ac:dyDescent="0.35">
      <c r="E26" t="s">
        <v>223</v>
      </c>
      <c r="F26">
        <v>1</v>
      </c>
      <c r="G26">
        <v>20.5</v>
      </c>
      <c r="H26">
        <v>1</v>
      </c>
      <c r="I26">
        <v>61</v>
      </c>
      <c r="M26" s="23" t="s">
        <v>249</v>
      </c>
      <c r="N26">
        <v>31</v>
      </c>
      <c r="O26" s="13">
        <v>35.423870967741948</v>
      </c>
      <c r="P26" s="13">
        <v>10.810164869979014</v>
      </c>
      <c r="Q26" s="13">
        <v>24.756129032258066</v>
      </c>
      <c r="R26" s="13">
        <v>16.669533422268568</v>
      </c>
      <c r="S26" s="15">
        <v>0.37045519571931967</v>
      </c>
    </row>
    <row r="27" spans="5:19" x14ac:dyDescent="0.35">
      <c r="E27" t="s">
        <v>222</v>
      </c>
      <c r="F27">
        <v>1</v>
      </c>
      <c r="G27">
        <v>20.5</v>
      </c>
      <c r="H27">
        <v>1</v>
      </c>
      <c r="I27">
        <v>61</v>
      </c>
      <c r="M27" s="23" t="s">
        <v>248</v>
      </c>
      <c r="N27">
        <v>5</v>
      </c>
      <c r="O27" s="13">
        <v>56.739999999999995</v>
      </c>
      <c r="P27" s="13">
        <v>21.558130716738873</v>
      </c>
      <c r="Q27" s="13">
        <v>23.18</v>
      </c>
      <c r="R27" s="13">
        <v>21.049750592346694</v>
      </c>
      <c r="S27" s="15">
        <v>0.28932608416723227</v>
      </c>
    </row>
    <row r="28" spans="5:19" x14ac:dyDescent="0.35">
      <c r="E28" t="s">
        <v>215</v>
      </c>
      <c r="F28">
        <v>1</v>
      </c>
      <c r="G28">
        <v>20.5</v>
      </c>
      <c r="H28">
        <v>1</v>
      </c>
      <c r="I28">
        <v>11</v>
      </c>
      <c r="M28" s="23" t="s">
        <v>242</v>
      </c>
      <c r="N28">
        <v>7</v>
      </c>
      <c r="O28" s="13">
        <v>69.3</v>
      </c>
      <c r="P28" s="13">
        <v>19.345886729052602</v>
      </c>
      <c r="Q28" s="13">
        <v>16.471428571428572</v>
      </c>
      <c r="R28" s="13">
        <v>12.552651019567442</v>
      </c>
      <c r="S28" s="15">
        <v>0.20059201160883383</v>
      </c>
    </row>
    <row r="29" spans="5:19" x14ac:dyDescent="0.35">
      <c r="E29" t="s">
        <v>227</v>
      </c>
      <c r="F29">
        <v>1</v>
      </c>
      <c r="G29">
        <v>40.5</v>
      </c>
      <c r="H29">
        <v>1</v>
      </c>
      <c r="I29">
        <v>41</v>
      </c>
      <c r="M29" s="23" t="s">
        <v>245</v>
      </c>
      <c r="N29">
        <v>1</v>
      </c>
      <c r="O29" s="13">
        <v>50.9</v>
      </c>
      <c r="P29" s="13" t="e">
        <v>#DIV/0!</v>
      </c>
      <c r="Q29" s="13">
        <v>4</v>
      </c>
      <c r="R29" s="13" t="e">
        <v>#DIV/0!</v>
      </c>
      <c r="S29" s="15">
        <v>7.2859744990892539E-2</v>
      </c>
    </row>
    <row r="30" spans="5:19" x14ac:dyDescent="0.35">
      <c r="E30" t="s">
        <v>220</v>
      </c>
      <c r="F30">
        <v>1</v>
      </c>
      <c r="G30">
        <v>63</v>
      </c>
      <c r="H30">
        <v>1</v>
      </c>
      <c r="I30">
        <v>26</v>
      </c>
      <c r="M30" s="23" t="s">
        <v>251</v>
      </c>
      <c r="N30">
        <v>3</v>
      </c>
      <c r="O30" s="13">
        <v>47</v>
      </c>
      <c r="P30" s="13">
        <v>17.521415467935231</v>
      </c>
      <c r="Q30" s="13">
        <v>13.333333333333334</v>
      </c>
      <c r="R30" s="13">
        <v>5.8594652770823137</v>
      </c>
      <c r="S30" s="15">
        <v>0.2308017727639001</v>
      </c>
    </row>
    <row r="31" spans="5:19" x14ac:dyDescent="0.35">
      <c r="E31" t="s">
        <v>184</v>
      </c>
      <c r="F31">
        <v>1</v>
      </c>
      <c r="G31">
        <v>40.5</v>
      </c>
      <c r="H31">
        <v>1</v>
      </c>
      <c r="I31">
        <v>11</v>
      </c>
      <c r="M31" s="23" t="s">
        <v>250</v>
      </c>
      <c r="N31">
        <v>1</v>
      </c>
      <c r="O31" s="13">
        <v>33</v>
      </c>
      <c r="P31" s="13" t="e">
        <v>#DIV/0!</v>
      </c>
      <c r="Q31" s="13">
        <v>15</v>
      </c>
      <c r="R31" s="13" t="e">
        <v>#DIV/0!</v>
      </c>
      <c r="S31" s="15">
        <v>0.3125</v>
      </c>
    </row>
    <row r="32" spans="5:19" x14ac:dyDescent="0.35">
      <c r="E32" t="s">
        <v>178</v>
      </c>
      <c r="F32">
        <v>1</v>
      </c>
      <c r="G32">
        <v>63</v>
      </c>
      <c r="H32">
        <v>1</v>
      </c>
      <c r="I32">
        <v>26</v>
      </c>
      <c r="M32" s="23" t="s">
        <v>247</v>
      </c>
      <c r="N32">
        <v>42</v>
      </c>
      <c r="O32" s="13">
        <v>48.038095238095238</v>
      </c>
      <c r="P32" s="13">
        <v>19.072607766508987</v>
      </c>
      <c r="Q32" s="13">
        <v>30.06666666666667</v>
      </c>
      <c r="R32" s="13">
        <v>16.652922788458891</v>
      </c>
      <c r="S32" s="15">
        <v>0.38045308321406129</v>
      </c>
    </row>
    <row r="33" spans="4:19" x14ac:dyDescent="0.35">
      <c r="E33" t="s">
        <v>194</v>
      </c>
      <c r="F33">
        <v>1</v>
      </c>
      <c r="G33">
        <v>20.5</v>
      </c>
      <c r="H33">
        <v>1</v>
      </c>
      <c r="I33">
        <v>46</v>
      </c>
      <c r="M33" s="23" t="s">
        <v>244</v>
      </c>
      <c r="N33">
        <v>1</v>
      </c>
      <c r="O33" s="13">
        <v>47.1</v>
      </c>
      <c r="P33" s="13" t="e">
        <v>#DIV/0!</v>
      </c>
      <c r="Q33" s="13">
        <v>0.5</v>
      </c>
      <c r="R33" s="13" t="e">
        <v>#DIV/0!</v>
      </c>
      <c r="S33" s="15">
        <v>1.0504201680672268E-2</v>
      </c>
    </row>
    <row r="34" spans="4:19" x14ac:dyDescent="0.35">
      <c r="E34" t="s">
        <v>182</v>
      </c>
      <c r="F34">
        <v>1</v>
      </c>
      <c r="G34">
        <v>63</v>
      </c>
      <c r="H34">
        <v>1</v>
      </c>
      <c r="I34">
        <v>11</v>
      </c>
      <c r="M34" s="23" t="s">
        <v>262</v>
      </c>
      <c r="N34">
        <v>1</v>
      </c>
      <c r="O34" s="13">
        <v>56.7</v>
      </c>
      <c r="P34" s="13" t="e">
        <v>#DIV/0!</v>
      </c>
      <c r="Q34" s="13">
        <v>14.4</v>
      </c>
      <c r="R34" s="13" t="e">
        <v>#DIV/0!</v>
      </c>
      <c r="S34" s="15">
        <v>0.20253164556962022</v>
      </c>
    </row>
    <row r="35" spans="4:19" x14ac:dyDescent="0.35">
      <c r="D35" t="s">
        <v>204</v>
      </c>
      <c r="E35" t="s">
        <v>203</v>
      </c>
      <c r="F35">
        <v>1</v>
      </c>
      <c r="G35">
        <v>88</v>
      </c>
      <c r="H35">
        <v>1</v>
      </c>
      <c r="I35">
        <v>11</v>
      </c>
      <c r="M35" s="23" t="s">
        <v>246</v>
      </c>
      <c r="N35">
        <v>2</v>
      </c>
      <c r="O35" s="13">
        <v>61.55</v>
      </c>
      <c r="P35" s="13">
        <v>9.5459415460184385</v>
      </c>
      <c r="Q35" s="13">
        <v>25.450000000000003</v>
      </c>
      <c r="R35" s="13">
        <v>21.5667568261897</v>
      </c>
      <c r="S35" s="15">
        <v>0.27805715810184417</v>
      </c>
    </row>
    <row r="36" spans="4:19" x14ac:dyDescent="0.35">
      <c r="D36" t="s">
        <v>205</v>
      </c>
      <c r="E36" t="s">
        <v>203</v>
      </c>
      <c r="F36">
        <v>1</v>
      </c>
      <c r="G36">
        <v>40.5</v>
      </c>
      <c r="H36">
        <v>1</v>
      </c>
      <c r="I36">
        <v>46</v>
      </c>
      <c r="M36" s="23" t="s">
        <v>243</v>
      </c>
      <c r="N36">
        <v>7</v>
      </c>
      <c r="O36" s="13">
        <v>48.971428571428575</v>
      </c>
      <c r="P36" s="13">
        <v>33.536682120016685</v>
      </c>
      <c r="Q36" s="13">
        <v>39.199999999999996</v>
      </c>
      <c r="R36" s="13">
        <v>30.668550666766116</v>
      </c>
      <c r="S36" s="15">
        <v>0.45428098423461988</v>
      </c>
    </row>
    <row r="37" spans="4:19" x14ac:dyDescent="0.35">
      <c r="D37" t="s">
        <v>206</v>
      </c>
      <c r="E37" t="s">
        <v>203</v>
      </c>
      <c r="F37">
        <v>1</v>
      </c>
      <c r="G37">
        <v>63</v>
      </c>
      <c r="H37">
        <v>1</v>
      </c>
      <c r="I37">
        <v>46</v>
      </c>
      <c r="M37" s="23" t="s">
        <v>14</v>
      </c>
      <c r="N37">
        <v>101</v>
      </c>
      <c r="O37" s="13">
        <v>46.328118811881218</v>
      </c>
      <c r="P37" s="13">
        <v>19.708694970132839</v>
      </c>
      <c r="Q37" s="13">
        <v>26.342970297029712</v>
      </c>
      <c r="R37" s="13">
        <v>18.193038093982782</v>
      </c>
      <c r="S37" s="15">
        <v>0.34990888297788503</v>
      </c>
    </row>
    <row r="38" spans="4:19" x14ac:dyDescent="0.35">
      <c r="D38" t="s">
        <v>207</v>
      </c>
      <c r="E38" t="s">
        <v>203</v>
      </c>
      <c r="F38">
        <v>1</v>
      </c>
      <c r="G38">
        <v>63</v>
      </c>
      <c r="H38">
        <v>1</v>
      </c>
      <c r="I38">
        <v>46</v>
      </c>
    </row>
    <row r="39" spans="4:19" x14ac:dyDescent="0.35">
      <c r="D39" t="s">
        <v>201</v>
      </c>
      <c r="E39" t="s">
        <v>83</v>
      </c>
      <c r="F39">
        <v>1</v>
      </c>
      <c r="G39">
        <v>20.5</v>
      </c>
      <c r="H39">
        <v>1</v>
      </c>
      <c r="I39">
        <v>46</v>
      </c>
    </row>
    <row r="40" spans="4:19" x14ac:dyDescent="0.35">
      <c r="D40" t="s">
        <v>187</v>
      </c>
      <c r="E40" t="s">
        <v>83</v>
      </c>
      <c r="F40">
        <v>1</v>
      </c>
      <c r="G40">
        <v>40.5</v>
      </c>
      <c r="H40">
        <v>1</v>
      </c>
      <c r="I40">
        <v>0</v>
      </c>
    </row>
    <row r="41" spans="4:19" x14ac:dyDescent="0.35">
      <c r="D41" t="s">
        <v>189</v>
      </c>
      <c r="E41" t="s">
        <v>83</v>
      </c>
      <c r="F41">
        <v>1</v>
      </c>
      <c r="G41">
        <v>40.5</v>
      </c>
      <c r="H41">
        <v>1</v>
      </c>
      <c r="I41">
        <v>11</v>
      </c>
    </row>
    <row r="42" spans="4:19" x14ac:dyDescent="0.35">
      <c r="D42" t="s">
        <v>190</v>
      </c>
      <c r="E42" t="s">
        <v>83</v>
      </c>
      <c r="F42">
        <v>1</v>
      </c>
      <c r="G42">
        <v>63</v>
      </c>
      <c r="H42">
        <v>1</v>
      </c>
      <c r="I42">
        <v>46</v>
      </c>
    </row>
    <row r="43" spans="4:19" x14ac:dyDescent="0.35">
      <c r="D43" t="s">
        <v>192</v>
      </c>
      <c r="E43" t="s">
        <v>83</v>
      </c>
      <c r="F43">
        <v>1</v>
      </c>
      <c r="G43">
        <v>88</v>
      </c>
      <c r="H43">
        <v>1</v>
      </c>
      <c r="I43">
        <v>11</v>
      </c>
    </row>
    <row r="44" spans="4:19" x14ac:dyDescent="0.35">
      <c r="D44" t="s">
        <v>193</v>
      </c>
      <c r="E44" t="s">
        <v>83</v>
      </c>
      <c r="F44">
        <v>1</v>
      </c>
      <c r="G44">
        <v>63</v>
      </c>
      <c r="H44">
        <v>1</v>
      </c>
      <c r="I44">
        <v>26</v>
      </c>
    </row>
    <row r="45" spans="4:19" x14ac:dyDescent="0.35">
      <c r="D45" t="s">
        <v>209</v>
      </c>
      <c r="E45" t="s">
        <v>208</v>
      </c>
      <c r="F45">
        <v>1</v>
      </c>
      <c r="G45">
        <v>40.5</v>
      </c>
      <c r="H45">
        <v>1</v>
      </c>
      <c r="I45">
        <v>46</v>
      </c>
    </row>
    <row r="46" spans="4:19" x14ac:dyDescent="0.35">
      <c r="D46" t="s">
        <v>211</v>
      </c>
      <c r="E46" t="s">
        <v>208</v>
      </c>
      <c r="F46">
        <v>1</v>
      </c>
      <c r="G46">
        <v>63</v>
      </c>
      <c r="H46">
        <v>1</v>
      </c>
      <c r="I46">
        <v>26</v>
      </c>
    </row>
    <row r="47" spans="4:19" x14ac:dyDescent="0.35">
      <c r="D47" t="s">
        <v>212</v>
      </c>
      <c r="E47" t="s">
        <v>208</v>
      </c>
      <c r="F47">
        <v>1</v>
      </c>
      <c r="G47">
        <v>20.5</v>
      </c>
      <c r="H47">
        <v>1</v>
      </c>
      <c r="I47">
        <v>61</v>
      </c>
    </row>
    <row r="48" spans="4:19" x14ac:dyDescent="0.35">
      <c r="D48" t="s">
        <v>213</v>
      </c>
      <c r="E48" t="s">
        <v>208</v>
      </c>
      <c r="F48">
        <v>1</v>
      </c>
      <c r="G48">
        <v>63</v>
      </c>
      <c r="H48">
        <v>1</v>
      </c>
      <c r="I48">
        <v>20.5</v>
      </c>
    </row>
    <row r="49" spans="1:9" x14ac:dyDescent="0.35">
      <c r="A49" t="s">
        <v>10</v>
      </c>
      <c r="B49" t="s">
        <v>71</v>
      </c>
      <c r="C49" t="s">
        <v>70</v>
      </c>
      <c r="D49" t="s">
        <v>4</v>
      </c>
      <c r="E49" t="s">
        <v>72</v>
      </c>
      <c r="F49">
        <v>1</v>
      </c>
      <c r="G49">
        <v>31</v>
      </c>
    </row>
    <row r="50" spans="1:9" x14ac:dyDescent="0.35">
      <c r="B50" t="s">
        <v>65</v>
      </c>
      <c r="C50">
        <v>1999</v>
      </c>
      <c r="D50" t="s">
        <v>6</v>
      </c>
      <c r="E50" t="s">
        <v>66</v>
      </c>
      <c r="F50">
        <v>1</v>
      </c>
      <c r="G50">
        <v>35.5</v>
      </c>
      <c r="H50">
        <v>1</v>
      </c>
      <c r="I50">
        <v>15.3</v>
      </c>
    </row>
    <row r="51" spans="1:9" x14ac:dyDescent="0.35">
      <c r="D51" t="s">
        <v>50</v>
      </c>
      <c r="E51" t="s">
        <v>66</v>
      </c>
      <c r="F51">
        <v>1</v>
      </c>
      <c r="G51">
        <v>40.6</v>
      </c>
      <c r="H51">
        <v>1</v>
      </c>
      <c r="I51">
        <v>45.5</v>
      </c>
    </row>
    <row r="52" spans="1:9" x14ac:dyDescent="0.35">
      <c r="B52" t="s">
        <v>67</v>
      </c>
      <c r="C52">
        <v>1999</v>
      </c>
      <c r="D52" t="s">
        <v>6</v>
      </c>
      <c r="E52" t="s">
        <v>68</v>
      </c>
      <c r="F52">
        <v>1</v>
      </c>
      <c r="G52">
        <v>54.1</v>
      </c>
      <c r="H52">
        <v>1</v>
      </c>
      <c r="I52">
        <v>21.3</v>
      </c>
    </row>
    <row r="53" spans="1:9" x14ac:dyDescent="0.35">
      <c r="D53" t="s">
        <v>50</v>
      </c>
      <c r="E53" t="s">
        <v>68</v>
      </c>
      <c r="F53">
        <v>1</v>
      </c>
      <c r="G53">
        <v>59.8</v>
      </c>
      <c r="H53">
        <v>1</v>
      </c>
      <c r="I53">
        <v>31</v>
      </c>
    </row>
    <row r="54" spans="1:9" x14ac:dyDescent="0.35">
      <c r="B54" t="s">
        <v>4</v>
      </c>
      <c r="C54">
        <v>1999</v>
      </c>
      <c r="D54" t="s">
        <v>81</v>
      </c>
      <c r="E54" t="s">
        <v>80</v>
      </c>
      <c r="F54">
        <v>1</v>
      </c>
      <c r="G54">
        <v>53.5</v>
      </c>
      <c r="H54">
        <v>1</v>
      </c>
      <c r="I54">
        <v>20</v>
      </c>
    </row>
    <row r="55" spans="1:9" x14ac:dyDescent="0.35">
      <c r="D55" t="s">
        <v>76</v>
      </c>
      <c r="E55" t="s">
        <v>75</v>
      </c>
      <c r="F55">
        <v>1</v>
      </c>
      <c r="G55">
        <v>58.2</v>
      </c>
      <c r="H55">
        <v>1</v>
      </c>
      <c r="I55">
        <v>30</v>
      </c>
    </row>
    <row r="56" spans="1:9" x14ac:dyDescent="0.35">
      <c r="D56" t="s">
        <v>118</v>
      </c>
      <c r="E56" t="s">
        <v>75</v>
      </c>
      <c r="F56">
        <v>1</v>
      </c>
      <c r="G56">
        <v>52.9</v>
      </c>
      <c r="H56">
        <v>1</v>
      </c>
      <c r="I56">
        <v>40</v>
      </c>
    </row>
    <row r="57" spans="1:9" x14ac:dyDescent="0.35">
      <c r="D57" t="s">
        <v>119</v>
      </c>
      <c r="E57" t="s">
        <v>75</v>
      </c>
      <c r="F57">
        <v>1</v>
      </c>
      <c r="G57">
        <v>40</v>
      </c>
      <c r="H57">
        <v>1</v>
      </c>
      <c r="I57">
        <v>10</v>
      </c>
    </row>
    <row r="58" spans="1:9" x14ac:dyDescent="0.35">
      <c r="A58" t="s">
        <v>11</v>
      </c>
      <c r="B58" t="s">
        <v>56</v>
      </c>
      <c r="C58">
        <v>1997</v>
      </c>
      <c r="D58" t="s">
        <v>4</v>
      </c>
      <c r="E58" t="s">
        <v>57</v>
      </c>
      <c r="F58">
        <v>1</v>
      </c>
      <c r="G58">
        <v>33</v>
      </c>
      <c r="H58">
        <v>1</v>
      </c>
      <c r="I58">
        <v>15</v>
      </c>
    </row>
    <row r="59" spans="1:9" x14ac:dyDescent="0.35">
      <c r="B59" t="s">
        <v>59</v>
      </c>
      <c r="C59">
        <v>1998</v>
      </c>
      <c r="D59" t="s">
        <v>4</v>
      </c>
      <c r="E59" t="s">
        <v>63</v>
      </c>
      <c r="F59">
        <v>1</v>
      </c>
      <c r="G59">
        <v>64</v>
      </c>
      <c r="H59">
        <v>1</v>
      </c>
      <c r="I59">
        <v>20</v>
      </c>
    </row>
    <row r="60" spans="1:9" x14ac:dyDescent="0.35">
      <c r="E60" t="s">
        <v>64</v>
      </c>
      <c r="F60">
        <v>1</v>
      </c>
      <c r="G60">
        <v>29</v>
      </c>
    </row>
    <row r="61" spans="1:9" x14ac:dyDescent="0.35">
      <c r="E61" t="s">
        <v>60</v>
      </c>
      <c r="F61">
        <v>1</v>
      </c>
      <c r="G61">
        <v>48</v>
      </c>
      <c r="H61">
        <v>1</v>
      </c>
      <c r="I61">
        <v>20</v>
      </c>
    </row>
    <row r="62" spans="1:9" x14ac:dyDescent="0.35">
      <c r="A62" t="s">
        <v>13</v>
      </c>
      <c r="B62" t="s">
        <v>4</v>
      </c>
      <c r="C62">
        <v>1997</v>
      </c>
      <c r="D62" t="s">
        <v>4</v>
      </c>
      <c r="E62" t="s">
        <v>92</v>
      </c>
      <c r="F62">
        <v>1</v>
      </c>
      <c r="G62">
        <v>53.11</v>
      </c>
      <c r="H62">
        <v>1</v>
      </c>
      <c r="I62">
        <v>2.94</v>
      </c>
    </row>
    <row r="63" spans="1:9" x14ac:dyDescent="0.35">
      <c r="E63" t="s">
        <v>91</v>
      </c>
      <c r="F63">
        <v>1</v>
      </c>
      <c r="G63">
        <v>50.11</v>
      </c>
      <c r="H63">
        <v>1</v>
      </c>
      <c r="I63">
        <v>10.97</v>
      </c>
    </row>
    <row r="64" spans="1:9" x14ac:dyDescent="0.35">
      <c r="E64" t="s">
        <v>90</v>
      </c>
      <c r="F64">
        <v>1</v>
      </c>
      <c r="G64">
        <v>44.31</v>
      </c>
      <c r="H64">
        <v>1</v>
      </c>
      <c r="I64">
        <v>3.88</v>
      </c>
    </row>
    <row r="65" spans="1:9" x14ac:dyDescent="0.35">
      <c r="E65" t="s">
        <v>93</v>
      </c>
      <c r="F65">
        <v>1</v>
      </c>
      <c r="G65">
        <v>51.85</v>
      </c>
      <c r="H65">
        <v>1</v>
      </c>
      <c r="I65">
        <v>8.8699999999999992</v>
      </c>
    </row>
    <row r="66" spans="1:9" x14ac:dyDescent="0.35">
      <c r="E66" t="s">
        <v>43</v>
      </c>
      <c r="F66">
        <v>1</v>
      </c>
      <c r="G66">
        <v>29.73</v>
      </c>
      <c r="H66">
        <v>1</v>
      </c>
      <c r="I66">
        <v>28.06</v>
      </c>
    </row>
    <row r="67" spans="1:9" x14ac:dyDescent="0.35">
      <c r="E67" t="s">
        <v>94</v>
      </c>
      <c r="F67">
        <v>1</v>
      </c>
      <c r="G67">
        <v>13.95</v>
      </c>
      <c r="H67">
        <v>1</v>
      </c>
      <c r="I67">
        <v>2.44</v>
      </c>
    </row>
    <row r="68" spans="1:9" x14ac:dyDescent="0.35">
      <c r="B68" t="s">
        <v>146</v>
      </c>
      <c r="C68">
        <v>1995</v>
      </c>
      <c r="D68" t="s">
        <v>4</v>
      </c>
      <c r="E68" t="s">
        <v>147</v>
      </c>
      <c r="F68">
        <v>1</v>
      </c>
      <c r="G68">
        <v>32.4</v>
      </c>
      <c r="H68">
        <v>1</v>
      </c>
      <c r="I68">
        <v>48</v>
      </c>
    </row>
    <row r="69" spans="1:9" x14ac:dyDescent="0.35">
      <c r="E69" t="s">
        <v>151</v>
      </c>
      <c r="F69">
        <v>1</v>
      </c>
      <c r="G69">
        <v>52.8</v>
      </c>
      <c r="H69">
        <v>1</v>
      </c>
      <c r="I69">
        <v>28.4</v>
      </c>
    </row>
    <row r="70" spans="1:9" x14ac:dyDescent="0.35">
      <c r="B70" t="s">
        <v>152</v>
      </c>
      <c r="C70">
        <v>1996</v>
      </c>
      <c r="D70" t="s">
        <v>4</v>
      </c>
      <c r="E70" t="s">
        <v>152</v>
      </c>
      <c r="F70">
        <v>1</v>
      </c>
      <c r="G70">
        <v>33.799999999999997</v>
      </c>
      <c r="H70">
        <v>1</v>
      </c>
      <c r="I70">
        <v>52.9</v>
      </c>
    </row>
    <row r="71" spans="1:9" x14ac:dyDescent="0.35">
      <c r="B71" t="s">
        <v>154</v>
      </c>
      <c r="C71">
        <v>1996</v>
      </c>
      <c r="D71" t="s">
        <v>4</v>
      </c>
      <c r="E71" t="s">
        <v>155</v>
      </c>
      <c r="H71">
        <v>1</v>
      </c>
      <c r="I71">
        <v>1</v>
      </c>
    </row>
    <row r="72" spans="1:9" x14ac:dyDescent="0.35">
      <c r="C72">
        <v>1991</v>
      </c>
      <c r="D72" t="s">
        <v>4</v>
      </c>
      <c r="E72" t="s">
        <v>155</v>
      </c>
      <c r="F72">
        <v>1</v>
      </c>
      <c r="G72">
        <v>80</v>
      </c>
    </row>
    <row r="73" spans="1:9" x14ac:dyDescent="0.35">
      <c r="A73" t="s">
        <v>4</v>
      </c>
      <c r="B73" t="s">
        <v>4</v>
      </c>
      <c r="C73">
        <v>1988</v>
      </c>
      <c r="D73" t="s">
        <v>4</v>
      </c>
      <c r="E73" t="s">
        <v>96</v>
      </c>
      <c r="F73">
        <v>1</v>
      </c>
      <c r="G73">
        <v>41.7</v>
      </c>
      <c r="H73">
        <v>1</v>
      </c>
      <c r="I73">
        <v>7.8</v>
      </c>
    </row>
    <row r="74" spans="1:9" x14ac:dyDescent="0.35">
      <c r="E74" t="s">
        <v>107</v>
      </c>
      <c r="F74">
        <v>1</v>
      </c>
      <c r="G74">
        <v>31.1</v>
      </c>
      <c r="H74">
        <v>1</v>
      </c>
      <c r="I74">
        <v>32.9</v>
      </c>
    </row>
    <row r="75" spans="1:9" x14ac:dyDescent="0.35">
      <c r="C75">
        <v>1993</v>
      </c>
      <c r="D75" t="s">
        <v>4</v>
      </c>
      <c r="E75" t="s">
        <v>98</v>
      </c>
      <c r="F75">
        <v>1</v>
      </c>
      <c r="G75">
        <v>40.6</v>
      </c>
      <c r="H75">
        <v>1</v>
      </c>
      <c r="I75">
        <v>34.4</v>
      </c>
    </row>
    <row r="76" spans="1:9" x14ac:dyDescent="0.35">
      <c r="E76" t="s">
        <v>100</v>
      </c>
      <c r="F76">
        <v>1</v>
      </c>
      <c r="G76">
        <v>28.7</v>
      </c>
      <c r="H76">
        <v>1</v>
      </c>
      <c r="I76">
        <v>25.8</v>
      </c>
    </row>
    <row r="77" spans="1:9" x14ac:dyDescent="0.35">
      <c r="E77" t="s">
        <v>99</v>
      </c>
      <c r="F77">
        <v>1</v>
      </c>
      <c r="G77">
        <v>40</v>
      </c>
      <c r="H77">
        <v>1</v>
      </c>
      <c r="I77">
        <v>40.9</v>
      </c>
    </row>
    <row r="78" spans="1:9" x14ac:dyDescent="0.35">
      <c r="E78" t="s">
        <v>101</v>
      </c>
      <c r="F78">
        <v>1</v>
      </c>
      <c r="G78">
        <v>37.5</v>
      </c>
      <c r="H78">
        <v>1</v>
      </c>
      <c r="I78">
        <v>24.1</v>
      </c>
    </row>
    <row r="79" spans="1:9" x14ac:dyDescent="0.35">
      <c r="E79" t="s">
        <v>102</v>
      </c>
      <c r="F79">
        <v>1</v>
      </c>
      <c r="G79">
        <v>32</v>
      </c>
      <c r="H79">
        <v>1</v>
      </c>
      <c r="I79">
        <v>48.800000000000004</v>
      </c>
    </row>
    <row r="80" spans="1:9" x14ac:dyDescent="0.35">
      <c r="E80" t="s">
        <v>103</v>
      </c>
      <c r="F80">
        <v>1</v>
      </c>
      <c r="G80">
        <v>29.1</v>
      </c>
      <c r="H80">
        <v>1</v>
      </c>
      <c r="I80">
        <v>39.1</v>
      </c>
    </row>
    <row r="81" spans="1:9" x14ac:dyDescent="0.35">
      <c r="E81" t="s">
        <v>104</v>
      </c>
      <c r="F81">
        <v>1</v>
      </c>
      <c r="G81">
        <v>32.1</v>
      </c>
      <c r="H81">
        <v>1</v>
      </c>
      <c r="I81">
        <v>33.299999999999997</v>
      </c>
    </row>
    <row r="82" spans="1:9" x14ac:dyDescent="0.35">
      <c r="E82" t="s">
        <v>105</v>
      </c>
      <c r="F82">
        <v>1</v>
      </c>
      <c r="G82">
        <v>49.5</v>
      </c>
      <c r="H82">
        <v>1</v>
      </c>
      <c r="I82">
        <v>26</v>
      </c>
    </row>
    <row r="83" spans="1:9" x14ac:dyDescent="0.35">
      <c r="E83" t="s">
        <v>106</v>
      </c>
      <c r="F83">
        <v>1</v>
      </c>
      <c r="G83">
        <v>27.3</v>
      </c>
      <c r="H83">
        <v>1</v>
      </c>
      <c r="I83">
        <v>14.3</v>
      </c>
    </row>
    <row r="84" spans="1:9" x14ac:dyDescent="0.35">
      <c r="C84">
        <v>1994</v>
      </c>
      <c r="D84" t="s">
        <v>4</v>
      </c>
      <c r="E84" t="s">
        <v>108</v>
      </c>
      <c r="F84">
        <v>1</v>
      </c>
      <c r="G84">
        <v>32</v>
      </c>
      <c r="H84">
        <v>1</v>
      </c>
      <c r="I84">
        <v>13.5</v>
      </c>
    </row>
    <row r="85" spans="1:9" x14ac:dyDescent="0.35">
      <c r="E85" t="s">
        <v>109</v>
      </c>
      <c r="F85">
        <v>1</v>
      </c>
      <c r="G85">
        <v>50</v>
      </c>
      <c r="H85">
        <v>1</v>
      </c>
      <c r="I85">
        <v>32.4</v>
      </c>
    </row>
    <row r="86" spans="1:9" x14ac:dyDescent="0.35">
      <c r="E86" t="s">
        <v>110</v>
      </c>
      <c r="F86">
        <v>1</v>
      </c>
      <c r="G86">
        <v>19.2</v>
      </c>
      <c r="H86">
        <v>1</v>
      </c>
      <c r="I86">
        <v>28.8</v>
      </c>
    </row>
    <row r="87" spans="1:9" x14ac:dyDescent="0.35">
      <c r="A87" t="s">
        <v>159</v>
      </c>
      <c r="B87" t="s">
        <v>160</v>
      </c>
      <c r="C87">
        <v>2000</v>
      </c>
      <c r="D87" t="s">
        <v>163</v>
      </c>
      <c r="E87" t="s">
        <v>162</v>
      </c>
      <c r="F87">
        <v>1</v>
      </c>
      <c r="G87">
        <v>60.1</v>
      </c>
      <c r="H87">
        <v>1</v>
      </c>
      <c r="I87">
        <v>0.1</v>
      </c>
    </row>
    <row r="88" spans="1:9" x14ac:dyDescent="0.35">
      <c r="B88" t="s">
        <v>164</v>
      </c>
      <c r="C88">
        <v>2000</v>
      </c>
      <c r="D88" t="s">
        <v>166</v>
      </c>
      <c r="E88" t="s">
        <v>165</v>
      </c>
      <c r="F88">
        <v>1</v>
      </c>
      <c r="G88">
        <v>30.9</v>
      </c>
      <c r="H88">
        <v>1</v>
      </c>
      <c r="I88">
        <v>0</v>
      </c>
    </row>
    <row r="89" spans="1:9" x14ac:dyDescent="0.35">
      <c r="D89" t="s">
        <v>167</v>
      </c>
      <c r="E89" t="s">
        <v>165</v>
      </c>
      <c r="F89">
        <v>1</v>
      </c>
      <c r="G89">
        <v>41.9</v>
      </c>
      <c r="H89">
        <v>1</v>
      </c>
      <c r="I89">
        <v>0</v>
      </c>
    </row>
    <row r="90" spans="1:9" x14ac:dyDescent="0.35">
      <c r="D90" t="s">
        <v>168</v>
      </c>
      <c r="E90" t="s">
        <v>165</v>
      </c>
      <c r="F90">
        <v>1</v>
      </c>
      <c r="G90">
        <v>36.200000000000003</v>
      </c>
      <c r="H90">
        <v>1</v>
      </c>
      <c r="I90">
        <v>0</v>
      </c>
    </row>
    <row r="91" spans="1:9" x14ac:dyDescent="0.35">
      <c r="B91" t="s">
        <v>169</v>
      </c>
      <c r="C91">
        <v>2000</v>
      </c>
      <c r="D91" t="s">
        <v>171</v>
      </c>
      <c r="E91" t="s">
        <v>170</v>
      </c>
      <c r="F91">
        <v>1</v>
      </c>
      <c r="G91">
        <v>28.4</v>
      </c>
      <c r="H91">
        <v>1</v>
      </c>
      <c r="I91">
        <v>1.9</v>
      </c>
    </row>
    <row r="92" spans="1:9" x14ac:dyDescent="0.35">
      <c r="D92" t="s">
        <v>172</v>
      </c>
      <c r="E92" t="s">
        <v>170</v>
      </c>
      <c r="F92">
        <v>1</v>
      </c>
      <c r="G92">
        <v>27.2</v>
      </c>
      <c r="H92">
        <v>1</v>
      </c>
      <c r="I92">
        <v>0</v>
      </c>
    </row>
    <row r="93" spans="1:9" x14ac:dyDescent="0.35">
      <c r="B93" t="s">
        <v>173</v>
      </c>
      <c r="C93">
        <v>2000</v>
      </c>
      <c r="D93" t="s">
        <v>175</v>
      </c>
      <c r="E93" t="s">
        <v>174</v>
      </c>
      <c r="F93">
        <v>1</v>
      </c>
      <c r="G93">
        <v>68.2</v>
      </c>
      <c r="H93">
        <v>1</v>
      </c>
      <c r="I93">
        <v>0</v>
      </c>
    </row>
    <row r="94" spans="1:9" x14ac:dyDescent="0.35">
      <c r="A94" t="s">
        <v>14</v>
      </c>
      <c r="F94">
        <v>89</v>
      </c>
      <c r="G94">
        <v>43.486404494382015</v>
      </c>
      <c r="H94">
        <v>86</v>
      </c>
      <c r="I94">
        <v>26.162325581395361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DC76-BCFB-9848-A083-040C5B9C86DA}">
  <sheetPr filterMode="1"/>
  <dimension ref="A1:U303"/>
  <sheetViews>
    <sheetView tabSelected="1" topLeftCell="H1" workbookViewId="0">
      <pane ySplit="1" topLeftCell="A19" activePane="bottomLeft" state="frozen"/>
      <selection pane="bottomLeft" activeCell="A260" activeCellId="2" sqref="A256:XFD256 A258:XFD258 A260:XFD260"/>
    </sheetView>
  </sheetViews>
  <sheetFormatPr defaultColWidth="11" defaultRowHeight="15.5" x14ac:dyDescent="0.35"/>
  <cols>
    <col min="1" max="1" width="19.08203125" customWidth="1"/>
    <col min="4" max="4" width="8.5" customWidth="1"/>
    <col min="5" max="5" width="5.08203125" customWidth="1"/>
    <col min="6" max="6" width="6.75" customWidth="1"/>
    <col min="7" max="7" width="11.58203125" customWidth="1"/>
    <col min="8" max="9" width="25" customWidth="1"/>
    <col min="10" max="10" width="15.08203125" customWidth="1"/>
    <col min="11" max="11" width="17.08203125" customWidth="1"/>
    <col min="12" max="12" width="7.5" customWidth="1"/>
    <col min="13" max="13" width="5.75" customWidth="1"/>
  </cols>
  <sheetData>
    <row r="1" spans="1:18" x14ac:dyDescent="0.35">
      <c r="A1" s="1" t="s">
        <v>15</v>
      </c>
      <c r="B1" s="1" t="s">
        <v>0</v>
      </c>
      <c r="C1" s="2" t="s">
        <v>16</v>
      </c>
      <c r="D1" s="2" t="s">
        <v>17</v>
      </c>
      <c r="E1" s="2" t="s">
        <v>18</v>
      </c>
      <c r="F1" s="2" t="s">
        <v>19</v>
      </c>
      <c r="G1" s="1" t="s">
        <v>20</v>
      </c>
      <c r="H1" s="1" t="s">
        <v>21</v>
      </c>
      <c r="I1" s="1" t="s">
        <v>22</v>
      </c>
      <c r="J1" s="1" t="s">
        <v>1</v>
      </c>
      <c r="K1" s="3" t="s">
        <v>23</v>
      </c>
      <c r="L1" s="1" t="s">
        <v>24</v>
      </c>
      <c r="M1" s="1" t="s">
        <v>25</v>
      </c>
      <c r="N1" s="4" t="s">
        <v>111</v>
      </c>
      <c r="O1" s="1" t="s">
        <v>32</v>
      </c>
      <c r="P1" s="1" t="s">
        <v>112</v>
      </c>
    </row>
    <row r="2" spans="1:18" hidden="1" x14ac:dyDescent="0.35">
      <c r="A2" t="s">
        <v>74</v>
      </c>
      <c r="B2" t="s">
        <v>10</v>
      </c>
      <c r="C2">
        <v>1999</v>
      </c>
      <c r="D2" s="5" t="s">
        <v>47</v>
      </c>
      <c r="E2" s="5" t="s">
        <v>28</v>
      </c>
      <c r="F2" s="5" t="s">
        <v>28</v>
      </c>
      <c r="H2" t="s">
        <v>80</v>
      </c>
      <c r="I2" t="s">
        <v>81</v>
      </c>
      <c r="J2" t="s">
        <v>77</v>
      </c>
      <c r="K2" t="s">
        <v>78</v>
      </c>
      <c r="L2" t="s">
        <v>87</v>
      </c>
      <c r="M2" t="s">
        <v>52</v>
      </c>
      <c r="N2" s="6">
        <f>20-3.5</f>
        <v>16.5</v>
      </c>
      <c r="P2" s="13">
        <f>N2</f>
        <v>16.5</v>
      </c>
      <c r="R2" t="s">
        <v>261</v>
      </c>
    </row>
    <row r="3" spans="1:18" hidden="1" x14ac:dyDescent="0.35">
      <c r="A3" t="s">
        <v>74</v>
      </c>
      <c r="B3" t="s">
        <v>10</v>
      </c>
      <c r="C3">
        <v>1999</v>
      </c>
      <c r="D3" s="5" t="s">
        <v>47</v>
      </c>
      <c r="E3" s="5" t="s">
        <v>28</v>
      </c>
      <c r="F3" s="5" t="s">
        <v>28</v>
      </c>
      <c r="H3" t="s">
        <v>75</v>
      </c>
      <c r="I3" t="s">
        <v>76</v>
      </c>
      <c r="J3" t="s">
        <v>77</v>
      </c>
      <c r="K3" t="s">
        <v>78</v>
      </c>
      <c r="L3" t="s">
        <v>87</v>
      </c>
      <c r="M3" t="s">
        <v>52</v>
      </c>
      <c r="N3" s="6">
        <f>30-13.2</f>
        <v>16.8</v>
      </c>
      <c r="P3" s="13">
        <f>N3</f>
        <v>16.8</v>
      </c>
    </row>
    <row r="4" spans="1:18" hidden="1" x14ac:dyDescent="0.35">
      <c r="A4" t="s">
        <v>74</v>
      </c>
      <c r="B4" t="s">
        <v>10</v>
      </c>
      <c r="C4">
        <v>1999</v>
      </c>
      <c r="D4" s="5" t="s">
        <v>47</v>
      </c>
      <c r="E4" s="5" t="s">
        <v>28</v>
      </c>
      <c r="F4" s="5" t="s">
        <v>28</v>
      </c>
      <c r="H4" t="s">
        <v>75</v>
      </c>
      <c r="I4" t="s">
        <v>118</v>
      </c>
      <c r="J4" t="s">
        <v>77</v>
      </c>
      <c r="K4" t="s">
        <v>79</v>
      </c>
      <c r="L4" t="s">
        <v>87</v>
      </c>
      <c r="M4" t="s">
        <v>52</v>
      </c>
      <c r="N4" s="6">
        <f>40-0.4</f>
        <v>39.6</v>
      </c>
      <c r="P4" s="13">
        <f>N4</f>
        <v>39.6</v>
      </c>
    </row>
    <row r="5" spans="1:18" hidden="1" x14ac:dyDescent="0.35">
      <c r="A5" t="s">
        <v>74</v>
      </c>
      <c r="B5" t="s">
        <v>10</v>
      </c>
      <c r="C5">
        <v>1999</v>
      </c>
      <c r="D5" s="5" t="s">
        <v>47</v>
      </c>
      <c r="E5" s="5" t="s">
        <v>28</v>
      </c>
      <c r="F5" s="5" t="s">
        <v>28</v>
      </c>
      <c r="H5" t="s">
        <v>75</v>
      </c>
      <c r="I5" t="s">
        <v>119</v>
      </c>
      <c r="J5" t="s">
        <v>77</v>
      </c>
      <c r="K5" t="s">
        <v>78</v>
      </c>
      <c r="L5" t="s">
        <v>87</v>
      </c>
      <c r="M5" t="s">
        <v>52</v>
      </c>
      <c r="N5" s="6">
        <f>10-2.5</f>
        <v>7.5</v>
      </c>
      <c r="P5" s="13">
        <f>N5</f>
        <v>7.5</v>
      </c>
    </row>
    <row r="6" spans="1:18" hidden="1" x14ac:dyDescent="0.35">
      <c r="A6" t="s">
        <v>74</v>
      </c>
      <c r="B6" t="s">
        <v>10</v>
      </c>
      <c r="C6">
        <v>1999</v>
      </c>
      <c r="D6" s="5" t="s">
        <v>47</v>
      </c>
      <c r="E6" s="5" t="s">
        <v>28</v>
      </c>
      <c r="F6" s="5" t="s">
        <v>28</v>
      </c>
      <c r="H6" t="s">
        <v>80</v>
      </c>
      <c r="I6" t="s">
        <v>81</v>
      </c>
      <c r="J6" t="s">
        <v>77</v>
      </c>
      <c r="K6" t="s">
        <v>78</v>
      </c>
      <c r="L6" t="s">
        <v>73</v>
      </c>
      <c r="M6" t="s">
        <v>32</v>
      </c>
      <c r="N6" s="6">
        <v>50</v>
      </c>
      <c r="O6" s="13">
        <f>SUM(N6:N8)</f>
        <v>53.5</v>
      </c>
    </row>
    <row r="7" spans="1:18" hidden="1" x14ac:dyDescent="0.35">
      <c r="A7" t="s">
        <v>74</v>
      </c>
      <c r="B7" t="s">
        <v>10</v>
      </c>
      <c r="C7">
        <v>1999</v>
      </c>
      <c r="D7" t="s">
        <v>47</v>
      </c>
      <c r="E7" t="s">
        <v>28</v>
      </c>
      <c r="F7" t="s">
        <v>28</v>
      </c>
      <c r="H7" t="s">
        <v>80</v>
      </c>
      <c r="I7" t="s">
        <v>81</v>
      </c>
      <c r="J7" t="s">
        <v>77</v>
      </c>
      <c r="K7" t="s">
        <v>78</v>
      </c>
      <c r="L7" t="s">
        <v>86</v>
      </c>
      <c r="N7">
        <v>0</v>
      </c>
    </row>
    <row r="8" spans="1:18" hidden="1" x14ac:dyDescent="0.35">
      <c r="A8" t="s">
        <v>74</v>
      </c>
      <c r="B8" t="s">
        <v>10</v>
      </c>
      <c r="C8">
        <v>1999</v>
      </c>
      <c r="D8" s="5" t="s">
        <v>47</v>
      </c>
      <c r="E8" t="s">
        <v>28</v>
      </c>
      <c r="F8" t="s">
        <v>28</v>
      </c>
      <c r="H8" t="s">
        <v>80</v>
      </c>
      <c r="I8" t="s">
        <v>81</v>
      </c>
      <c r="J8" t="s">
        <v>77</v>
      </c>
      <c r="K8" t="s">
        <v>78</v>
      </c>
      <c r="L8" t="s">
        <v>88</v>
      </c>
      <c r="N8">
        <v>3.5</v>
      </c>
    </row>
    <row r="9" spans="1:18" hidden="1" x14ac:dyDescent="0.35">
      <c r="A9" t="s">
        <v>74</v>
      </c>
      <c r="B9" t="s">
        <v>10</v>
      </c>
      <c r="C9">
        <v>1999</v>
      </c>
      <c r="D9" s="5" t="s">
        <v>47</v>
      </c>
      <c r="E9" t="s">
        <v>28</v>
      </c>
      <c r="F9" t="s">
        <v>28</v>
      </c>
      <c r="H9" t="s">
        <v>75</v>
      </c>
      <c r="I9" t="s">
        <v>76</v>
      </c>
      <c r="J9" t="s">
        <v>77</v>
      </c>
      <c r="K9" t="s">
        <v>78</v>
      </c>
      <c r="L9" t="s">
        <v>73</v>
      </c>
      <c r="M9" t="s">
        <v>32</v>
      </c>
      <c r="N9">
        <v>40</v>
      </c>
      <c r="O9" s="13">
        <f>SUM(N9:N11)</f>
        <v>53.2</v>
      </c>
    </row>
    <row r="10" spans="1:18" hidden="1" x14ac:dyDescent="0.35">
      <c r="A10" t="s">
        <v>74</v>
      </c>
      <c r="B10" t="s">
        <v>10</v>
      </c>
      <c r="C10">
        <v>1999</v>
      </c>
      <c r="D10" s="5" t="s">
        <v>47</v>
      </c>
      <c r="E10" t="s">
        <v>28</v>
      </c>
      <c r="F10" t="s">
        <v>28</v>
      </c>
      <c r="H10" t="s">
        <v>75</v>
      </c>
      <c r="I10" t="s">
        <v>76</v>
      </c>
      <c r="J10" t="s">
        <v>77</v>
      </c>
      <c r="K10" t="s">
        <v>78</v>
      </c>
      <c r="L10" t="s">
        <v>86</v>
      </c>
      <c r="N10">
        <v>0</v>
      </c>
    </row>
    <row r="11" spans="1:18" hidden="1" x14ac:dyDescent="0.35">
      <c r="A11" t="s">
        <v>74</v>
      </c>
      <c r="B11" t="s">
        <v>10</v>
      </c>
      <c r="C11">
        <v>1999</v>
      </c>
      <c r="D11" s="5" t="s">
        <v>47</v>
      </c>
      <c r="E11" t="s">
        <v>28</v>
      </c>
      <c r="F11" t="s">
        <v>28</v>
      </c>
      <c r="H11" t="s">
        <v>75</v>
      </c>
      <c r="I11" t="s">
        <v>76</v>
      </c>
      <c r="J11" t="s">
        <v>77</v>
      </c>
      <c r="K11" t="s">
        <v>78</v>
      </c>
      <c r="L11" t="s">
        <v>88</v>
      </c>
      <c r="N11">
        <v>13.2</v>
      </c>
    </row>
    <row r="12" spans="1:18" hidden="1" x14ac:dyDescent="0.35">
      <c r="A12" t="s">
        <v>74</v>
      </c>
      <c r="B12" t="s">
        <v>10</v>
      </c>
      <c r="C12">
        <v>1999</v>
      </c>
      <c r="D12" s="5" t="s">
        <v>47</v>
      </c>
      <c r="E12" s="5" t="s">
        <v>28</v>
      </c>
      <c r="F12" s="5" t="s">
        <v>28</v>
      </c>
      <c r="H12" t="s">
        <v>75</v>
      </c>
      <c r="I12" t="s">
        <v>119</v>
      </c>
      <c r="J12" t="s">
        <v>77</v>
      </c>
      <c r="K12" t="s">
        <v>78</v>
      </c>
      <c r="L12" t="s">
        <v>73</v>
      </c>
      <c r="M12" t="s">
        <v>32</v>
      </c>
      <c r="N12" s="6">
        <v>30</v>
      </c>
      <c r="O12" s="13">
        <f>SUM(N12:N14)</f>
        <v>32.5</v>
      </c>
    </row>
    <row r="13" spans="1:18" hidden="1" x14ac:dyDescent="0.35">
      <c r="A13" t="s">
        <v>74</v>
      </c>
      <c r="B13" t="s">
        <v>10</v>
      </c>
      <c r="C13">
        <v>1999</v>
      </c>
      <c r="D13" s="5" t="s">
        <v>47</v>
      </c>
      <c r="E13" s="5" t="s">
        <v>28</v>
      </c>
      <c r="F13" s="5" t="s">
        <v>28</v>
      </c>
      <c r="H13" t="s">
        <v>75</v>
      </c>
      <c r="I13" t="s">
        <v>119</v>
      </c>
      <c r="J13" t="s">
        <v>77</v>
      </c>
      <c r="K13" t="s">
        <v>78</v>
      </c>
      <c r="L13" t="s">
        <v>86</v>
      </c>
      <c r="N13" s="6">
        <v>0</v>
      </c>
    </row>
    <row r="14" spans="1:18" hidden="1" x14ac:dyDescent="0.35">
      <c r="A14" t="s">
        <v>74</v>
      </c>
      <c r="B14" t="s">
        <v>10</v>
      </c>
      <c r="C14">
        <v>1999</v>
      </c>
      <c r="D14" s="5" t="s">
        <v>47</v>
      </c>
      <c r="E14" s="5" t="s">
        <v>28</v>
      </c>
      <c r="F14" s="5" t="s">
        <v>28</v>
      </c>
      <c r="H14" t="s">
        <v>75</v>
      </c>
      <c r="I14" t="s">
        <v>119</v>
      </c>
      <c r="J14" t="s">
        <v>77</v>
      </c>
      <c r="K14" t="s">
        <v>78</v>
      </c>
      <c r="L14" t="s">
        <v>88</v>
      </c>
      <c r="N14" s="6">
        <v>2.5</v>
      </c>
    </row>
    <row r="15" spans="1:18" hidden="1" x14ac:dyDescent="0.35">
      <c r="A15" t="s">
        <v>74</v>
      </c>
      <c r="B15" t="s">
        <v>10</v>
      </c>
      <c r="C15">
        <v>1999</v>
      </c>
      <c r="D15" s="5" t="s">
        <v>47</v>
      </c>
      <c r="E15" s="5" t="s">
        <v>28</v>
      </c>
      <c r="F15" s="5" t="s">
        <v>28</v>
      </c>
      <c r="H15" t="s">
        <v>75</v>
      </c>
      <c r="I15" t="s">
        <v>118</v>
      </c>
      <c r="J15" t="s">
        <v>77</v>
      </c>
      <c r="K15" t="s">
        <v>79</v>
      </c>
      <c r="L15" t="s">
        <v>73</v>
      </c>
      <c r="M15" t="s">
        <v>32</v>
      </c>
      <c r="N15" s="6">
        <v>50</v>
      </c>
      <c r="O15" s="13">
        <f>SUM(N15:N17)</f>
        <v>50.4</v>
      </c>
    </row>
    <row r="16" spans="1:18" hidden="1" x14ac:dyDescent="0.35">
      <c r="A16" t="s">
        <v>74</v>
      </c>
      <c r="B16" t="s">
        <v>10</v>
      </c>
      <c r="C16">
        <v>1999</v>
      </c>
      <c r="D16" s="5" t="s">
        <v>47</v>
      </c>
      <c r="E16" s="5" t="s">
        <v>28</v>
      </c>
      <c r="F16" s="5" t="s">
        <v>28</v>
      </c>
      <c r="H16" t="s">
        <v>75</v>
      </c>
      <c r="I16" t="s">
        <v>118</v>
      </c>
      <c r="J16" t="s">
        <v>77</v>
      </c>
      <c r="K16" t="s">
        <v>79</v>
      </c>
      <c r="L16" t="s">
        <v>86</v>
      </c>
      <c r="N16" s="6">
        <v>0</v>
      </c>
    </row>
    <row r="17" spans="1:16" hidden="1" x14ac:dyDescent="0.35">
      <c r="A17" t="s">
        <v>74</v>
      </c>
      <c r="B17" t="s">
        <v>10</v>
      </c>
      <c r="C17">
        <v>1999</v>
      </c>
      <c r="D17" s="5" t="s">
        <v>47</v>
      </c>
      <c r="E17" s="5" t="s">
        <v>28</v>
      </c>
      <c r="F17" s="5" t="s">
        <v>28</v>
      </c>
      <c r="H17" t="s">
        <v>75</v>
      </c>
      <c r="I17" t="s">
        <v>118</v>
      </c>
      <c r="J17" t="s">
        <v>77</v>
      </c>
      <c r="K17" t="s">
        <v>79</v>
      </c>
      <c r="L17" t="s">
        <v>88</v>
      </c>
      <c r="N17" s="6">
        <v>0.4</v>
      </c>
    </row>
    <row r="18" spans="1:16" hidden="1" x14ac:dyDescent="0.35">
      <c r="A18" t="s">
        <v>46</v>
      </c>
      <c r="B18" t="s">
        <v>7</v>
      </c>
      <c r="C18">
        <v>1999</v>
      </c>
      <c r="D18" s="5" t="s">
        <v>47</v>
      </c>
      <c r="E18" s="5" t="s">
        <v>28</v>
      </c>
      <c r="F18" s="5" t="s">
        <v>28</v>
      </c>
      <c r="G18" t="s">
        <v>84</v>
      </c>
      <c r="H18" t="s">
        <v>85</v>
      </c>
      <c r="I18" t="s">
        <v>8</v>
      </c>
      <c r="J18" t="s">
        <v>8</v>
      </c>
      <c r="L18" t="s">
        <v>51</v>
      </c>
      <c r="M18" t="s">
        <v>52</v>
      </c>
      <c r="N18" s="12">
        <v>30</v>
      </c>
      <c r="P18" s="13">
        <f t="shared" ref="P18:P26" si="0">N18</f>
        <v>30</v>
      </c>
    </row>
    <row r="19" spans="1:16" x14ac:dyDescent="0.35">
      <c r="A19" t="s">
        <v>46</v>
      </c>
      <c r="B19" t="s">
        <v>10</v>
      </c>
      <c r="C19">
        <v>1999</v>
      </c>
      <c r="D19" s="5" t="s">
        <v>47</v>
      </c>
      <c r="E19" s="5" t="s">
        <v>28</v>
      </c>
      <c r="F19" s="5" t="s">
        <v>28</v>
      </c>
      <c r="G19" t="s">
        <v>67</v>
      </c>
      <c r="H19" t="s">
        <v>68</v>
      </c>
      <c r="I19" t="s">
        <v>6</v>
      </c>
      <c r="J19" t="s">
        <v>6</v>
      </c>
      <c r="L19" t="s">
        <v>51</v>
      </c>
      <c r="M19" t="s">
        <v>52</v>
      </c>
      <c r="N19" s="6">
        <v>21.3</v>
      </c>
      <c r="P19" s="13">
        <f t="shared" si="0"/>
        <v>21.3</v>
      </c>
    </row>
    <row r="20" spans="1:16" x14ac:dyDescent="0.35">
      <c r="A20" t="s">
        <v>46</v>
      </c>
      <c r="B20" t="s">
        <v>10</v>
      </c>
      <c r="C20">
        <v>1999</v>
      </c>
      <c r="D20" s="5" t="s">
        <v>47</v>
      </c>
      <c r="E20" s="5" t="s">
        <v>28</v>
      </c>
      <c r="F20" s="5" t="s">
        <v>28</v>
      </c>
      <c r="G20" t="s">
        <v>67</v>
      </c>
      <c r="H20" t="s">
        <v>68</v>
      </c>
      <c r="I20" t="s">
        <v>50</v>
      </c>
      <c r="J20" t="s">
        <v>50</v>
      </c>
      <c r="L20" t="s">
        <v>51</v>
      </c>
      <c r="M20" t="s">
        <v>52</v>
      </c>
      <c r="N20" s="6">
        <v>31</v>
      </c>
      <c r="P20" s="13">
        <f t="shared" si="0"/>
        <v>31</v>
      </c>
    </row>
    <row r="21" spans="1:16" hidden="1" x14ac:dyDescent="0.35">
      <c r="A21" t="s">
        <v>46</v>
      </c>
      <c r="B21" t="s">
        <v>5</v>
      </c>
      <c r="C21">
        <v>1999</v>
      </c>
      <c r="D21" s="5" t="s">
        <v>47</v>
      </c>
      <c r="E21" s="5" t="s">
        <v>28</v>
      </c>
      <c r="F21" s="5" t="s">
        <v>28</v>
      </c>
      <c r="G21" t="s">
        <v>48</v>
      </c>
      <c r="H21" t="s">
        <v>49</v>
      </c>
      <c r="J21" t="s">
        <v>50</v>
      </c>
      <c r="L21" t="s">
        <v>51</v>
      </c>
      <c r="M21" t="s">
        <v>52</v>
      </c>
      <c r="N21" s="12">
        <v>4</v>
      </c>
      <c r="P21" s="13">
        <f t="shared" si="0"/>
        <v>4</v>
      </c>
    </row>
    <row r="22" spans="1:16" hidden="1" x14ac:dyDescent="0.35">
      <c r="A22" t="s">
        <v>46</v>
      </c>
      <c r="B22" t="s">
        <v>5</v>
      </c>
      <c r="C22">
        <v>1999</v>
      </c>
      <c r="D22" s="5" t="s">
        <v>47</v>
      </c>
      <c r="E22" s="5" t="s">
        <v>28</v>
      </c>
      <c r="F22" s="5" t="s">
        <v>28</v>
      </c>
      <c r="G22" t="s">
        <v>53</v>
      </c>
      <c r="H22" t="s">
        <v>54</v>
      </c>
      <c r="J22" t="s">
        <v>6</v>
      </c>
      <c r="L22" t="s">
        <v>51</v>
      </c>
      <c r="M22" t="s">
        <v>52</v>
      </c>
      <c r="N22" s="12">
        <v>0.5</v>
      </c>
      <c r="P22" s="13">
        <f t="shared" si="0"/>
        <v>0.5</v>
      </c>
    </row>
    <row r="23" spans="1:16" x14ac:dyDescent="0.35">
      <c r="A23" t="s">
        <v>46</v>
      </c>
      <c r="B23" t="s">
        <v>10</v>
      </c>
      <c r="C23">
        <v>1999</v>
      </c>
      <c r="D23" s="5" t="s">
        <v>47</v>
      </c>
      <c r="E23" s="5" t="s">
        <v>28</v>
      </c>
      <c r="F23" s="5" t="s">
        <v>28</v>
      </c>
      <c r="G23" t="s">
        <v>65</v>
      </c>
      <c r="H23" t="s">
        <v>66</v>
      </c>
      <c r="I23" t="s">
        <v>6</v>
      </c>
      <c r="J23" t="s">
        <v>6</v>
      </c>
      <c r="L23" t="s">
        <v>51</v>
      </c>
      <c r="M23" t="s">
        <v>52</v>
      </c>
      <c r="N23" s="6">
        <v>15.3</v>
      </c>
      <c r="P23" s="13">
        <f t="shared" si="0"/>
        <v>15.3</v>
      </c>
    </row>
    <row r="24" spans="1:16" x14ac:dyDescent="0.35">
      <c r="A24" t="s">
        <v>46</v>
      </c>
      <c r="B24" t="s">
        <v>10</v>
      </c>
      <c r="C24">
        <v>1999</v>
      </c>
      <c r="D24" s="5" t="s">
        <v>47</v>
      </c>
      <c r="E24" s="5" t="s">
        <v>28</v>
      </c>
      <c r="F24" s="5" t="s">
        <v>28</v>
      </c>
      <c r="G24" t="s">
        <v>65</v>
      </c>
      <c r="H24" t="s">
        <v>66</v>
      </c>
      <c r="I24" t="s">
        <v>50</v>
      </c>
      <c r="J24" t="s">
        <v>50</v>
      </c>
      <c r="L24" t="s">
        <v>51</v>
      </c>
      <c r="M24" t="s">
        <v>52</v>
      </c>
      <c r="N24" s="6">
        <v>45.5</v>
      </c>
      <c r="P24" s="13">
        <f t="shared" si="0"/>
        <v>45.5</v>
      </c>
    </row>
    <row r="25" spans="1:16" hidden="1" x14ac:dyDescent="0.35">
      <c r="A25" t="s">
        <v>46</v>
      </c>
      <c r="B25" t="s">
        <v>7</v>
      </c>
      <c r="C25">
        <v>1999</v>
      </c>
      <c r="D25" s="5" t="s">
        <v>47</v>
      </c>
      <c r="E25" s="5" t="s">
        <v>28</v>
      </c>
      <c r="F25" s="5" t="s">
        <v>28</v>
      </c>
      <c r="G25" t="s">
        <v>82</v>
      </c>
      <c r="H25" t="s">
        <v>83</v>
      </c>
      <c r="I25" t="s">
        <v>6</v>
      </c>
      <c r="J25" t="s">
        <v>6</v>
      </c>
      <c r="L25" t="s">
        <v>51</v>
      </c>
      <c r="M25" t="s">
        <v>52</v>
      </c>
      <c r="N25" s="12">
        <v>26</v>
      </c>
      <c r="P25" s="13">
        <f t="shared" si="0"/>
        <v>26</v>
      </c>
    </row>
    <row r="26" spans="1:16" hidden="1" x14ac:dyDescent="0.35">
      <c r="A26" t="s">
        <v>46</v>
      </c>
      <c r="B26" t="s">
        <v>7</v>
      </c>
      <c r="C26">
        <v>1999</v>
      </c>
      <c r="D26" s="5" t="s">
        <v>47</v>
      </c>
      <c r="E26" s="5" t="s">
        <v>28</v>
      </c>
      <c r="F26" s="5" t="s">
        <v>28</v>
      </c>
      <c r="G26" t="s">
        <v>82</v>
      </c>
      <c r="H26" t="s">
        <v>83</v>
      </c>
      <c r="I26" t="s">
        <v>50</v>
      </c>
      <c r="J26" t="s">
        <v>50</v>
      </c>
      <c r="L26" t="s">
        <v>51</v>
      </c>
      <c r="M26" t="s">
        <v>52</v>
      </c>
      <c r="N26" s="12">
        <v>8</v>
      </c>
      <c r="P26" s="13">
        <f t="shared" si="0"/>
        <v>8</v>
      </c>
    </row>
    <row r="27" spans="1:16" hidden="1" x14ac:dyDescent="0.35">
      <c r="A27" t="s">
        <v>46</v>
      </c>
      <c r="B27" t="s">
        <v>7</v>
      </c>
      <c r="C27">
        <v>1999</v>
      </c>
      <c r="D27" s="5" t="s">
        <v>47</v>
      </c>
      <c r="E27" s="5" t="s">
        <v>28</v>
      </c>
      <c r="F27" s="5" t="s">
        <v>28</v>
      </c>
      <c r="G27" t="s">
        <v>84</v>
      </c>
      <c r="H27" t="s">
        <v>85</v>
      </c>
      <c r="I27" t="s">
        <v>8</v>
      </c>
      <c r="J27" t="s">
        <v>8</v>
      </c>
      <c r="L27" t="s">
        <v>31</v>
      </c>
      <c r="M27" t="s">
        <v>32</v>
      </c>
      <c r="N27" s="12">
        <v>30</v>
      </c>
      <c r="O27" s="13">
        <f>N27</f>
        <v>30</v>
      </c>
    </row>
    <row r="28" spans="1:16" hidden="1" x14ac:dyDescent="0.35">
      <c r="A28" t="s">
        <v>46</v>
      </c>
      <c r="B28" t="s">
        <v>7</v>
      </c>
      <c r="C28">
        <v>1999</v>
      </c>
      <c r="D28" s="5" t="s">
        <v>47</v>
      </c>
      <c r="E28" s="5" t="s">
        <v>28</v>
      </c>
      <c r="F28" s="5" t="s">
        <v>28</v>
      </c>
      <c r="G28" t="s">
        <v>84</v>
      </c>
      <c r="H28" t="s">
        <v>85</v>
      </c>
      <c r="I28" t="s">
        <v>9</v>
      </c>
      <c r="J28" t="s">
        <v>9</v>
      </c>
      <c r="L28" t="s">
        <v>31</v>
      </c>
      <c r="M28" t="s">
        <v>32</v>
      </c>
      <c r="N28" s="12">
        <v>48</v>
      </c>
      <c r="O28" s="13">
        <f>N28</f>
        <v>48</v>
      </c>
    </row>
    <row r="29" spans="1:16" hidden="1" x14ac:dyDescent="0.35">
      <c r="A29" t="s">
        <v>46</v>
      </c>
      <c r="B29" t="s">
        <v>7</v>
      </c>
      <c r="C29">
        <v>1999</v>
      </c>
      <c r="D29" s="5" t="s">
        <v>47</v>
      </c>
      <c r="E29" s="5" t="s">
        <v>28</v>
      </c>
      <c r="F29" s="5" t="s">
        <v>28</v>
      </c>
      <c r="G29" t="s">
        <v>84</v>
      </c>
      <c r="H29" t="s">
        <v>85</v>
      </c>
      <c r="I29" t="s">
        <v>9</v>
      </c>
      <c r="J29" t="s">
        <v>9</v>
      </c>
      <c r="L29" t="s">
        <v>51</v>
      </c>
      <c r="M29" t="s">
        <v>52</v>
      </c>
      <c r="N29" s="12">
        <v>17</v>
      </c>
      <c r="O29" s="13"/>
      <c r="P29">
        <v>17</v>
      </c>
    </row>
    <row r="30" spans="1:16" x14ac:dyDescent="0.35">
      <c r="A30" t="s">
        <v>46</v>
      </c>
      <c r="B30" t="s">
        <v>10</v>
      </c>
      <c r="C30">
        <v>1999</v>
      </c>
      <c r="D30" s="5" t="s">
        <v>47</v>
      </c>
      <c r="E30" s="5" t="s">
        <v>28</v>
      </c>
      <c r="F30" s="5" t="s">
        <v>28</v>
      </c>
      <c r="G30" t="s">
        <v>67</v>
      </c>
      <c r="H30" t="s">
        <v>68</v>
      </c>
      <c r="I30" t="s">
        <v>6</v>
      </c>
      <c r="J30" t="s">
        <v>6</v>
      </c>
      <c r="L30" t="s">
        <v>31</v>
      </c>
      <c r="M30" t="s">
        <v>32</v>
      </c>
      <c r="N30" s="6">
        <v>54.1</v>
      </c>
      <c r="O30" s="13">
        <f t="shared" ref="O30:O38" si="1">N30</f>
        <v>54.1</v>
      </c>
    </row>
    <row r="31" spans="1:16" x14ac:dyDescent="0.35">
      <c r="A31" t="s">
        <v>46</v>
      </c>
      <c r="B31" t="s">
        <v>10</v>
      </c>
      <c r="C31">
        <v>1999</v>
      </c>
      <c r="D31" s="5" t="s">
        <v>47</v>
      </c>
      <c r="E31" s="5" t="s">
        <v>28</v>
      </c>
      <c r="F31" s="5" t="s">
        <v>28</v>
      </c>
      <c r="G31" t="s">
        <v>67</v>
      </c>
      <c r="H31" t="s">
        <v>68</v>
      </c>
      <c r="I31" t="s">
        <v>50</v>
      </c>
      <c r="J31" t="s">
        <v>50</v>
      </c>
      <c r="L31" t="s">
        <v>31</v>
      </c>
      <c r="M31" t="s">
        <v>32</v>
      </c>
      <c r="N31" s="6">
        <v>59.8</v>
      </c>
      <c r="O31" s="13">
        <f t="shared" si="1"/>
        <v>59.8</v>
      </c>
    </row>
    <row r="32" spans="1:16" hidden="1" x14ac:dyDescent="0.35">
      <c r="A32" t="s">
        <v>46</v>
      </c>
      <c r="B32" t="s">
        <v>5</v>
      </c>
      <c r="C32">
        <v>1999</v>
      </c>
      <c r="D32" s="5" t="s">
        <v>47</v>
      </c>
      <c r="E32" s="5" t="s">
        <v>28</v>
      </c>
      <c r="F32" s="5" t="s">
        <v>28</v>
      </c>
      <c r="G32" t="s">
        <v>48</v>
      </c>
      <c r="H32" t="s">
        <v>49</v>
      </c>
      <c r="J32" t="s">
        <v>50</v>
      </c>
      <c r="L32" t="s">
        <v>31</v>
      </c>
      <c r="M32" t="s">
        <v>32</v>
      </c>
      <c r="N32" s="12">
        <v>50.9</v>
      </c>
      <c r="O32" s="13">
        <f t="shared" si="1"/>
        <v>50.9</v>
      </c>
    </row>
    <row r="33" spans="1:16" hidden="1" x14ac:dyDescent="0.35">
      <c r="A33" t="s">
        <v>46</v>
      </c>
      <c r="B33" t="s">
        <v>5</v>
      </c>
      <c r="C33">
        <v>1999</v>
      </c>
      <c r="D33" s="5" t="s">
        <v>47</v>
      </c>
      <c r="E33" s="5" t="s">
        <v>28</v>
      </c>
      <c r="F33" s="5" t="s">
        <v>28</v>
      </c>
      <c r="G33" t="s">
        <v>53</v>
      </c>
      <c r="H33" t="s">
        <v>54</v>
      </c>
      <c r="J33" t="s">
        <v>6</v>
      </c>
      <c r="L33" t="s">
        <v>31</v>
      </c>
      <c r="M33" t="s">
        <v>32</v>
      </c>
      <c r="N33" s="12">
        <v>47.1</v>
      </c>
      <c r="O33" s="13">
        <f t="shared" si="1"/>
        <v>47.1</v>
      </c>
    </row>
    <row r="34" spans="1:16" x14ac:dyDescent="0.35">
      <c r="A34" t="s">
        <v>46</v>
      </c>
      <c r="B34" t="s">
        <v>10</v>
      </c>
      <c r="C34">
        <v>1999</v>
      </c>
      <c r="D34" s="5" t="s">
        <v>47</v>
      </c>
      <c r="E34" s="5" t="s">
        <v>28</v>
      </c>
      <c r="F34" s="5" t="s">
        <v>28</v>
      </c>
      <c r="G34" t="s">
        <v>65</v>
      </c>
      <c r="H34" t="s">
        <v>66</v>
      </c>
      <c r="I34" t="s">
        <v>6</v>
      </c>
      <c r="J34" t="s">
        <v>6</v>
      </c>
      <c r="L34" t="s">
        <v>31</v>
      </c>
      <c r="M34" t="s">
        <v>32</v>
      </c>
      <c r="N34" s="9">
        <v>35.5</v>
      </c>
      <c r="O34" s="13">
        <f t="shared" si="1"/>
        <v>35.5</v>
      </c>
    </row>
    <row r="35" spans="1:16" x14ac:dyDescent="0.35">
      <c r="A35" t="s">
        <v>46</v>
      </c>
      <c r="B35" t="s">
        <v>10</v>
      </c>
      <c r="C35">
        <v>1999</v>
      </c>
      <c r="D35" s="5" t="s">
        <v>47</v>
      </c>
      <c r="E35" s="5" t="s">
        <v>28</v>
      </c>
      <c r="F35" s="5" t="s">
        <v>28</v>
      </c>
      <c r="G35" t="s">
        <v>65</v>
      </c>
      <c r="H35" t="s">
        <v>66</v>
      </c>
      <c r="I35" t="s">
        <v>50</v>
      </c>
      <c r="J35" t="s">
        <v>50</v>
      </c>
      <c r="L35" t="s">
        <v>31</v>
      </c>
      <c r="M35" t="s">
        <v>32</v>
      </c>
      <c r="N35" s="9">
        <v>40.6</v>
      </c>
      <c r="O35" s="13">
        <f t="shared" si="1"/>
        <v>40.6</v>
      </c>
    </row>
    <row r="36" spans="1:16" hidden="1" x14ac:dyDescent="0.35">
      <c r="A36" t="s">
        <v>46</v>
      </c>
      <c r="B36" t="s">
        <v>7</v>
      </c>
      <c r="C36">
        <v>1999</v>
      </c>
      <c r="D36" s="5" t="s">
        <v>47</v>
      </c>
      <c r="E36" s="5" t="s">
        <v>28</v>
      </c>
      <c r="F36" s="5" t="s">
        <v>28</v>
      </c>
      <c r="G36" t="s">
        <v>82</v>
      </c>
      <c r="H36" t="s">
        <v>83</v>
      </c>
      <c r="I36" t="s">
        <v>6</v>
      </c>
      <c r="J36" t="s">
        <v>6</v>
      </c>
      <c r="L36" t="s">
        <v>31</v>
      </c>
      <c r="M36" t="s">
        <v>32</v>
      </c>
      <c r="N36" s="9">
        <v>41</v>
      </c>
      <c r="O36" s="13">
        <f t="shared" si="1"/>
        <v>41</v>
      </c>
    </row>
    <row r="37" spans="1:16" hidden="1" x14ac:dyDescent="0.35">
      <c r="A37" t="s">
        <v>46</v>
      </c>
      <c r="B37" t="s">
        <v>7</v>
      </c>
      <c r="C37">
        <v>1999</v>
      </c>
      <c r="D37" s="5" t="s">
        <v>47</v>
      </c>
      <c r="E37" s="5" t="s">
        <v>28</v>
      </c>
      <c r="F37" s="5" t="s">
        <v>28</v>
      </c>
      <c r="G37" t="s">
        <v>82</v>
      </c>
      <c r="H37" t="s">
        <v>83</v>
      </c>
      <c r="I37" t="s">
        <v>50</v>
      </c>
      <c r="J37" t="s">
        <v>50</v>
      </c>
      <c r="L37" t="s">
        <v>31</v>
      </c>
      <c r="M37" t="s">
        <v>32</v>
      </c>
      <c r="N37" s="12">
        <v>43</v>
      </c>
      <c r="O37" s="9">
        <f t="shared" si="1"/>
        <v>43</v>
      </c>
    </row>
    <row r="38" spans="1:16" hidden="1" x14ac:dyDescent="0.35">
      <c r="A38" t="s">
        <v>69</v>
      </c>
      <c r="B38" t="s">
        <v>10</v>
      </c>
      <c r="C38" s="9" t="s">
        <v>70</v>
      </c>
      <c r="D38" s="5" t="s">
        <v>27</v>
      </c>
      <c r="E38" t="s">
        <v>28</v>
      </c>
      <c r="F38" t="s">
        <v>28</v>
      </c>
      <c r="G38" t="s">
        <v>71</v>
      </c>
      <c r="H38" t="s">
        <v>72</v>
      </c>
      <c r="L38" t="s">
        <v>73</v>
      </c>
      <c r="M38" t="s">
        <v>32</v>
      </c>
      <c r="N38" s="9">
        <v>31</v>
      </c>
      <c r="O38" s="13">
        <f t="shared" si="1"/>
        <v>31</v>
      </c>
    </row>
    <row r="39" spans="1:16" hidden="1" x14ac:dyDescent="0.35">
      <c r="A39" s="7" t="s">
        <v>37</v>
      </c>
      <c r="B39" t="s">
        <v>2</v>
      </c>
      <c r="C39" s="8">
        <v>1994</v>
      </c>
      <c r="D39" s="8" t="s">
        <v>27</v>
      </c>
      <c r="E39" s="8" t="s">
        <v>28</v>
      </c>
      <c r="F39" s="8" t="s">
        <v>28</v>
      </c>
      <c r="G39" s="7" t="s">
        <v>38</v>
      </c>
      <c r="H39" s="7" t="s">
        <v>39</v>
      </c>
      <c r="L39" t="s">
        <v>40</v>
      </c>
      <c r="M39" t="s">
        <v>41</v>
      </c>
      <c r="N39" s="8">
        <v>7</v>
      </c>
      <c r="P39" s="13">
        <f>SUM(N39:N41)</f>
        <v>39.799999999999997</v>
      </c>
    </row>
    <row r="40" spans="1:16" hidden="1" x14ac:dyDescent="0.35">
      <c r="A40" s="7" t="s">
        <v>37</v>
      </c>
      <c r="B40" t="s">
        <v>2</v>
      </c>
      <c r="C40" s="8">
        <v>1994</v>
      </c>
      <c r="D40" s="8" t="s">
        <v>27</v>
      </c>
      <c r="E40" s="8" t="s">
        <v>28</v>
      </c>
      <c r="F40" s="8" t="s">
        <v>28</v>
      </c>
      <c r="G40" s="7" t="s">
        <v>38</v>
      </c>
      <c r="H40" s="7" t="s">
        <v>39</v>
      </c>
      <c r="L40" t="s">
        <v>33</v>
      </c>
      <c r="M40" t="s">
        <v>34</v>
      </c>
      <c r="N40" s="8">
        <v>1.6</v>
      </c>
    </row>
    <row r="41" spans="1:16" hidden="1" x14ac:dyDescent="0.35">
      <c r="A41" s="7" t="s">
        <v>37</v>
      </c>
      <c r="B41" t="s">
        <v>2</v>
      </c>
      <c r="C41" s="8">
        <v>1994</v>
      </c>
      <c r="D41" s="8" t="s">
        <v>27</v>
      </c>
      <c r="E41" s="8" t="s">
        <v>28</v>
      </c>
      <c r="F41" s="8" t="s">
        <v>28</v>
      </c>
      <c r="G41" s="7" t="s">
        <v>38</v>
      </c>
      <c r="H41" s="7" t="s">
        <v>39</v>
      </c>
      <c r="L41" t="s">
        <v>35</v>
      </c>
      <c r="M41" t="s">
        <v>36</v>
      </c>
      <c r="N41" s="8">
        <v>31.2</v>
      </c>
    </row>
    <row r="42" spans="1:16" hidden="1" x14ac:dyDescent="0.35">
      <c r="A42" s="9" t="s">
        <v>37</v>
      </c>
      <c r="B42" t="s">
        <v>2</v>
      </c>
      <c r="C42">
        <v>1994</v>
      </c>
      <c r="D42" t="s">
        <v>27</v>
      </c>
      <c r="E42" t="s">
        <v>28</v>
      </c>
      <c r="F42" t="s">
        <v>28</v>
      </c>
      <c r="G42" s="9" t="s">
        <v>38</v>
      </c>
      <c r="H42" s="9" t="s">
        <v>39</v>
      </c>
      <c r="L42" t="s">
        <v>31</v>
      </c>
      <c r="M42" t="s">
        <v>32</v>
      </c>
      <c r="N42" s="6">
        <v>35.700000000000003</v>
      </c>
      <c r="O42" s="13">
        <f>N42</f>
        <v>35.700000000000003</v>
      </c>
    </row>
    <row r="43" spans="1:16" hidden="1" x14ac:dyDescent="0.35">
      <c r="A43" s="30" t="s">
        <v>176</v>
      </c>
      <c r="B43" s="30" t="s">
        <v>7</v>
      </c>
      <c r="C43" s="30">
        <v>1999</v>
      </c>
      <c r="D43" s="30" t="s">
        <v>47</v>
      </c>
      <c r="E43" s="30"/>
      <c r="F43" s="31" t="s">
        <v>28</v>
      </c>
      <c r="G43" s="30" t="s">
        <v>177</v>
      </c>
      <c r="H43" s="30" t="s">
        <v>214</v>
      </c>
      <c r="I43" s="30"/>
      <c r="J43" s="30" t="s">
        <v>179</v>
      </c>
      <c r="K43" s="30" t="s">
        <v>191</v>
      </c>
      <c r="L43" s="30" t="s">
        <v>31</v>
      </c>
      <c r="M43" s="30" t="s">
        <v>32</v>
      </c>
      <c r="N43" s="30">
        <v>63</v>
      </c>
      <c r="O43" s="30">
        <f>N43</f>
        <v>63</v>
      </c>
      <c r="P43" s="30"/>
    </row>
    <row r="44" spans="1:16" hidden="1" x14ac:dyDescent="0.35">
      <c r="A44" s="30" t="s">
        <v>176</v>
      </c>
      <c r="B44" s="30" t="s">
        <v>7</v>
      </c>
      <c r="C44" s="30">
        <v>1999</v>
      </c>
      <c r="D44" s="30" t="s">
        <v>47</v>
      </c>
      <c r="E44" s="30"/>
      <c r="F44" s="31" t="s">
        <v>28</v>
      </c>
      <c r="G44" s="30" t="s">
        <v>177</v>
      </c>
      <c r="H44" s="30" t="s">
        <v>214</v>
      </c>
      <c r="I44" s="30"/>
      <c r="J44" s="30" t="s">
        <v>179</v>
      </c>
      <c r="K44" s="30" t="s">
        <v>191</v>
      </c>
      <c r="L44" s="30" t="s">
        <v>148</v>
      </c>
      <c r="M44" s="30" t="s">
        <v>36</v>
      </c>
      <c r="N44" s="30">
        <v>5.5</v>
      </c>
      <c r="O44" s="30"/>
      <c r="P44" s="30">
        <f>SUM(N44:N45)</f>
        <v>26</v>
      </c>
    </row>
    <row r="45" spans="1:16" hidden="1" x14ac:dyDescent="0.35">
      <c r="A45" s="30" t="s">
        <v>176</v>
      </c>
      <c r="B45" s="30" t="s">
        <v>7</v>
      </c>
      <c r="C45" s="30">
        <v>1999</v>
      </c>
      <c r="D45" s="30" t="s">
        <v>47</v>
      </c>
      <c r="E45" s="30"/>
      <c r="F45" s="31" t="s">
        <v>28</v>
      </c>
      <c r="G45" s="30" t="s">
        <v>177</v>
      </c>
      <c r="H45" s="30" t="s">
        <v>214</v>
      </c>
      <c r="I45" s="30"/>
      <c r="J45" s="30" t="s">
        <v>179</v>
      </c>
      <c r="K45" s="30" t="s">
        <v>191</v>
      </c>
      <c r="L45" s="30" t="s">
        <v>61</v>
      </c>
      <c r="M45" s="30" t="s">
        <v>34</v>
      </c>
      <c r="N45" s="30">
        <v>20.5</v>
      </c>
      <c r="O45" s="30"/>
      <c r="P45" s="30"/>
    </row>
    <row r="46" spans="1:16" hidden="1" x14ac:dyDescent="0.35">
      <c r="A46" s="30" t="s">
        <v>176</v>
      </c>
      <c r="B46" s="30" t="s">
        <v>7</v>
      </c>
      <c r="C46" s="30">
        <v>1999</v>
      </c>
      <c r="D46" s="30" t="s">
        <v>47</v>
      </c>
      <c r="E46" s="30"/>
      <c r="F46" s="31" t="s">
        <v>28</v>
      </c>
      <c r="G46" s="30" t="s">
        <v>177</v>
      </c>
      <c r="H46" s="30" t="s">
        <v>225</v>
      </c>
      <c r="I46" s="30"/>
      <c r="J46" s="30" t="s">
        <v>179</v>
      </c>
      <c r="K46" s="30" t="s">
        <v>226</v>
      </c>
      <c r="L46" s="30" t="s">
        <v>31</v>
      </c>
      <c r="M46" s="30" t="s">
        <v>32</v>
      </c>
      <c r="N46" s="30">
        <v>88</v>
      </c>
      <c r="O46" s="30">
        <f>N46</f>
        <v>88</v>
      </c>
      <c r="P46" s="30"/>
    </row>
    <row r="47" spans="1:16" hidden="1" x14ac:dyDescent="0.35">
      <c r="A47" s="30" t="s">
        <v>176</v>
      </c>
      <c r="B47" s="30" t="s">
        <v>7</v>
      </c>
      <c r="C47" s="30">
        <v>1999</v>
      </c>
      <c r="D47" s="30" t="s">
        <v>47</v>
      </c>
      <c r="E47" s="30"/>
      <c r="F47" s="31" t="s">
        <v>28</v>
      </c>
      <c r="G47" s="30" t="s">
        <v>177</v>
      </c>
      <c r="H47" s="30" t="s">
        <v>225</v>
      </c>
      <c r="I47" s="30"/>
      <c r="J47" s="30" t="s">
        <v>179</v>
      </c>
      <c r="K47" s="30" t="s">
        <v>226</v>
      </c>
      <c r="L47" s="30" t="s">
        <v>148</v>
      </c>
      <c r="M47" s="30" t="s">
        <v>36</v>
      </c>
      <c r="N47" s="30">
        <v>5.5</v>
      </c>
      <c r="O47" s="30"/>
      <c r="P47" s="30">
        <f>SUM(N47:N48)</f>
        <v>26</v>
      </c>
    </row>
    <row r="48" spans="1:16" hidden="1" x14ac:dyDescent="0.35">
      <c r="A48" s="30" t="s">
        <v>176</v>
      </c>
      <c r="B48" s="30" t="s">
        <v>7</v>
      </c>
      <c r="C48" s="30">
        <v>1999</v>
      </c>
      <c r="D48" s="30" t="s">
        <v>47</v>
      </c>
      <c r="E48" s="30"/>
      <c r="F48" s="31" t="s">
        <v>28</v>
      </c>
      <c r="G48" s="30" t="s">
        <v>177</v>
      </c>
      <c r="H48" s="30" t="s">
        <v>225</v>
      </c>
      <c r="I48" s="30"/>
      <c r="J48" s="30" t="s">
        <v>179</v>
      </c>
      <c r="K48" s="30" t="s">
        <v>226</v>
      </c>
      <c r="L48" s="30" t="s">
        <v>61</v>
      </c>
      <c r="M48" s="30" t="s">
        <v>34</v>
      </c>
      <c r="N48" s="30">
        <v>20.5</v>
      </c>
      <c r="O48" s="30"/>
      <c r="P48" s="30"/>
    </row>
    <row r="49" spans="1:16" hidden="1" x14ac:dyDescent="0.35">
      <c r="A49" s="30" t="s">
        <v>176</v>
      </c>
      <c r="B49" s="30" t="s">
        <v>7</v>
      </c>
      <c r="C49" s="30">
        <v>1999</v>
      </c>
      <c r="D49" s="30" t="s">
        <v>47</v>
      </c>
      <c r="E49" s="30"/>
      <c r="F49" s="31" t="s">
        <v>28</v>
      </c>
      <c r="G49" s="30" t="s">
        <v>177</v>
      </c>
      <c r="H49" s="30" t="s">
        <v>221</v>
      </c>
      <c r="I49" s="30"/>
      <c r="J49" s="30" t="s">
        <v>221</v>
      </c>
      <c r="K49" s="30" t="s">
        <v>191</v>
      </c>
      <c r="L49" s="30" t="s">
        <v>31</v>
      </c>
      <c r="M49" s="30" t="s">
        <v>32</v>
      </c>
      <c r="N49" s="30">
        <v>40.5</v>
      </c>
      <c r="O49" s="30">
        <f>N49</f>
        <v>40.5</v>
      </c>
      <c r="P49" s="30"/>
    </row>
    <row r="50" spans="1:16" hidden="1" x14ac:dyDescent="0.35">
      <c r="A50" s="30" t="s">
        <v>176</v>
      </c>
      <c r="B50" s="30" t="s">
        <v>7</v>
      </c>
      <c r="C50" s="30">
        <v>1999</v>
      </c>
      <c r="D50" s="30" t="s">
        <v>47</v>
      </c>
      <c r="E50" s="30"/>
      <c r="F50" s="31" t="s">
        <v>28</v>
      </c>
      <c r="G50" s="30" t="s">
        <v>177</v>
      </c>
      <c r="H50" s="30" t="s">
        <v>221</v>
      </c>
      <c r="I50" s="30"/>
      <c r="J50" s="30" t="s">
        <v>221</v>
      </c>
      <c r="K50" s="30" t="s">
        <v>191</v>
      </c>
      <c r="L50" s="30" t="s">
        <v>148</v>
      </c>
      <c r="M50" s="30" t="s">
        <v>36</v>
      </c>
      <c r="N50" s="30">
        <v>40.5</v>
      </c>
      <c r="O50" s="30"/>
      <c r="P50" s="30">
        <f>SUM(N50:N51)</f>
        <v>46</v>
      </c>
    </row>
    <row r="51" spans="1:16" hidden="1" x14ac:dyDescent="0.35">
      <c r="A51" s="30" t="s">
        <v>176</v>
      </c>
      <c r="B51" s="30" t="s">
        <v>7</v>
      </c>
      <c r="C51" s="30">
        <v>1999</v>
      </c>
      <c r="D51" s="30" t="s">
        <v>47</v>
      </c>
      <c r="E51" s="30"/>
      <c r="F51" s="31" t="s">
        <v>28</v>
      </c>
      <c r="G51" s="30" t="s">
        <v>177</v>
      </c>
      <c r="H51" s="30" t="s">
        <v>221</v>
      </c>
      <c r="I51" s="30"/>
      <c r="J51" s="30" t="s">
        <v>221</v>
      </c>
      <c r="K51" s="30" t="s">
        <v>191</v>
      </c>
      <c r="L51" s="30" t="s">
        <v>61</v>
      </c>
      <c r="M51" s="30" t="s">
        <v>34</v>
      </c>
      <c r="N51" s="30">
        <v>5.5</v>
      </c>
      <c r="O51" s="30"/>
      <c r="P51" s="30"/>
    </row>
    <row r="52" spans="1:16" hidden="1" x14ac:dyDescent="0.35">
      <c r="A52" s="30" t="s">
        <v>176</v>
      </c>
      <c r="B52" s="30" t="s">
        <v>7</v>
      </c>
      <c r="C52" s="30">
        <v>1999</v>
      </c>
      <c r="D52" s="30" t="s">
        <v>47</v>
      </c>
      <c r="E52" s="30"/>
      <c r="F52" s="31" t="s">
        <v>28</v>
      </c>
      <c r="G52" s="30" t="s">
        <v>177</v>
      </c>
      <c r="H52" s="30" t="s">
        <v>217</v>
      </c>
      <c r="I52" s="30"/>
      <c r="J52" s="30" t="s">
        <v>179</v>
      </c>
      <c r="K52" s="30" t="s">
        <v>218</v>
      </c>
      <c r="L52" s="30" t="s">
        <v>31</v>
      </c>
      <c r="M52" s="30" t="s">
        <v>32</v>
      </c>
      <c r="N52" s="30">
        <v>88</v>
      </c>
      <c r="O52" s="30">
        <f>N52</f>
        <v>88</v>
      </c>
      <c r="P52" s="30"/>
    </row>
    <row r="53" spans="1:16" hidden="1" x14ac:dyDescent="0.35">
      <c r="A53" s="30" t="s">
        <v>176</v>
      </c>
      <c r="B53" s="30" t="s">
        <v>7</v>
      </c>
      <c r="C53" s="30">
        <v>1999</v>
      </c>
      <c r="D53" s="30" t="s">
        <v>47</v>
      </c>
      <c r="E53" s="30"/>
      <c r="F53" s="31" t="s">
        <v>28</v>
      </c>
      <c r="G53" s="30" t="s">
        <v>177</v>
      </c>
      <c r="H53" s="30" t="s">
        <v>217</v>
      </c>
      <c r="I53" s="30"/>
      <c r="J53" s="30" t="s">
        <v>179</v>
      </c>
      <c r="K53" s="30" t="s">
        <v>218</v>
      </c>
      <c r="L53" s="30" t="s">
        <v>148</v>
      </c>
      <c r="M53" s="30" t="s">
        <v>36</v>
      </c>
      <c r="N53" s="30">
        <v>5.5</v>
      </c>
      <c r="O53" s="30"/>
      <c r="P53" s="30">
        <f>SUM(N53:N54)</f>
        <v>11</v>
      </c>
    </row>
    <row r="54" spans="1:16" hidden="1" x14ac:dyDescent="0.35">
      <c r="A54" s="30" t="s">
        <v>176</v>
      </c>
      <c r="B54" s="30" t="s">
        <v>7</v>
      </c>
      <c r="C54" s="30">
        <v>1999</v>
      </c>
      <c r="D54" s="30" t="s">
        <v>47</v>
      </c>
      <c r="E54" s="30"/>
      <c r="F54" s="31" t="s">
        <v>28</v>
      </c>
      <c r="G54" s="30" t="s">
        <v>177</v>
      </c>
      <c r="H54" s="30" t="s">
        <v>217</v>
      </c>
      <c r="I54" s="30"/>
      <c r="J54" s="30" t="s">
        <v>179</v>
      </c>
      <c r="K54" s="30" t="s">
        <v>218</v>
      </c>
      <c r="L54" s="30" t="s">
        <v>61</v>
      </c>
      <c r="M54" s="30" t="s">
        <v>34</v>
      </c>
      <c r="N54" s="30">
        <v>5.5</v>
      </c>
      <c r="O54" s="30"/>
      <c r="P54" s="30"/>
    </row>
    <row r="55" spans="1:16" hidden="1" x14ac:dyDescent="0.35">
      <c r="A55" s="30" t="s">
        <v>176</v>
      </c>
      <c r="B55" s="30" t="s">
        <v>7</v>
      </c>
      <c r="C55" s="30">
        <v>1999</v>
      </c>
      <c r="D55" s="30" t="s">
        <v>47</v>
      </c>
      <c r="E55" s="30"/>
      <c r="F55" s="31" t="s">
        <v>28</v>
      </c>
      <c r="G55" s="30" t="s">
        <v>177</v>
      </c>
      <c r="H55" s="30" t="s">
        <v>219</v>
      </c>
      <c r="I55" s="30"/>
      <c r="J55" s="30" t="s">
        <v>179</v>
      </c>
      <c r="K55" s="30" t="s">
        <v>197</v>
      </c>
      <c r="L55" s="30" t="s">
        <v>31</v>
      </c>
      <c r="M55" s="30" t="s">
        <v>32</v>
      </c>
      <c r="N55" s="30">
        <v>63</v>
      </c>
      <c r="O55" s="30">
        <f>N55</f>
        <v>63</v>
      </c>
      <c r="P55" s="30"/>
    </row>
    <row r="56" spans="1:16" hidden="1" x14ac:dyDescent="0.35">
      <c r="A56" s="30" t="s">
        <v>176</v>
      </c>
      <c r="B56" s="30" t="s">
        <v>7</v>
      </c>
      <c r="C56" s="30">
        <v>1999</v>
      </c>
      <c r="D56" s="30" t="s">
        <v>47</v>
      </c>
      <c r="E56" s="30"/>
      <c r="F56" s="31" t="s">
        <v>28</v>
      </c>
      <c r="G56" s="30" t="s">
        <v>177</v>
      </c>
      <c r="H56" s="30" t="s">
        <v>219</v>
      </c>
      <c r="I56" s="30"/>
      <c r="J56" s="30" t="s">
        <v>179</v>
      </c>
      <c r="K56" s="30" t="s">
        <v>197</v>
      </c>
      <c r="L56" s="30" t="s">
        <v>148</v>
      </c>
      <c r="M56" s="30" t="s">
        <v>36</v>
      </c>
      <c r="N56" s="30">
        <v>40.5</v>
      </c>
      <c r="O56" s="30"/>
      <c r="P56" s="30">
        <f>SUM(N56:N57)</f>
        <v>40.5</v>
      </c>
    </row>
    <row r="57" spans="1:16" hidden="1" x14ac:dyDescent="0.35">
      <c r="A57" s="30" t="s">
        <v>176</v>
      </c>
      <c r="B57" s="30" t="s">
        <v>7</v>
      </c>
      <c r="C57" s="30">
        <v>1999</v>
      </c>
      <c r="D57" s="30" t="s">
        <v>47</v>
      </c>
      <c r="E57" s="30"/>
      <c r="F57" s="31" t="s">
        <v>28</v>
      </c>
      <c r="G57" s="30" t="s">
        <v>177</v>
      </c>
      <c r="H57" s="30" t="s">
        <v>219</v>
      </c>
      <c r="I57" s="30"/>
      <c r="J57" s="30" t="s">
        <v>179</v>
      </c>
      <c r="K57" s="30" t="s">
        <v>197</v>
      </c>
      <c r="L57" s="30" t="s">
        <v>61</v>
      </c>
      <c r="M57" s="30" t="s">
        <v>34</v>
      </c>
      <c r="N57" s="30">
        <v>0</v>
      </c>
      <c r="O57" s="30"/>
      <c r="P57" s="30"/>
    </row>
    <row r="58" spans="1:16" hidden="1" x14ac:dyDescent="0.35">
      <c r="A58" s="30" t="s">
        <v>176</v>
      </c>
      <c r="B58" s="30" t="s">
        <v>7</v>
      </c>
      <c r="C58" s="30">
        <v>1999</v>
      </c>
      <c r="D58" s="30" t="s">
        <v>47</v>
      </c>
      <c r="E58" s="30"/>
      <c r="F58" s="31" t="s">
        <v>28</v>
      </c>
      <c r="G58" s="30" t="s">
        <v>177</v>
      </c>
      <c r="H58" s="30" t="s">
        <v>157</v>
      </c>
      <c r="I58" s="30"/>
      <c r="J58" s="30" t="s">
        <v>185</v>
      </c>
      <c r="K58" s="30" t="s">
        <v>195</v>
      </c>
      <c r="L58" s="30" t="s">
        <v>31</v>
      </c>
      <c r="M58" s="30" t="s">
        <v>32</v>
      </c>
      <c r="N58" s="30">
        <v>20.5</v>
      </c>
      <c r="O58" s="30">
        <f>N58</f>
        <v>20.5</v>
      </c>
      <c r="P58" s="30"/>
    </row>
    <row r="59" spans="1:16" hidden="1" x14ac:dyDescent="0.35">
      <c r="A59" s="30" t="s">
        <v>176</v>
      </c>
      <c r="B59" s="30" t="s">
        <v>7</v>
      </c>
      <c r="C59" s="30">
        <v>1999</v>
      </c>
      <c r="D59" s="30" t="s">
        <v>47</v>
      </c>
      <c r="E59" s="30"/>
      <c r="F59" s="31" t="s">
        <v>28</v>
      </c>
      <c r="G59" s="30" t="s">
        <v>177</v>
      </c>
      <c r="H59" s="30" t="s">
        <v>157</v>
      </c>
      <c r="I59" s="30"/>
      <c r="J59" s="30" t="s">
        <v>185</v>
      </c>
      <c r="K59" s="30" t="s">
        <v>195</v>
      </c>
      <c r="L59" s="30" t="s">
        <v>148</v>
      </c>
      <c r="M59" s="30" t="s">
        <v>36</v>
      </c>
      <c r="N59" s="30">
        <v>63</v>
      </c>
      <c r="O59" s="30"/>
      <c r="P59" s="30">
        <f>SUM(N59:N60)</f>
        <v>68.5</v>
      </c>
    </row>
    <row r="60" spans="1:16" hidden="1" x14ac:dyDescent="0.35">
      <c r="A60" s="30" t="s">
        <v>176</v>
      </c>
      <c r="B60" s="30" t="s">
        <v>7</v>
      </c>
      <c r="C60" s="30">
        <v>1999</v>
      </c>
      <c r="D60" s="30" t="s">
        <v>47</v>
      </c>
      <c r="E60" s="30"/>
      <c r="F60" s="31" t="s">
        <v>28</v>
      </c>
      <c r="G60" s="30" t="s">
        <v>177</v>
      </c>
      <c r="H60" s="30" t="s">
        <v>157</v>
      </c>
      <c r="I60" s="30"/>
      <c r="J60" s="30" t="s">
        <v>185</v>
      </c>
      <c r="K60" s="30" t="s">
        <v>195</v>
      </c>
      <c r="L60" s="30" t="s">
        <v>61</v>
      </c>
      <c r="M60" s="30" t="s">
        <v>34</v>
      </c>
      <c r="N60" s="30">
        <v>5.5</v>
      </c>
      <c r="O60" s="30"/>
      <c r="P60" s="30"/>
    </row>
    <row r="61" spans="1:16" hidden="1" x14ac:dyDescent="0.35">
      <c r="A61" s="30" t="s">
        <v>176</v>
      </c>
      <c r="B61" s="30" t="s">
        <v>7</v>
      </c>
      <c r="C61" s="30">
        <v>1999</v>
      </c>
      <c r="D61" s="30" t="s">
        <v>47</v>
      </c>
      <c r="E61" s="30"/>
      <c r="F61" s="31" t="s">
        <v>28</v>
      </c>
      <c r="G61" s="30" t="s">
        <v>177</v>
      </c>
      <c r="H61" s="30" t="s">
        <v>200</v>
      </c>
      <c r="I61" s="30"/>
      <c r="J61" s="30" t="s">
        <v>77</v>
      </c>
      <c r="K61" s="30" t="s">
        <v>197</v>
      </c>
      <c r="L61" s="30" t="s">
        <v>31</v>
      </c>
      <c r="M61" s="30" t="s">
        <v>32</v>
      </c>
      <c r="N61" s="30">
        <v>20.5</v>
      </c>
      <c r="O61" s="30">
        <f>N61</f>
        <v>20.5</v>
      </c>
      <c r="P61" s="30"/>
    </row>
    <row r="62" spans="1:16" hidden="1" x14ac:dyDescent="0.35">
      <c r="A62" s="30" t="s">
        <v>176</v>
      </c>
      <c r="B62" s="30" t="s">
        <v>7</v>
      </c>
      <c r="C62" s="30">
        <v>1999</v>
      </c>
      <c r="D62" s="30" t="s">
        <v>47</v>
      </c>
      <c r="E62" s="30"/>
      <c r="F62" s="31" t="s">
        <v>28</v>
      </c>
      <c r="G62" s="30" t="s">
        <v>177</v>
      </c>
      <c r="H62" s="30" t="s">
        <v>200</v>
      </c>
      <c r="I62" s="30"/>
      <c r="J62" s="30" t="s">
        <v>77</v>
      </c>
      <c r="K62" s="30" t="s">
        <v>197</v>
      </c>
      <c r="L62" s="30" t="s">
        <v>148</v>
      </c>
      <c r="M62" s="30" t="s">
        <v>36</v>
      </c>
      <c r="N62" s="30">
        <v>20.5</v>
      </c>
      <c r="O62" s="30"/>
      <c r="P62" s="30">
        <f>SUM(N62:N63)</f>
        <v>26</v>
      </c>
    </row>
    <row r="63" spans="1:16" hidden="1" x14ac:dyDescent="0.35">
      <c r="A63" s="30" t="s">
        <v>176</v>
      </c>
      <c r="B63" s="30" t="s">
        <v>7</v>
      </c>
      <c r="C63" s="30">
        <v>1999</v>
      </c>
      <c r="D63" s="30" t="s">
        <v>47</v>
      </c>
      <c r="E63" s="30"/>
      <c r="F63" s="31" t="s">
        <v>28</v>
      </c>
      <c r="G63" s="30" t="s">
        <v>177</v>
      </c>
      <c r="H63" s="30" t="s">
        <v>200</v>
      </c>
      <c r="I63" s="30"/>
      <c r="J63" s="30" t="s">
        <v>77</v>
      </c>
      <c r="K63" s="30" t="s">
        <v>197</v>
      </c>
      <c r="L63" s="30" t="s">
        <v>61</v>
      </c>
      <c r="M63" s="30" t="s">
        <v>34</v>
      </c>
      <c r="N63" s="30">
        <v>5.5</v>
      </c>
      <c r="O63" s="30"/>
      <c r="P63" s="30"/>
    </row>
    <row r="64" spans="1:16" hidden="1" x14ac:dyDescent="0.35">
      <c r="A64" s="30" t="s">
        <v>176</v>
      </c>
      <c r="B64" s="30" t="s">
        <v>7</v>
      </c>
      <c r="C64" s="30">
        <v>1999</v>
      </c>
      <c r="D64" s="30" t="s">
        <v>47</v>
      </c>
      <c r="E64" s="30"/>
      <c r="F64" s="31" t="s">
        <v>28</v>
      </c>
      <c r="G64" s="30" t="s">
        <v>177</v>
      </c>
      <c r="H64" s="30" t="s">
        <v>198</v>
      </c>
      <c r="I64" s="30"/>
      <c r="J64" s="30" t="s">
        <v>199</v>
      </c>
      <c r="K64" s="30" t="s">
        <v>197</v>
      </c>
      <c r="L64" s="30" t="s">
        <v>31</v>
      </c>
      <c r="M64" s="30" t="s">
        <v>32</v>
      </c>
      <c r="N64" s="30">
        <v>20.5</v>
      </c>
      <c r="O64" s="30">
        <f>N64</f>
        <v>20.5</v>
      </c>
      <c r="P64" s="30"/>
    </row>
    <row r="65" spans="1:16" hidden="1" x14ac:dyDescent="0.35">
      <c r="A65" s="30" t="s">
        <v>176</v>
      </c>
      <c r="B65" s="30" t="s">
        <v>7</v>
      </c>
      <c r="C65" s="30">
        <v>1999</v>
      </c>
      <c r="D65" s="30" t="s">
        <v>47</v>
      </c>
      <c r="E65" s="30"/>
      <c r="F65" s="31" t="s">
        <v>28</v>
      </c>
      <c r="G65" s="30" t="s">
        <v>177</v>
      </c>
      <c r="H65" s="30" t="s">
        <v>198</v>
      </c>
      <c r="I65" s="30"/>
      <c r="J65" s="30" t="s">
        <v>199</v>
      </c>
      <c r="K65" s="30" t="s">
        <v>197</v>
      </c>
      <c r="L65" s="30" t="s">
        <v>148</v>
      </c>
      <c r="M65" s="30" t="s">
        <v>36</v>
      </c>
      <c r="N65" s="30">
        <v>5.5</v>
      </c>
      <c r="O65" s="30"/>
      <c r="P65" s="30">
        <f>SUM(N65:N66)</f>
        <v>11</v>
      </c>
    </row>
    <row r="66" spans="1:16" hidden="1" x14ac:dyDescent="0.35">
      <c r="A66" s="30" t="s">
        <v>176</v>
      </c>
      <c r="B66" s="30" t="s">
        <v>7</v>
      </c>
      <c r="C66" s="30">
        <v>1999</v>
      </c>
      <c r="D66" s="30" t="s">
        <v>47</v>
      </c>
      <c r="E66" s="30"/>
      <c r="F66" s="31" t="s">
        <v>28</v>
      </c>
      <c r="G66" s="30" t="s">
        <v>177</v>
      </c>
      <c r="H66" s="30" t="s">
        <v>198</v>
      </c>
      <c r="I66" s="30"/>
      <c r="J66" s="30" t="s">
        <v>199</v>
      </c>
      <c r="K66" s="30" t="s">
        <v>197</v>
      </c>
      <c r="L66" s="30" t="s">
        <v>61</v>
      </c>
      <c r="M66" s="30" t="s">
        <v>34</v>
      </c>
      <c r="N66" s="30">
        <v>5.5</v>
      </c>
      <c r="O66" s="30"/>
      <c r="P66" s="30"/>
    </row>
    <row r="67" spans="1:16" hidden="1" x14ac:dyDescent="0.35">
      <c r="A67" s="30" t="s">
        <v>176</v>
      </c>
      <c r="B67" s="30" t="s">
        <v>7</v>
      </c>
      <c r="C67" s="30">
        <v>1999</v>
      </c>
      <c r="D67" s="30" t="s">
        <v>47</v>
      </c>
      <c r="E67" s="30"/>
      <c r="F67" s="31" t="s">
        <v>28</v>
      </c>
      <c r="G67" s="30" t="s">
        <v>177</v>
      </c>
      <c r="H67" s="30" t="s">
        <v>196</v>
      </c>
      <c r="I67" s="30"/>
      <c r="J67" s="30" t="s">
        <v>179</v>
      </c>
      <c r="K67" s="30" t="s">
        <v>197</v>
      </c>
      <c r="L67" s="30" t="s">
        <v>31</v>
      </c>
      <c r="M67" s="30" t="s">
        <v>32</v>
      </c>
      <c r="N67" s="30">
        <v>63</v>
      </c>
      <c r="O67" s="30">
        <f>N67</f>
        <v>63</v>
      </c>
      <c r="P67" s="30"/>
    </row>
    <row r="68" spans="1:16" hidden="1" x14ac:dyDescent="0.35">
      <c r="A68" s="30" t="s">
        <v>176</v>
      </c>
      <c r="B68" s="30" t="s">
        <v>7</v>
      </c>
      <c r="C68" s="30">
        <v>1999</v>
      </c>
      <c r="D68" s="30" t="s">
        <v>47</v>
      </c>
      <c r="E68" s="30"/>
      <c r="F68" s="31" t="s">
        <v>28</v>
      </c>
      <c r="G68" s="30" t="s">
        <v>177</v>
      </c>
      <c r="H68" s="30" t="s">
        <v>196</v>
      </c>
      <c r="I68" s="30"/>
      <c r="J68" s="30" t="s">
        <v>179</v>
      </c>
      <c r="K68" s="30" t="s">
        <v>197</v>
      </c>
      <c r="L68" s="30" t="s">
        <v>148</v>
      </c>
      <c r="M68" s="30" t="s">
        <v>36</v>
      </c>
      <c r="N68" s="30">
        <v>20.5</v>
      </c>
      <c r="O68" s="30"/>
      <c r="P68" s="30">
        <f>SUM(N68:N69)</f>
        <v>20.5</v>
      </c>
    </row>
    <row r="69" spans="1:16" hidden="1" x14ac:dyDescent="0.35">
      <c r="A69" s="30" t="s">
        <v>176</v>
      </c>
      <c r="B69" s="30" t="s">
        <v>7</v>
      </c>
      <c r="C69" s="30">
        <v>1999</v>
      </c>
      <c r="D69" s="30" t="s">
        <v>47</v>
      </c>
      <c r="E69" s="30"/>
      <c r="F69" s="31" t="s">
        <v>28</v>
      </c>
      <c r="G69" s="30" t="s">
        <v>177</v>
      </c>
      <c r="H69" s="30" t="s">
        <v>196</v>
      </c>
      <c r="I69" s="30"/>
      <c r="J69" s="30" t="s">
        <v>179</v>
      </c>
      <c r="K69" s="30" t="s">
        <v>197</v>
      </c>
      <c r="L69" s="30" t="s">
        <v>61</v>
      </c>
      <c r="M69" s="30" t="s">
        <v>34</v>
      </c>
      <c r="N69" s="30">
        <v>0</v>
      </c>
      <c r="O69" s="30"/>
      <c r="P69" s="30"/>
    </row>
    <row r="70" spans="1:16" hidden="1" x14ac:dyDescent="0.35">
      <c r="A70" s="30" t="s">
        <v>176</v>
      </c>
      <c r="B70" s="30" t="s">
        <v>7</v>
      </c>
      <c r="C70" s="30">
        <v>1999</v>
      </c>
      <c r="D70" s="30" t="s">
        <v>47</v>
      </c>
      <c r="E70" s="30"/>
      <c r="F70" s="31" t="s">
        <v>28</v>
      </c>
      <c r="G70" s="30" t="s">
        <v>177</v>
      </c>
      <c r="H70" s="30" t="s">
        <v>224</v>
      </c>
      <c r="I70" s="30"/>
      <c r="J70" s="30" t="s">
        <v>179</v>
      </c>
      <c r="K70" s="30" t="s">
        <v>197</v>
      </c>
      <c r="L70" s="30" t="s">
        <v>31</v>
      </c>
      <c r="M70" s="30" t="s">
        <v>32</v>
      </c>
      <c r="N70" s="30">
        <v>40.5</v>
      </c>
      <c r="O70" s="30">
        <f>N70</f>
        <v>40.5</v>
      </c>
      <c r="P70" s="30"/>
    </row>
    <row r="71" spans="1:16" hidden="1" x14ac:dyDescent="0.35">
      <c r="A71" s="30" t="s">
        <v>176</v>
      </c>
      <c r="B71" s="30" t="s">
        <v>7</v>
      </c>
      <c r="C71" s="30">
        <v>1999</v>
      </c>
      <c r="D71" s="30" t="s">
        <v>47</v>
      </c>
      <c r="E71" s="30"/>
      <c r="F71" s="31" t="s">
        <v>28</v>
      </c>
      <c r="G71" s="30" t="s">
        <v>177</v>
      </c>
      <c r="H71" s="30" t="s">
        <v>224</v>
      </c>
      <c r="I71" s="30"/>
      <c r="J71" s="30" t="s">
        <v>179</v>
      </c>
      <c r="K71" s="30" t="s">
        <v>197</v>
      </c>
      <c r="L71" s="30" t="s">
        <v>148</v>
      </c>
      <c r="M71" s="30" t="s">
        <v>36</v>
      </c>
      <c r="N71" s="30">
        <v>20.5</v>
      </c>
      <c r="O71" s="30"/>
      <c r="P71" s="30">
        <f>SUM(N71:N72)</f>
        <v>41</v>
      </c>
    </row>
    <row r="72" spans="1:16" hidden="1" x14ac:dyDescent="0.35">
      <c r="A72" s="30" t="s">
        <v>176</v>
      </c>
      <c r="B72" s="30" t="s">
        <v>7</v>
      </c>
      <c r="C72" s="30">
        <v>1999</v>
      </c>
      <c r="D72" s="30" t="s">
        <v>47</v>
      </c>
      <c r="E72" s="30"/>
      <c r="F72" s="31" t="s">
        <v>28</v>
      </c>
      <c r="G72" s="30" t="s">
        <v>177</v>
      </c>
      <c r="H72" s="30" t="s">
        <v>224</v>
      </c>
      <c r="I72" s="30"/>
      <c r="J72" s="30" t="s">
        <v>179</v>
      </c>
      <c r="K72" s="30" t="s">
        <v>197</v>
      </c>
      <c r="L72" s="30" t="s">
        <v>61</v>
      </c>
      <c r="M72" s="30" t="s">
        <v>34</v>
      </c>
      <c r="N72" s="30">
        <v>20.5</v>
      </c>
      <c r="O72" s="30"/>
      <c r="P72" s="30"/>
    </row>
    <row r="73" spans="1:16" hidden="1" x14ac:dyDescent="0.35">
      <c r="A73" s="30" t="s">
        <v>176</v>
      </c>
      <c r="B73" s="30" t="s">
        <v>7</v>
      </c>
      <c r="C73" s="30">
        <v>1999</v>
      </c>
      <c r="D73" s="30" t="s">
        <v>47</v>
      </c>
      <c r="E73" s="30"/>
      <c r="F73" s="31" t="s">
        <v>28</v>
      </c>
      <c r="G73" s="30" t="s">
        <v>177</v>
      </c>
      <c r="H73" s="30" t="s">
        <v>223</v>
      </c>
      <c r="I73" s="30"/>
      <c r="J73" s="30" t="s">
        <v>179</v>
      </c>
      <c r="K73" s="30" t="s">
        <v>197</v>
      </c>
      <c r="L73" s="30" t="s">
        <v>31</v>
      </c>
      <c r="M73" s="30" t="s">
        <v>32</v>
      </c>
      <c r="N73" s="30">
        <v>20.5</v>
      </c>
      <c r="O73" s="30">
        <f>N73</f>
        <v>20.5</v>
      </c>
      <c r="P73" s="30"/>
    </row>
    <row r="74" spans="1:16" hidden="1" x14ac:dyDescent="0.35">
      <c r="A74" s="30" t="s">
        <v>176</v>
      </c>
      <c r="B74" s="30" t="s">
        <v>7</v>
      </c>
      <c r="C74" s="30">
        <v>1999</v>
      </c>
      <c r="D74" s="30" t="s">
        <v>47</v>
      </c>
      <c r="E74" s="30"/>
      <c r="F74" s="31" t="s">
        <v>28</v>
      </c>
      <c r="G74" s="30" t="s">
        <v>177</v>
      </c>
      <c r="H74" s="30" t="s">
        <v>223</v>
      </c>
      <c r="I74" s="30"/>
      <c r="J74" s="30" t="s">
        <v>179</v>
      </c>
      <c r="K74" s="30" t="s">
        <v>197</v>
      </c>
      <c r="L74" s="30" t="s">
        <v>148</v>
      </c>
      <c r="M74" s="30" t="s">
        <v>36</v>
      </c>
      <c r="N74" s="30">
        <v>20.5</v>
      </c>
      <c r="O74" s="30"/>
      <c r="P74" s="30">
        <f>SUM(N74:N75)</f>
        <v>61</v>
      </c>
    </row>
    <row r="75" spans="1:16" hidden="1" x14ac:dyDescent="0.35">
      <c r="A75" s="30" t="s">
        <v>176</v>
      </c>
      <c r="B75" s="30" t="s">
        <v>7</v>
      </c>
      <c r="C75" s="30">
        <v>1999</v>
      </c>
      <c r="D75" s="30" t="s">
        <v>47</v>
      </c>
      <c r="E75" s="30"/>
      <c r="F75" s="31" t="s">
        <v>28</v>
      </c>
      <c r="G75" s="30" t="s">
        <v>177</v>
      </c>
      <c r="H75" s="30" t="s">
        <v>223</v>
      </c>
      <c r="I75" s="30"/>
      <c r="J75" s="30" t="s">
        <v>179</v>
      </c>
      <c r="K75" s="30" t="s">
        <v>197</v>
      </c>
      <c r="L75" s="30" t="s">
        <v>61</v>
      </c>
      <c r="M75" s="30" t="s">
        <v>34</v>
      </c>
      <c r="N75" s="30">
        <v>40.5</v>
      </c>
      <c r="O75" s="30"/>
      <c r="P75" s="30"/>
    </row>
    <row r="76" spans="1:16" hidden="1" x14ac:dyDescent="0.35">
      <c r="A76" s="30" t="s">
        <v>176</v>
      </c>
      <c r="B76" s="30" t="s">
        <v>7</v>
      </c>
      <c r="C76" s="30">
        <v>1999</v>
      </c>
      <c r="D76" s="30" t="s">
        <v>47</v>
      </c>
      <c r="E76" s="30"/>
      <c r="F76" s="31" t="s">
        <v>28</v>
      </c>
      <c r="G76" s="30" t="s">
        <v>177</v>
      </c>
      <c r="H76" s="30" t="s">
        <v>222</v>
      </c>
      <c r="I76" s="30"/>
      <c r="J76" s="30" t="s">
        <v>179</v>
      </c>
      <c r="K76" s="30" t="s">
        <v>180</v>
      </c>
      <c r="L76" s="30" t="s">
        <v>31</v>
      </c>
      <c r="M76" s="30" t="s">
        <v>32</v>
      </c>
      <c r="N76" s="30">
        <v>20.5</v>
      </c>
      <c r="O76" s="30">
        <f>N76</f>
        <v>20.5</v>
      </c>
      <c r="P76" s="30"/>
    </row>
    <row r="77" spans="1:16" hidden="1" x14ac:dyDescent="0.35">
      <c r="A77" s="30" t="s">
        <v>176</v>
      </c>
      <c r="B77" s="30" t="s">
        <v>7</v>
      </c>
      <c r="C77" s="30">
        <v>1999</v>
      </c>
      <c r="D77" s="30" t="s">
        <v>47</v>
      </c>
      <c r="E77" s="30"/>
      <c r="F77" s="31" t="s">
        <v>28</v>
      </c>
      <c r="G77" s="30" t="s">
        <v>177</v>
      </c>
      <c r="H77" s="30" t="s">
        <v>222</v>
      </c>
      <c r="I77" s="30"/>
      <c r="J77" s="30" t="s">
        <v>179</v>
      </c>
      <c r="K77" s="30" t="s">
        <v>180</v>
      </c>
      <c r="L77" s="30" t="s">
        <v>148</v>
      </c>
      <c r="M77" s="30" t="s">
        <v>36</v>
      </c>
      <c r="N77" s="30">
        <v>20.5</v>
      </c>
      <c r="O77" s="30"/>
      <c r="P77" s="30">
        <f>SUM(N77:N78)</f>
        <v>61</v>
      </c>
    </row>
    <row r="78" spans="1:16" hidden="1" x14ac:dyDescent="0.35">
      <c r="A78" s="30" t="s">
        <v>176</v>
      </c>
      <c r="B78" s="30" t="s">
        <v>7</v>
      </c>
      <c r="C78" s="30">
        <v>1999</v>
      </c>
      <c r="D78" s="30" t="s">
        <v>47</v>
      </c>
      <c r="E78" s="30"/>
      <c r="F78" s="31" t="s">
        <v>28</v>
      </c>
      <c r="G78" s="30" t="s">
        <v>177</v>
      </c>
      <c r="H78" s="30" t="s">
        <v>222</v>
      </c>
      <c r="I78" s="30"/>
      <c r="J78" s="30" t="s">
        <v>179</v>
      </c>
      <c r="K78" s="30" t="s">
        <v>180</v>
      </c>
      <c r="L78" s="30" t="s">
        <v>61</v>
      </c>
      <c r="M78" s="30" t="s">
        <v>34</v>
      </c>
      <c r="N78" s="30">
        <v>40.5</v>
      </c>
      <c r="O78" s="30"/>
      <c r="P78" s="30"/>
    </row>
    <row r="79" spans="1:16" hidden="1" x14ac:dyDescent="0.35">
      <c r="A79" s="30" t="s">
        <v>176</v>
      </c>
      <c r="B79" s="30" t="s">
        <v>7</v>
      </c>
      <c r="C79" s="30">
        <v>1999</v>
      </c>
      <c r="D79" s="30" t="s">
        <v>47</v>
      </c>
      <c r="E79" s="30"/>
      <c r="F79" s="31" t="s">
        <v>28</v>
      </c>
      <c r="G79" s="30" t="s">
        <v>177</v>
      </c>
      <c r="H79" s="30" t="s">
        <v>215</v>
      </c>
      <c r="I79" s="30"/>
      <c r="J79" s="30" t="s">
        <v>185</v>
      </c>
      <c r="K79" s="30" t="s">
        <v>216</v>
      </c>
      <c r="L79" s="30" t="s">
        <v>31</v>
      </c>
      <c r="M79" s="30" t="s">
        <v>32</v>
      </c>
      <c r="N79" s="30">
        <v>20.5</v>
      </c>
      <c r="O79" s="30">
        <f>N79</f>
        <v>20.5</v>
      </c>
      <c r="P79" s="30"/>
    </row>
    <row r="80" spans="1:16" hidden="1" x14ac:dyDescent="0.35">
      <c r="A80" s="30" t="s">
        <v>176</v>
      </c>
      <c r="B80" s="30" t="s">
        <v>7</v>
      </c>
      <c r="C80" s="30">
        <v>1999</v>
      </c>
      <c r="D80" s="30" t="s">
        <v>47</v>
      </c>
      <c r="E80" s="30"/>
      <c r="F80" s="31" t="s">
        <v>28</v>
      </c>
      <c r="G80" s="30" t="s">
        <v>177</v>
      </c>
      <c r="H80" s="30" t="s">
        <v>215</v>
      </c>
      <c r="I80" s="30"/>
      <c r="J80" s="30" t="s">
        <v>185</v>
      </c>
      <c r="K80" s="30" t="s">
        <v>216</v>
      </c>
      <c r="L80" s="30" t="s">
        <v>148</v>
      </c>
      <c r="M80" s="30" t="s">
        <v>36</v>
      </c>
      <c r="N80" s="30">
        <v>5.5</v>
      </c>
      <c r="O80" s="30"/>
      <c r="P80" s="30">
        <f>SUM(N80:N81)</f>
        <v>11</v>
      </c>
    </row>
    <row r="81" spans="1:16" hidden="1" x14ac:dyDescent="0.35">
      <c r="A81" s="30" t="s">
        <v>176</v>
      </c>
      <c r="B81" s="30" t="s">
        <v>7</v>
      </c>
      <c r="C81" s="30">
        <v>1999</v>
      </c>
      <c r="D81" s="30" t="s">
        <v>47</v>
      </c>
      <c r="E81" s="30"/>
      <c r="F81" s="31" t="s">
        <v>28</v>
      </c>
      <c r="G81" s="30" t="s">
        <v>177</v>
      </c>
      <c r="H81" s="30" t="s">
        <v>215</v>
      </c>
      <c r="I81" s="30"/>
      <c r="J81" s="30" t="s">
        <v>185</v>
      </c>
      <c r="K81" s="30" t="s">
        <v>216</v>
      </c>
      <c r="L81" s="30" t="s">
        <v>61</v>
      </c>
      <c r="M81" s="30" t="s">
        <v>34</v>
      </c>
      <c r="N81" s="30">
        <v>5.5</v>
      </c>
      <c r="O81" s="30"/>
      <c r="P81" s="30"/>
    </row>
    <row r="82" spans="1:16" hidden="1" x14ac:dyDescent="0.35">
      <c r="A82" s="30" t="s">
        <v>176</v>
      </c>
      <c r="B82" s="30" t="s">
        <v>7</v>
      </c>
      <c r="C82" s="30">
        <v>1999</v>
      </c>
      <c r="D82" s="30" t="s">
        <v>47</v>
      </c>
      <c r="E82" s="30"/>
      <c r="F82" s="31" t="s">
        <v>28</v>
      </c>
      <c r="G82" s="30" t="s">
        <v>177</v>
      </c>
      <c r="H82" s="30" t="s">
        <v>227</v>
      </c>
      <c r="I82" s="30"/>
      <c r="J82" s="30" t="s">
        <v>179</v>
      </c>
      <c r="K82" s="30" t="s">
        <v>228</v>
      </c>
      <c r="L82" s="30" t="s">
        <v>31</v>
      </c>
      <c r="M82" s="30" t="s">
        <v>32</v>
      </c>
      <c r="N82" s="30">
        <v>40.5</v>
      </c>
      <c r="O82" s="30">
        <f>N82</f>
        <v>40.5</v>
      </c>
      <c r="P82" s="30"/>
    </row>
    <row r="83" spans="1:16" hidden="1" x14ac:dyDescent="0.35">
      <c r="A83" s="30" t="s">
        <v>176</v>
      </c>
      <c r="B83" s="30" t="s">
        <v>7</v>
      </c>
      <c r="C83" s="30">
        <v>1999</v>
      </c>
      <c r="D83" s="30" t="s">
        <v>47</v>
      </c>
      <c r="E83" s="30"/>
      <c r="F83" s="31" t="s">
        <v>28</v>
      </c>
      <c r="G83" s="30" t="s">
        <v>177</v>
      </c>
      <c r="H83" s="30" t="s">
        <v>227</v>
      </c>
      <c r="I83" s="30"/>
      <c r="J83" s="30" t="s">
        <v>179</v>
      </c>
      <c r="K83" s="30" t="s">
        <v>228</v>
      </c>
      <c r="L83" s="30" t="s">
        <v>148</v>
      </c>
      <c r="M83" s="30" t="s">
        <v>36</v>
      </c>
      <c r="N83" s="30">
        <v>20.5</v>
      </c>
      <c r="O83" s="30"/>
      <c r="P83" s="30">
        <f>SUM(N83:N84)</f>
        <v>41</v>
      </c>
    </row>
    <row r="84" spans="1:16" hidden="1" x14ac:dyDescent="0.35">
      <c r="A84" s="30" t="s">
        <v>176</v>
      </c>
      <c r="B84" s="30" t="s">
        <v>7</v>
      </c>
      <c r="C84" s="30">
        <v>1999</v>
      </c>
      <c r="D84" s="30" t="s">
        <v>47</v>
      </c>
      <c r="E84" s="30"/>
      <c r="F84" s="31" t="s">
        <v>28</v>
      </c>
      <c r="G84" s="30" t="s">
        <v>177</v>
      </c>
      <c r="H84" s="30" t="s">
        <v>227</v>
      </c>
      <c r="I84" s="30"/>
      <c r="J84" s="30" t="s">
        <v>179</v>
      </c>
      <c r="K84" s="30" t="s">
        <v>228</v>
      </c>
      <c r="L84" s="30" t="s">
        <v>61</v>
      </c>
      <c r="M84" s="30" t="s">
        <v>34</v>
      </c>
      <c r="N84" s="30">
        <v>20.5</v>
      </c>
      <c r="O84" s="30"/>
      <c r="P84" s="30"/>
    </row>
    <row r="85" spans="1:16" hidden="1" x14ac:dyDescent="0.35">
      <c r="A85" s="30" t="s">
        <v>176</v>
      </c>
      <c r="B85" s="30" t="s">
        <v>7</v>
      </c>
      <c r="C85" s="30">
        <v>1999</v>
      </c>
      <c r="D85" s="30" t="s">
        <v>47</v>
      </c>
      <c r="E85" s="30"/>
      <c r="F85" s="31" t="s">
        <v>28</v>
      </c>
      <c r="G85" s="30" t="s">
        <v>177</v>
      </c>
      <c r="H85" s="30" t="s">
        <v>220</v>
      </c>
      <c r="I85" s="30"/>
      <c r="J85" s="30" t="s">
        <v>179</v>
      </c>
      <c r="K85" s="30" t="s">
        <v>191</v>
      </c>
      <c r="L85" s="30" t="s">
        <v>31</v>
      </c>
      <c r="M85" s="30" t="s">
        <v>32</v>
      </c>
      <c r="N85" s="30">
        <v>63</v>
      </c>
      <c r="O85" s="30">
        <f>N85</f>
        <v>63</v>
      </c>
      <c r="P85" s="30"/>
    </row>
    <row r="86" spans="1:16" hidden="1" x14ac:dyDescent="0.35">
      <c r="A86" s="30" t="s">
        <v>176</v>
      </c>
      <c r="B86" s="30" t="s">
        <v>7</v>
      </c>
      <c r="C86" s="30">
        <v>1999</v>
      </c>
      <c r="D86" s="30" t="s">
        <v>47</v>
      </c>
      <c r="E86" s="30"/>
      <c r="F86" s="31" t="s">
        <v>28</v>
      </c>
      <c r="G86" s="30" t="s">
        <v>177</v>
      </c>
      <c r="H86" s="30" t="s">
        <v>220</v>
      </c>
      <c r="I86" s="30"/>
      <c r="J86" s="30" t="s">
        <v>179</v>
      </c>
      <c r="K86" s="30" t="s">
        <v>191</v>
      </c>
      <c r="L86" s="30" t="s">
        <v>148</v>
      </c>
      <c r="M86" s="30" t="s">
        <v>36</v>
      </c>
      <c r="N86" s="30">
        <v>20.5</v>
      </c>
      <c r="O86" s="30"/>
      <c r="P86" s="30">
        <f>SUM(N86:N87)</f>
        <v>26</v>
      </c>
    </row>
    <row r="87" spans="1:16" hidden="1" x14ac:dyDescent="0.35">
      <c r="A87" s="30" t="s">
        <v>176</v>
      </c>
      <c r="B87" s="30" t="s">
        <v>7</v>
      </c>
      <c r="C87" s="30">
        <v>1999</v>
      </c>
      <c r="D87" s="30" t="s">
        <v>47</v>
      </c>
      <c r="E87" s="30"/>
      <c r="F87" s="31" t="s">
        <v>28</v>
      </c>
      <c r="G87" s="30" t="s">
        <v>177</v>
      </c>
      <c r="H87" s="30" t="s">
        <v>220</v>
      </c>
      <c r="I87" s="30"/>
      <c r="J87" s="30" t="s">
        <v>179</v>
      </c>
      <c r="K87" s="30" t="s">
        <v>191</v>
      </c>
      <c r="L87" s="30" t="s">
        <v>61</v>
      </c>
      <c r="M87" s="30" t="s">
        <v>34</v>
      </c>
      <c r="N87" s="30">
        <v>5.5</v>
      </c>
      <c r="O87" s="30"/>
      <c r="P87" s="30"/>
    </row>
    <row r="88" spans="1:16" hidden="1" x14ac:dyDescent="0.35">
      <c r="A88" s="30" t="s">
        <v>176</v>
      </c>
      <c r="B88" s="30" t="s">
        <v>7</v>
      </c>
      <c r="C88" s="30">
        <v>1999</v>
      </c>
      <c r="D88" s="30" t="s">
        <v>47</v>
      </c>
      <c r="E88" s="30"/>
      <c r="F88" s="31" t="s">
        <v>28</v>
      </c>
      <c r="G88" s="30" t="s">
        <v>177</v>
      </c>
      <c r="H88" s="30" t="s">
        <v>203</v>
      </c>
      <c r="I88" s="30" t="s">
        <v>204</v>
      </c>
      <c r="J88" s="30" t="s">
        <v>179</v>
      </c>
      <c r="K88" s="30" t="s">
        <v>197</v>
      </c>
      <c r="L88" s="30" t="s">
        <v>31</v>
      </c>
      <c r="M88" s="30" t="s">
        <v>32</v>
      </c>
      <c r="N88" s="30">
        <v>88</v>
      </c>
      <c r="O88" s="30">
        <f>N88</f>
        <v>88</v>
      </c>
      <c r="P88" s="30"/>
    </row>
    <row r="89" spans="1:16" hidden="1" x14ac:dyDescent="0.35">
      <c r="A89" s="30" t="s">
        <v>176</v>
      </c>
      <c r="B89" s="30" t="s">
        <v>7</v>
      </c>
      <c r="C89" s="30">
        <v>1999</v>
      </c>
      <c r="D89" s="30" t="s">
        <v>47</v>
      </c>
      <c r="E89" s="30"/>
      <c r="F89" s="31" t="s">
        <v>28</v>
      </c>
      <c r="G89" s="30" t="s">
        <v>177</v>
      </c>
      <c r="H89" s="30" t="s">
        <v>203</v>
      </c>
      <c r="I89" s="30" t="s">
        <v>204</v>
      </c>
      <c r="J89" s="30" t="s">
        <v>179</v>
      </c>
      <c r="K89" s="30" t="s">
        <v>197</v>
      </c>
      <c r="L89" s="30" t="s">
        <v>148</v>
      </c>
      <c r="M89" s="30" t="s">
        <v>36</v>
      </c>
      <c r="N89" s="30">
        <v>5.5</v>
      </c>
      <c r="O89" s="30"/>
      <c r="P89" s="30">
        <f>SUM(N89:N90)</f>
        <v>11</v>
      </c>
    </row>
    <row r="90" spans="1:16" hidden="1" x14ac:dyDescent="0.35">
      <c r="A90" s="30" t="s">
        <v>176</v>
      </c>
      <c r="B90" s="30" t="s">
        <v>7</v>
      </c>
      <c r="C90" s="30">
        <v>1999</v>
      </c>
      <c r="D90" s="30" t="s">
        <v>47</v>
      </c>
      <c r="E90" s="30"/>
      <c r="F90" s="31" t="s">
        <v>28</v>
      </c>
      <c r="G90" s="30" t="s">
        <v>177</v>
      </c>
      <c r="H90" s="30" t="s">
        <v>203</v>
      </c>
      <c r="I90" s="30" t="s">
        <v>204</v>
      </c>
      <c r="J90" s="30" t="s">
        <v>179</v>
      </c>
      <c r="K90" s="30" t="s">
        <v>197</v>
      </c>
      <c r="L90" s="30" t="s">
        <v>61</v>
      </c>
      <c r="M90" s="30" t="s">
        <v>34</v>
      </c>
      <c r="N90" s="30">
        <v>5.5</v>
      </c>
      <c r="O90" s="30"/>
      <c r="P90" s="30"/>
    </row>
    <row r="91" spans="1:16" hidden="1" x14ac:dyDescent="0.35">
      <c r="A91" s="30" t="s">
        <v>176</v>
      </c>
      <c r="B91" s="30" t="s">
        <v>7</v>
      </c>
      <c r="C91" s="30">
        <v>1999</v>
      </c>
      <c r="D91" s="30" t="s">
        <v>47</v>
      </c>
      <c r="E91" s="30"/>
      <c r="F91" s="31" t="s">
        <v>28</v>
      </c>
      <c r="G91" s="30" t="s">
        <v>177</v>
      </c>
      <c r="H91" s="30" t="s">
        <v>203</v>
      </c>
      <c r="I91" s="30" t="s">
        <v>205</v>
      </c>
      <c r="J91" s="30" t="s">
        <v>199</v>
      </c>
      <c r="K91" s="30" t="s">
        <v>197</v>
      </c>
      <c r="L91" s="30" t="s">
        <v>31</v>
      </c>
      <c r="M91" s="30" t="s">
        <v>32</v>
      </c>
      <c r="N91" s="30">
        <v>40.5</v>
      </c>
      <c r="O91" s="30">
        <f>N91</f>
        <v>40.5</v>
      </c>
      <c r="P91" s="30"/>
    </row>
    <row r="92" spans="1:16" hidden="1" x14ac:dyDescent="0.35">
      <c r="A92" s="30" t="s">
        <v>176</v>
      </c>
      <c r="B92" s="30" t="s">
        <v>7</v>
      </c>
      <c r="C92" s="30">
        <v>1999</v>
      </c>
      <c r="D92" s="30" t="s">
        <v>47</v>
      </c>
      <c r="E92" s="30"/>
      <c r="F92" s="31" t="s">
        <v>28</v>
      </c>
      <c r="G92" s="30" t="s">
        <v>177</v>
      </c>
      <c r="H92" s="30" t="s">
        <v>203</v>
      </c>
      <c r="I92" s="30" t="s">
        <v>205</v>
      </c>
      <c r="J92" s="30" t="s">
        <v>199</v>
      </c>
      <c r="K92" s="30" t="s">
        <v>197</v>
      </c>
      <c r="L92" s="30" t="s">
        <v>148</v>
      </c>
      <c r="M92" s="30" t="s">
        <v>36</v>
      </c>
      <c r="N92" s="30">
        <v>40.5</v>
      </c>
      <c r="O92" s="30"/>
      <c r="P92" s="30">
        <f>SUM(N92:N93)</f>
        <v>46</v>
      </c>
    </row>
    <row r="93" spans="1:16" hidden="1" x14ac:dyDescent="0.35">
      <c r="A93" s="30" t="s">
        <v>176</v>
      </c>
      <c r="B93" s="30" t="s">
        <v>7</v>
      </c>
      <c r="C93" s="30">
        <v>1999</v>
      </c>
      <c r="D93" s="30" t="s">
        <v>47</v>
      </c>
      <c r="E93" s="30"/>
      <c r="F93" s="31" t="s">
        <v>28</v>
      </c>
      <c r="G93" s="30" t="s">
        <v>177</v>
      </c>
      <c r="H93" s="30" t="s">
        <v>203</v>
      </c>
      <c r="I93" s="30" t="s">
        <v>205</v>
      </c>
      <c r="J93" s="30" t="s">
        <v>199</v>
      </c>
      <c r="K93" s="30" t="s">
        <v>197</v>
      </c>
      <c r="L93" s="30" t="s">
        <v>61</v>
      </c>
      <c r="M93" s="30" t="s">
        <v>34</v>
      </c>
      <c r="N93" s="30">
        <v>5.5</v>
      </c>
      <c r="O93" s="30"/>
      <c r="P93" s="30"/>
    </row>
    <row r="94" spans="1:16" hidden="1" x14ac:dyDescent="0.35">
      <c r="A94" s="30" t="s">
        <v>176</v>
      </c>
      <c r="B94" s="30" t="s">
        <v>7</v>
      </c>
      <c r="C94" s="30">
        <v>1999</v>
      </c>
      <c r="D94" s="30" t="s">
        <v>47</v>
      </c>
      <c r="E94" s="30"/>
      <c r="F94" s="31" t="s">
        <v>28</v>
      </c>
      <c r="G94" s="30" t="s">
        <v>177</v>
      </c>
      <c r="H94" s="30" t="s">
        <v>203</v>
      </c>
      <c r="I94" s="30" t="s">
        <v>206</v>
      </c>
      <c r="J94" s="30" t="s">
        <v>179</v>
      </c>
      <c r="K94" s="30" t="s">
        <v>197</v>
      </c>
      <c r="L94" s="30" t="s">
        <v>31</v>
      </c>
      <c r="M94" s="30" t="s">
        <v>32</v>
      </c>
      <c r="N94" s="30">
        <v>63</v>
      </c>
      <c r="O94" s="30">
        <f>N94</f>
        <v>63</v>
      </c>
      <c r="P94" s="30"/>
    </row>
    <row r="95" spans="1:16" hidden="1" x14ac:dyDescent="0.35">
      <c r="A95" s="30" t="s">
        <v>176</v>
      </c>
      <c r="B95" s="30" t="s">
        <v>7</v>
      </c>
      <c r="C95" s="30">
        <v>1999</v>
      </c>
      <c r="D95" s="30" t="s">
        <v>47</v>
      </c>
      <c r="E95" s="30"/>
      <c r="F95" s="31" t="s">
        <v>28</v>
      </c>
      <c r="G95" s="30" t="s">
        <v>177</v>
      </c>
      <c r="H95" s="30" t="s">
        <v>203</v>
      </c>
      <c r="I95" s="30" t="s">
        <v>206</v>
      </c>
      <c r="J95" s="30" t="s">
        <v>179</v>
      </c>
      <c r="K95" s="30" t="s">
        <v>197</v>
      </c>
      <c r="L95" s="30" t="s">
        <v>148</v>
      </c>
      <c r="M95" s="30" t="s">
        <v>36</v>
      </c>
      <c r="N95" s="30">
        <v>40.5</v>
      </c>
      <c r="O95" s="30"/>
      <c r="P95" s="30">
        <f>SUM(N95:N96)</f>
        <v>46</v>
      </c>
    </row>
    <row r="96" spans="1:16" hidden="1" x14ac:dyDescent="0.35">
      <c r="A96" s="30" t="s">
        <v>176</v>
      </c>
      <c r="B96" s="30" t="s">
        <v>7</v>
      </c>
      <c r="C96" s="30">
        <v>1999</v>
      </c>
      <c r="D96" s="30" t="s">
        <v>47</v>
      </c>
      <c r="E96" s="30"/>
      <c r="F96" s="31" t="s">
        <v>28</v>
      </c>
      <c r="G96" s="30" t="s">
        <v>177</v>
      </c>
      <c r="H96" s="30" t="s">
        <v>203</v>
      </c>
      <c r="I96" s="30" t="s">
        <v>206</v>
      </c>
      <c r="J96" s="30" t="s">
        <v>179</v>
      </c>
      <c r="K96" s="30" t="s">
        <v>197</v>
      </c>
      <c r="L96" s="30" t="s">
        <v>61</v>
      </c>
      <c r="M96" s="30" t="s">
        <v>34</v>
      </c>
      <c r="N96" s="30">
        <v>5.5</v>
      </c>
      <c r="O96" s="30"/>
      <c r="P96" s="30"/>
    </row>
    <row r="97" spans="1:16" hidden="1" x14ac:dyDescent="0.35">
      <c r="A97" s="30" t="s">
        <v>176</v>
      </c>
      <c r="B97" s="30" t="s">
        <v>7</v>
      </c>
      <c r="C97" s="30">
        <v>1999</v>
      </c>
      <c r="D97" s="30" t="s">
        <v>47</v>
      </c>
      <c r="E97" s="30"/>
      <c r="F97" s="31" t="s">
        <v>28</v>
      </c>
      <c r="G97" s="30" t="s">
        <v>177</v>
      </c>
      <c r="H97" s="30" t="s">
        <v>203</v>
      </c>
      <c r="I97" s="30" t="s">
        <v>207</v>
      </c>
      <c r="J97" s="30" t="s">
        <v>179</v>
      </c>
      <c r="K97" s="30" t="s">
        <v>197</v>
      </c>
      <c r="L97" s="30" t="s">
        <v>31</v>
      </c>
      <c r="M97" s="30" t="s">
        <v>32</v>
      </c>
      <c r="N97" s="30">
        <v>63</v>
      </c>
      <c r="O97" s="30">
        <f>N97</f>
        <v>63</v>
      </c>
      <c r="P97" s="30"/>
    </row>
    <row r="98" spans="1:16" hidden="1" x14ac:dyDescent="0.35">
      <c r="A98" s="30" t="s">
        <v>176</v>
      </c>
      <c r="B98" s="30" t="s">
        <v>7</v>
      </c>
      <c r="C98" s="30">
        <v>1999</v>
      </c>
      <c r="D98" s="30" t="s">
        <v>47</v>
      </c>
      <c r="E98" s="30"/>
      <c r="F98" s="31" t="s">
        <v>28</v>
      </c>
      <c r="G98" s="30" t="s">
        <v>177</v>
      </c>
      <c r="H98" s="30" t="s">
        <v>203</v>
      </c>
      <c r="I98" s="30" t="s">
        <v>207</v>
      </c>
      <c r="J98" s="30" t="s">
        <v>179</v>
      </c>
      <c r="K98" s="30" t="s">
        <v>197</v>
      </c>
      <c r="L98" s="30" t="s">
        <v>148</v>
      </c>
      <c r="M98" s="30" t="s">
        <v>36</v>
      </c>
      <c r="N98" s="30">
        <v>40.5</v>
      </c>
      <c r="O98" s="30"/>
      <c r="P98" s="30">
        <f>SUM(N98:N99)</f>
        <v>46</v>
      </c>
    </row>
    <row r="99" spans="1:16" hidden="1" x14ac:dyDescent="0.35">
      <c r="A99" s="30" t="s">
        <v>176</v>
      </c>
      <c r="B99" s="30" t="s">
        <v>7</v>
      </c>
      <c r="C99" s="30">
        <v>1999</v>
      </c>
      <c r="D99" s="30" t="s">
        <v>47</v>
      </c>
      <c r="E99" s="30"/>
      <c r="F99" s="31" t="s">
        <v>28</v>
      </c>
      <c r="G99" s="30" t="s">
        <v>177</v>
      </c>
      <c r="H99" s="30" t="s">
        <v>203</v>
      </c>
      <c r="I99" s="30" t="s">
        <v>207</v>
      </c>
      <c r="J99" s="30" t="s">
        <v>179</v>
      </c>
      <c r="K99" s="30" t="s">
        <v>197</v>
      </c>
      <c r="L99" s="30" t="s">
        <v>61</v>
      </c>
      <c r="M99" s="30" t="s">
        <v>34</v>
      </c>
      <c r="N99" s="30">
        <v>5.5</v>
      </c>
      <c r="O99" s="30"/>
      <c r="P99" s="30"/>
    </row>
    <row r="100" spans="1:16" hidden="1" x14ac:dyDescent="0.35">
      <c r="A100" s="30" t="s">
        <v>176</v>
      </c>
      <c r="B100" s="30" t="s">
        <v>7</v>
      </c>
      <c r="C100" s="30">
        <v>1999</v>
      </c>
      <c r="D100" s="30" t="s">
        <v>47</v>
      </c>
      <c r="E100" s="30"/>
      <c r="F100" s="31" t="s">
        <v>28</v>
      </c>
      <c r="G100" s="30" t="s">
        <v>177</v>
      </c>
      <c r="H100" s="30" t="s">
        <v>184</v>
      </c>
      <c r="I100" s="30"/>
      <c r="J100" s="30" t="s">
        <v>185</v>
      </c>
      <c r="K100" s="30" t="s">
        <v>186</v>
      </c>
      <c r="L100" s="30" t="s">
        <v>31</v>
      </c>
      <c r="M100" s="30" t="s">
        <v>32</v>
      </c>
      <c r="N100" s="30">
        <v>40.5</v>
      </c>
      <c r="O100" s="30">
        <f>N100</f>
        <v>40.5</v>
      </c>
      <c r="P100" s="30"/>
    </row>
    <row r="101" spans="1:16" hidden="1" x14ac:dyDescent="0.35">
      <c r="A101" s="30" t="s">
        <v>176</v>
      </c>
      <c r="B101" s="30" t="s">
        <v>7</v>
      </c>
      <c r="C101" s="30">
        <v>1999</v>
      </c>
      <c r="D101" s="30" t="s">
        <v>47</v>
      </c>
      <c r="E101" s="30"/>
      <c r="F101" s="31" t="s">
        <v>28</v>
      </c>
      <c r="G101" s="30" t="s">
        <v>177</v>
      </c>
      <c r="H101" s="30" t="s">
        <v>184</v>
      </c>
      <c r="I101" s="30"/>
      <c r="J101" s="30" t="s">
        <v>185</v>
      </c>
      <c r="K101" s="30" t="s">
        <v>186</v>
      </c>
      <c r="L101" s="30" t="s">
        <v>148</v>
      </c>
      <c r="M101" s="30" t="s">
        <v>36</v>
      </c>
      <c r="N101" s="30">
        <v>5.5</v>
      </c>
      <c r="O101" s="30"/>
      <c r="P101" s="30">
        <f>SUM(N101:N102)</f>
        <v>11</v>
      </c>
    </row>
    <row r="102" spans="1:16" hidden="1" x14ac:dyDescent="0.35">
      <c r="A102" s="30" t="s">
        <v>176</v>
      </c>
      <c r="B102" s="30" t="s">
        <v>7</v>
      </c>
      <c r="C102" s="30">
        <v>1999</v>
      </c>
      <c r="D102" s="30" t="s">
        <v>47</v>
      </c>
      <c r="E102" s="30"/>
      <c r="F102" s="31" t="s">
        <v>28</v>
      </c>
      <c r="G102" s="30" t="s">
        <v>177</v>
      </c>
      <c r="H102" s="30" t="s">
        <v>184</v>
      </c>
      <c r="I102" s="30"/>
      <c r="J102" s="30" t="s">
        <v>185</v>
      </c>
      <c r="K102" s="30" t="s">
        <v>186</v>
      </c>
      <c r="L102" s="30" t="s">
        <v>61</v>
      </c>
      <c r="M102" s="30" t="s">
        <v>34</v>
      </c>
      <c r="N102" s="30">
        <v>5.5</v>
      </c>
      <c r="O102" s="30"/>
      <c r="P102" s="30"/>
    </row>
    <row r="103" spans="1:16" hidden="1" x14ac:dyDescent="0.35">
      <c r="A103" s="30" t="s">
        <v>176</v>
      </c>
      <c r="B103" s="30" t="s">
        <v>7</v>
      </c>
      <c r="C103" s="30">
        <v>1999</v>
      </c>
      <c r="D103" s="30" t="s">
        <v>47</v>
      </c>
      <c r="E103" s="30"/>
      <c r="F103" s="31" t="s">
        <v>28</v>
      </c>
      <c r="G103" s="30" t="s">
        <v>177</v>
      </c>
      <c r="H103" s="30" t="s">
        <v>178</v>
      </c>
      <c r="I103" s="30"/>
      <c r="J103" s="30" t="s">
        <v>179</v>
      </c>
      <c r="K103" s="30" t="s">
        <v>180</v>
      </c>
      <c r="L103" s="30" t="s">
        <v>31</v>
      </c>
      <c r="M103" s="30" t="s">
        <v>32</v>
      </c>
      <c r="N103" s="30">
        <v>63</v>
      </c>
      <c r="O103" s="30">
        <f>N103</f>
        <v>63</v>
      </c>
      <c r="P103" s="30"/>
    </row>
    <row r="104" spans="1:16" hidden="1" x14ac:dyDescent="0.35">
      <c r="A104" s="30" t="s">
        <v>176</v>
      </c>
      <c r="B104" s="30" t="s">
        <v>7</v>
      </c>
      <c r="C104" s="30">
        <v>1999</v>
      </c>
      <c r="D104" s="30" t="s">
        <v>47</v>
      </c>
      <c r="E104" s="30"/>
      <c r="F104" s="31" t="s">
        <v>28</v>
      </c>
      <c r="G104" s="30" t="s">
        <v>177</v>
      </c>
      <c r="H104" s="30" t="s">
        <v>178</v>
      </c>
      <c r="I104" s="30"/>
      <c r="J104" s="30" t="s">
        <v>179</v>
      </c>
      <c r="K104" s="30" t="s">
        <v>180</v>
      </c>
      <c r="L104" s="30" t="s">
        <v>148</v>
      </c>
      <c r="M104" s="30" t="s">
        <v>36</v>
      </c>
      <c r="N104" s="30">
        <v>20.5</v>
      </c>
      <c r="O104" s="30"/>
      <c r="P104" s="30">
        <f>SUM(N104:N105)</f>
        <v>26</v>
      </c>
    </row>
    <row r="105" spans="1:16" hidden="1" x14ac:dyDescent="0.35">
      <c r="A105" s="30" t="s">
        <v>176</v>
      </c>
      <c r="B105" s="30" t="s">
        <v>7</v>
      </c>
      <c r="C105" s="30">
        <v>1999</v>
      </c>
      <c r="D105" s="30" t="s">
        <v>47</v>
      </c>
      <c r="E105" s="30"/>
      <c r="F105" s="31" t="s">
        <v>28</v>
      </c>
      <c r="G105" s="30" t="s">
        <v>177</v>
      </c>
      <c r="H105" s="30" t="s">
        <v>178</v>
      </c>
      <c r="I105" s="30"/>
      <c r="J105" s="30" t="s">
        <v>179</v>
      </c>
      <c r="K105" s="30" t="s">
        <v>180</v>
      </c>
      <c r="L105" s="30" t="s">
        <v>61</v>
      </c>
      <c r="M105" s="30" t="s">
        <v>34</v>
      </c>
      <c r="N105" s="30">
        <v>5.5</v>
      </c>
      <c r="O105" s="30"/>
      <c r="P105" s="30"/>
    </row>
    <row r="106" spans="1:16" hidden="1" x14ac:dyDescent="0.35">
      <c r="A106" s="30" t="s">
        <v>176</v>
      </c>
      <c r="B106" s="30" t="s">
        <v>7</v>
      </c>
      <c r="C106" s="30">
        <v>1999</v>
      </c>
      <c r="D106" s="30" t="s">
        <v>47</v>
      </c>
      <c r="E106" s="30"/>
      <c r="F106" s="31" t="s">
        <v>28</v>
      </c>
      <c r="G106" s="30" t="s">
        <v>177</v>
      </c>
      <c r="H106" s="30" t="s">
        <v>194</v>
      </c>
      <c r="I106" s="30"/>
      <c r="J106" s="30" t="s">
        <v>185</v>
      </c>
      <c r="K106" s="30" t="s">
        <v>195</v>
      </c>
      <c r="L106" s="30" t="s">
        <v>31</v>
      </c>
      <c r="M106" s="30" t="s">
        <v>32</v>
      </c>
      <c r="N106" s="30">
        <v>20.5</v>
      </c>
      <c r="O106" s="30">
        <f>N106</f>
        <v>20.5</v>
      </c>
      <c r="P106" s="30"/>
    </row>
    <row r="107" spans="1:16" hidden="1" x14ac:dyDescent="0.35">
      <c r="A107" s="30" t="s">
        <v>176</v>
      </c>
      <c r="B107" s="30" t="s">
        <v>7</v>
      </c>
      <c r="C107" s="30">
        <v>1999</v>
      </c>
      <c r="D107" s="30" t="s">
        <v>47</v>
      </c>
      <c r="E107" s="30"/>
      <c r="F107" s="31" t="s">
        <v>28</v>
      </c>
      <c r="G107" s="30" t="s">
        <v>177</v>
      </c>
      <c r="H107" s="30" t="s">
        <v>194</v>
      </c>
      <c r="I107" s="30"/>
      <c r="J107" s="30" t="s">
        <v>185</v>
      </c>
      <c r="K107" s="30" t="s">
        <v>195</v>
      </c>
      <c r="L107" s="30" t="s">
        <v>148</v>
      </c>
      <c r="M107" s="30" t="s">
        <v>36</v>
      </c>
      <c r="N107" s="30">
        <v>40.5</v>
      </c>
      <c r="O107" s="30"/>
      <c r="P107" s="30">
        <f>SUM(N107:N108)</f>
        <v>46</v>
      </c>
    </row>
    <row r="108" spans="1:16" hidden="1" x14ac:dyDescent="0.35">
      <c r="A108" s="30" t="s">
        <v>176</v>
      </c>
      <c r="B108" s="30" t="s">
        <v>7</v>
      </c>
      <c r="C108" s="30">
        <v>1999</v>
      </c>
      <c r="D108" s="30" t="s">
        <v>47</v>
      </c>
      <c r="E108" s="30"/>
      <c r="F108" s="31" t="s">
        <v>28</v>
      </c>
      <c r="G108" s="30" t="s">
        <v>177</v>
      </c>
      <c r="H108" s="30" t="s">
        <v>194</v>
      </c>
      <c r="I108" s="30"/>
      <c r="J108" s="30" t="s">
        <v>185</v>
      </c>
      <c r="K108" s="30" t="s">
        <v>195</v>
      </c>
      <c r="L108" s="30" t="s">
        <v>61</v>
      </c>
      <c r="M108" s="30" t="s">
        <v>34</v>
      </c>
      <c r="N108" s="30">
        <v>5.5</v>
      </c>
      <c r="O108" s="30"/>
      <c r="P108" s="30"/>
    </row>
    <row r="109" spans="1:16" hidden="1" x14ac:dyDescent="0.35">
      <c r="A109" s="30" t="s">
        <v>176</v>
      </c>
      <c r="B109" s="30" t="s">
        <v>7</v>
      </c>
      <c r="C109" s="30">
        <v>1999</v>
      </c>
      <c r="D109" s="30" t="s">
        <v>47</v>
      </c>
      <c r="E109" s="30"/>
      <c r="F109" s="31" t="s">
        <v>28</v>
      </c>
      <c r="G109" s="30" t="s">
        <v>177</v>
      </c>
      <c r="H109" s="30" t="s">
        <v>182</v>
      </c>
      <c r="I109" s="30"/>
      <c r="J109" s="30" t="s">
        <v>179</v>
      </c>
      <c r="K109" s="30" t="s">
        <v>183</v>
      </c>
      <c r="L109" s="30" t="s">
        <v>31</v>
      </c>
      <c r="M109" s="30" t="s">
        <v>32</v>
      </c>
      <c r="N109" s="30">
        <v>63</v>
      </c>
      <c r="O109" s="30">
        <f>N109</f>
        <v>63</v>
      </c>
      <c r="P109" s="30"/>
    </row>
    <row r="110" spans="1:16" hidden="1" x14ac:dyDescent="0.35">
      <c r="A110" s="30" t="s">
        <v>176</v>
      </c>
      <c r="B110" s="30" t="s">
        <v>7</v>
      </c>
      <c r="C110" s="30">
        <v>1999</v>
      </c>
      <c r="D110" s="30" t="s">
        <v>47</v>
      </c>
      <c r="E110" s="30"/>
      <c r="F110" s="31" t="s">
        <v>28</v>
      </c>
      <c r="G110" s="30" t="s">
        <v>177</v>
      </c>
      <c r="H110" s="30" t="s">
        <v>182</v>
      </c>
      <c r="I110" s="30"/>
      <c r="J110" s="30" t="s">
        <v>179</v>
      </c>
      <c r="K110" s="30" t="s">
        <v>183</v>
      </c>
      <c r="L110" s="30" t="s">
        <v>148</v>
      </c>
      <c r="M110" s="30" t="s">
        <v>36</v>
      </c>
      <c r="N110" s="30">
        <v>5.5</v>
      </c>
      <c r="O110" s="30"/>
      <c r="P110" s="30">
        <f>SUM(N110:N111)</f>
        <v>11</v>
      </c>
    </row>
    <row r="111" spans="1:16" hidden="1" x14ac:dyDescent="0.35">
      <c r="A111" s="30" t="s">
        <v>176</v>
      </c>
      <c r="B111" s="30" t="s">
        <v>7</v>
      </c>
      <c r="C111" s="30">
        <v>1999</v>
      </c>
      <c r="D111" s="30" t="s">
        <v>47</v>
      </c>
      <c r="E111" s="30"/>
      <c r="F111" s="31" t="s">
        <v>28</v>
      </c>
      <c r="G111" s="30" t="s">
        <v>177</v>
      </c>
      <c r="H111" s="30" t="s">
        <v>182</v>
      </c>
      <c r="I111" s="30"/>
      <c r="J111" s="30" t="s">
        <v>179</v>
      </c>
      <c r="K111" s="30" t="s">
        <v>183</v>
      </c>
      <c r="L111" s="30" t="s">
        <v>61</v>
      </c>
      <c r="M111" s="30" t="s">
        <v>34</v>
      </c>
      <c r="N111" s="30">
        <v>5.5</v>
      </c>
      <c r="O111" s="30"/>
      <c r="P111" s="30"/>
    </row>
    <row r="112" spans="1:16" hidden="1" x14ac:dyDescent="0.35">
      <c r="A112" s="30" t="s">
        <v>176</v>
      </c>
      <c r="B112" s="30" t="s">
        <v>7</v>
      </c>
      <c r="C112" s="30">
        <v>1999</v>
      </c>
      <c r="D112" s="30" t="s">
        <v>47</v>
      </c>
      <c r="E112" s="30"/>
      <c r="F112" s="31" t="s">
        <v>28</v>
      </c>
      <c r="G112" s="30" t="s">
        <v>177</v>
      </c>
      <c r="H112" s="30" t="s">
        <v>83</v>
      </c>
      <c r="I112" s="30" t="s">
        <v>201</v>
      </c>
      <c r="J112" s="30" t="s">
        <v>185</v>
      </c>
      <c r="K112" s="30" t="s">
        <v>202</v>
      </c>
      <c r="L112" s="30" t="s">
        <v>31</v>
      </c>
      <c r="M112" s="30" t="s">
        <v>32</v>
      </c>
      <c r="N112" s="30">
        <v>20.5</v>
      </c>
      <c r="O112" s="30">
        <f>N112</f>
        <v>20.5</v>
      </c>
      <c r="P112" s="30"/>
    </row>
    <row r="113" spans="1:20" hidden="1" x14ac:dyDescent="0.35">
      <c r="A113" s="30" t="s">
        <v>176</v>
      </c>
      <c r="B113" s="30" t="s">
        <v>7</v>
      </c>
      <c r="C113" s="30">
        <v>1999</v>
      </c>
      <c r="D113" s="30" t="s">
        <v>47</v>
      </c>
      <c r="E113" s="30"/>
      <c r="F113" s="31" t="s">
        <v>28</v>
      </c>
      <c r="G113" s="30" t="s">
        <v>177</v>
      </c>
      <c r="H113" s="30" t="s">
        <v>83</v>
      </c>
      <c r="I113" s="30" t="s">
        <v>201</v>
      </c>
      <c r="J113" s="30" t="s">
        <v>185</v>
      </c>
      <c r="K113" s="30" t="s">
        <v>202</v>
      </c>
      <c r="L113" s="30" t="s">
        <v>148</v>
      </c>
      <c r="M113" s="30" t="s">
        <v>36</v>
      </c>
      <c r="N113" s="30">
        <v>40.5</v>
      </c>
      <c r="O113" s="30"/>
      <c r="P113" s="30">
        <f>SUM(N113:N114)</f>
        <v>46</v>
      </c>
    </row>
    <row r="114" spans="1:20" hidden="1" x14ac:dyDescent="0.35">
      <c r="A114" s="30" t="s">
        <v>176</v>
      </c>
      <c r="B114" s="30" t="s">
        <v>7</v>
      </c>
      <c r="C114" s="30">
        <v>1999</v>
      </c>
      <c r="D114" s="30" t="s">
        <v>47</v>
      </c>
      <c r="E114" s="30"/>
      <c r="F114" s="31" t="s">
        <v>28</v>
      </c>
      <c r="G114" s="30" t="s">
        <v>177</v>
      </c>
      <c r="H114" s="30" t="s">
        <v>83</v>
      </c>
      <c r="I114" s="30" t="s">
        <v>201</v>
      </c>
      <c r="J114" s="30" t="s">
        <v>185</v>
      </c>
      <c r="K114" s="30" t="s">
        <v>202</v>
      </c>
      <c r="L114" s="30" t="s">
        <v>61</v>
      </c>
      <c r="M114" s="30" t="s">
        <v>34</v>
      </c>
      <c r="N114" s="30">
        <v>5.5</v>
      </c>
      <c r="O114" s="30"/>
      <c r="P114" s="30"/>
    </row>
    <row r="115" spans="1:20" hidden="1" x14ac:dyDescent="0.35">
      <c r="A115" s="30" t="s">
        <v>176</v>
      </c>
      <c r="B115" s="30" t="s">
        <v>7</v>
      </c>
      <c r="C115" s="30">
        <v>1999</v>
      </c>
      <c r="D115" s="30" t="s">
        <v>47</v>
      </c>
      <c r="E115" s="30"/>
      <c r="F115" s="31" t="s">
        <v>28</v>
      </c>
      <c r="G115" s="30" t="s">
        <v>177</v>
      </c>
      <c r="H115" s="30" t="s">
        <v>83</v>
      </c>
      <c r="I115" s="30" t="s">
        <v>187</v>
      </c>
      <c r="J115" s="30" t="s">
        <v>185</v>
      </c>
      <c r="K115" s="30" t="s">
        <v>188</v>
      </c>
      <c r="L115" s="30" t="s">
        <v>31</v>
      </c>
      <c r="M115" s="30" t="s">
        <v>32</v>
      </c>
      <c r="N115" s="30">
        <v>40.5</v>
      </c>
      <c r="O115" s="30">
        <f>N115</f>
        <v>40.5</v>
      </c>
      <c r="P115" s="30"/>
    </row>
    <row r="116" spans="1:20" hidden="1" x14ac:dyDescent="0.35">
      <c r="A116" s="30" t="s">
        <v>176</v>
      </c>
      <c r="B116" s="30" t="s">
        <v>7</v>
      </c>
      <c r="C116" s="30">
        <v>1999</v>
      </c>
      <c r="D116" s="30" t="s">
        <v>47</v>
      </c>
      <c r="E116" s="30"/>
      <c r="F116" s="31" t="s">
        <v>28</v>
      </c>
      <c r="G116" s="30" t="s">
        <v>177</v>
      </c>
      <c r="H116" s="30" t="s">
        <v>83</v>
      </c>
      <c r="I116" s="30" t="s">
        <v>187</v>
      </c>
      <c r="J116" s="30" t="s">
        <v>185</v>
      </c>
      <c r="K116" s="30" t="s">
        <v>188</v>
      </c>
      <c r="L116" s="30" t="s">
        <v>148</v>
      </c>
      <c r="M116" s="30" t="s">
        <v>36</v>
      </c>
      <c r="N116" s="30">
        <v>0</v>
      </c>
      <c r="O116" s="30"/>
      <c r="P116" s="30">
        <f>SUM(N116:N117)</f>
        <v>0</v>
      </c>
    </row>
    <row r="117" spans="1:20" hidden="1" x14ac:dyDescent="0.35">
      <c r="A117" s="30" t="s">
        <v>176</v>
      </c>
      <c r="B117" s="30" t="s">
        <v>7</v>
      </c>
      <c r="C117" s="30">
        <v>1999</v>
      </c>
      <c r="D117" s="30" t="s">
        <v>47</v>
      </c>
      <c r="E117" s="30"/>
      <c r="F117" s="31" t="s">
        <v>28</v>
      </c>
      <c r="G117" s="30" t="s">
        <v>177</v>
      </c>
      <c r="H117" s="30" t="s">
        <v>83</v>
      </c>
      <c r="I117" s="30" t="s">
        <v>187</v>
      </c>
      <c r="J117" s="30" t="s">
        <v>185</v>
      </c>
      <c r="K117" s="30" t="s">
        <v>188</v>
      </c>
      <c r="L117" s="30" t="s">
        <v>61</v>
      </c>
      <c r="M117" s="30" t="s">
        <v>34</v>
      </c>
      <c r="N117" s="30">
        <v>0</v>
      </c>
      <c r="O117" s="30"/>
      <c r="P117" s="30"/>
    </row>
    <row r="118" spans="1:20" hidden="1" x14ac:dyDescent="0.35">
      <c r="A118" s="30" t="s">
        <v>176</v>
      </c>
      <c r="B118" s="30" t="s">
        <v>7</v>
      </c>
      <c r="C118" s="30">
        <v>1999</v>
      </c>
      <c r="D118" s="30" t="s">
        <v>47</v>
      </c>
      <c r="E118" s="30"/>
      <c r="F118" s="31" t="s">
        <v>28</v>
      </c>
      <c r="G118" s="30" t="s">
        <v>177</v>
      </c>
      <c r="H118" s="30" t="s">
        <v>83</v>
      </c>
      <c r="I118" s="30" t="s">
        <v>189</v>
      </c>
      <c r="J118" s="30" t="s">
        <v>185</v>
      </c>
      <c r="K118" s="30" t="s">
        <v>188</v>
      </c>
      <c r="L118" s="30" t="s">
        <v>31</v>
      </c>
      <c r="M118" s="30" t="s">
        <v>32</v>
      </c>
      <c r="N118" s="30">
        <v>40.5</v>
      </c>
      <c r="O118" s="30">
        <f>N118</f>
        <v>40.5</v>
      </c>
      <c r="P118" s="30"/>
    </row>
    <row r="119" spans="1:20" hidden="1" x14ac:dyDescent="0.35">
      <c r="A119" s="30" t="s">
        <v>176</v>
      </c>
      <c r="B119" s="30" t="s">
        <v>7</v>
      </c>
      <c r="C119" s="30">
        <v>1999</v>
      </c>
      <c r="D119" s="30" t="s">
        <v>47</v>
      </c>
      <c r="E119" s="30"/>
      <c r="F119" s="31" t="s">
        <v>28</v>
      </c>
      <c r="G119" s="30" t="s">
        <v>177</v>
      </c>
      <c r="H119" s="30" t="s">
        <v>83</v>
      </c>
      <c r="I119" s="30" t="s">
        <v>189</v>
      </c>
      <c r="J119" s="30" t="s">
        <v>185</v>
      </c>
      <c r="K119" s="30" t="s">
        <v>188</v>
      </c>
      <c r="L119" s="30" t="s">
        <v>148</v>
      </c>
      <c r="M119" s="30" t="s">
        <v>36</v>
      </c>
      <c r="N119" s="30">
        <v>5.5</v>
      </c>
      <c r="O119" s="30"/>
      <c r="P119" s="30">
        <f>SUM(N119:N120)</f>
        <v>11</v>
      </c>
    </row>
    <row r="120" spans="1:20" hidden="1" x14ac:dyDescent="0.35">
      <c r="A120" s="30" t="s">
        <v>176</v>
      </c>
      <c r="B120" s="30" t="s">
        <v>7</v>
      </c>
      <c r="C120" s="30">
        <v>1999</v>
      </c>
      <c r="D120" s="30" t="s">
        <v>47</v>
      </c>
      <c r="E120" s="30"/>
      <c r="F120" s="31" t="s">
        <v>28</v>
      </c>
      <c r="G120" s="30" t="s">
        <v>177</v>
      </c>
      <c r="H120" s="30" t="s">
        <v>83</v>
      </c>
      <c r="I120" s="30" t="s">
        <v>189</v>
      </c>
      <c r="J120" s="30" t="s">
        <v>185</v>
      </c>
      <c r="K120" s="30" t="s">
        <v>188</v>
      </c>
      <c r="L120" s="30" t="s">
        <v>61</v>
      </c>
      <c r="M120" s="30" t="s">
        <v>34</v>
      </c>
      <c r="N120" s="30">
        <v>5.5</v>
      </c>
      <c r="O120" s="30"/>
      <c r="P120" s="30"/>
    </row>
    <row r="121" spans="1:20" hidden="1" x14ac:dyDescent="0.35">
      <c r="A121" s="30" t="s">
        <v>176</v>
      </c>
      <c r="B121" s="30" t="s">
        <v>7</v>
      </c>
      <c r="C121" s="30">
        <v>1999</v>
      </c>
      <c r="D121" s="30" t="s">
        <v>47</v>
      </c>
      <c r="E121" s="30"/>
      <c r="F121" s="31" t="s">
        <v>28</v>
      </c>
      <c r="G121" s="30" t="s">
        <v>177</v>
      </c>
      <c r="H121" s="30" t="s">
        <v>83</v>
      </c>
      <c r="I121" s="30" t="s">
        <v>190</v>
      </c>
      <c r="J121" s="30" t="s">
        <v>179</v>
      </c>
      <c r="K121" s="30" t="s">
        <v>191</v>
      </c>
      <c r="L121" s="30" t="s">
        <v>31</v>
      </c>
      <c r="M121" s="30" t="s">
        <v>32</v>
      </c>
      <c r="N121" s="30">
        <v>63</v>
      </c>
      <c r="O121" s="30">
        <f>N121</f>
        <v>63</v>
      </c>
      <c r="P121" s="30"/>
    </row>
    <row r="122" spans="1:20" s="26" customFormat="1" hidden="1" x14ac:dyDescent="0.35">
      <c r="A122" s="30" t="s">
        <v>176</v>
      </c>
      <c r="B122" s="30" t="s">
        <v>7</v>
      </c>
      <c r="C122" s="30">
        <v>1999</v>
      </c>
      <c r="D122" s="30" t="s">
        <v>47</v>
      </c>
      <c r="E122" s="30"/>
      <c r="F122" s="31" t="s">
        <v>28</v>
      </c>
      <c r="G122" s="30" t="s">
        <v>177</v>
      </c>
      <c r="H122" s="30" t="s">
        <v>83</v>
      </c>
      <c r="I122" s="30" t="s">
        <v>190</v>
      </c>
      <c r="J122" s="30" t="s">
        <v>179</v>
      </c>
      <c r="K122" s="30" t="s">
        <v>191</v>
      </c>
      <c r="L122" s="30" t="s">
        <v>148</v>
      </c>
      <c r="M122" s="30" t="s">
        <v>36</v>
      </c>
      <c r="N122" s="30">
        <v>40.5</v>
      </c>
      <c r="O122" s="30"/>
      <c r="P122" s="30">
        <f>SUM(N122:N123)</f>
        <v>46</v>
      </c>
      <c r="Q122" s="24"/>
      <c r="S122" s="24"/>
      <c r="T122" s="24"/>
    </row>
    <row r="123" spans="1:20" s="26" customFormat="1" hidden="1" x14ac:dyDescent="0.35">
      <c r="A123" s="30" t="s">
        <v>176</v>
      </c>
      <c r="B123" s="30" t="s">
        <v>7</v>
      </c>
      <c r="C123" s="30">
        <v>1999</v>
      </c>
      <c r="D123" s="30" t="s">
        <v>47</v>
      </c>
      <c r="E123" s="30"/>
      <c r="F123" s="31" t="s">
        <v>28</v>
      </c>
      <c r="G123" s="30" t="s">
        <v>177</v>
      </c>
      <c r="H123" s="30" t="s">
        <v>83</v>
      </c>
      <c r="I123" s="30" t="s">
        <v>190</v>
      </c>
      <c r="J123" s="30" t="s">
        <v>179</v>
      </c>
      <c r="K123" s="30" t="s">
        <v>191</v>
      </c>
      <c r="L123" s="30" t="s">
        <v>61</v>
      </c>
      <c r="M123" s="30" t="s">
        <v>34</v>
      </c>
      <c r="N123" s="30">
        <v>5.5</v>
      </c>
      <c r="O123" s="30"/>
      <c r="P123" s="30"/>
      <c r="Q123" s="24"/>
      <c r="S123" s="24"/>
      <c r="T123" s="24"/>
    </row>
    <row r="124" spans="1:20" s="26" customFormat="1" hidden="1" x14ac:dyDescent="0.35">
      <c r="A124" s="30" t="s">
        <v>176</v>
      </c>
      <c r="B124" s="30" t="s">
        <v>7</v>
      </c>
      <c r="C124" s="30">
        <v>1999</v>
      </c>
      <c r="D124" s="30" t="s">
        <v>47</v>
      </c>
      <c r="E124" s="30"/>
      <c r="F124" s="31" t="s">
        <v>28</v>
      </c>
      <c r="G124" s="30" t="s">
        <v>177</v>
      </c>
      <c r="H124" s="30" t="s">
        <v>83</v>
      </c>
      <c r="I124" s="30" t="s">
        <v>192</v>
      </c>
      <c r="J124" s="30" t="s">
        <v>179</v>
      </c>
      <c r="K124" s="30" t="s">
        <v>191</v>
      </c>
      <c r="L124" s="30" t="s">
        <v>31</v>
      </c>
      <c r="M124" s="30" t="s">
        <v>32</v>
      </c>
      <c r="N124" s="30">
        <v>88</v>
      </c>
      <c r="O124" s="30">
        <f>N124</f>
        <v>88</v>
      </c>
      <c r="P124" s="30"/>
      <c r="Q124" s="24"/>
      <c r="S124" s="24"/>
      <c r="T124" s="24"/>
    </row>
    <row r="125" spans="1:20" s="26" customFormat="1" hidden="1" x14ac:dyDescent="0.35">
      <c r="A125" s="30" t="s">
        <v>176</v>
      </c>
      <c r="B125" s="30" t="s">
        <v>7</v>
      </c>
      <c r="C125" s="30">
        <v>1999</v>
      </c>
      <c r="D125" s="30" t="s">
        <v>47</v>
      </c>
      <c r="E125" s="30"/>
      <c r="F125" s="31" t="s">
        <v>28</v>
      </c>
      <c r="G125" s="30" t="s">
        <v>177</v>
      </c>
      <c r="H125" s="30" t="s">
        <v>83</v>
      </c>
      <c r="I125" s="30" t="s">
        <v>192</v>
      </c>
      <c r="J125" s="30" t="s">
        <v>179</v>
      </c>
      <c r="K125" s="30" t="s">
        <v>191</v>
      </c>
      <c r="L125" s="30" t="s">
        <v>148</v>
      </c>
      <c r="M125" s="30" t="s">
        <v>36</v>
      </c>
      <c r="N125" s="30">
        <v>5.5</v>
      </c>
      <c r="O125" s="30"/>
      <c r="P125" s="30">
        <f>SUM(N125:N126)</f>
        <v>11</v>
      </c>
      <c r="Q125" s="24"/>
      <c r="S125" s="24"/>
      <c r="T125" s="24"/>
    </row>
    <row r="126" spans="1:20" s="26" customFormat="1" hidden="1" x14ac:dyDescent="0.35">
      <c r="A126" s="30" t="s">
        <v>176</v>
      </c>
      <c r="B126" s="30" t="s">
        <v>7</v>
      </c>
      <c r="C126" s="30">
        <v>1999</v>
      </c>
      <c r="D126" s="30" t="s">
        <v>47</v>
      </c>
      <c r="E126" s="30"/>
      <c r="F126" s="31" t="s">
        <v>28</v>
      </c>
      <c r="G126" s="30" t="s">
        <v>177</v>
      </c>
      <c r="H126" s="30" t="s">
        <v>83</v>
      </c>
      <c r="I126" s="30" t="s">
        <v>192</v>
      </c>
      <c r="J126" s="30" t="s">
        <v>179</v>
      </c>
      <c r="K126" s="30" t="s">
        <v>191</v>
      </c>
      <c r="L126" s="30" t="s">
        <v>61</v>
      </c>
      <c r="M126" s="30" t="s">
        <v>34</v>
      </c>
      <c r="N126" s="30">
        <v>5.5</v>
      </c>
      <c r="O126" s="30"/>
      <c r="P126" s="30"/>
      <c r="Q126" s="24"/>
      <c r="S126" s="24"/>
      <c r="T126" s="24"/>
    </row>
    <row r="127" spans="1:20" s="26" customFormat="1" hidden="1" x14ac:dyDescent="0.35">
      <c r="A127" s="30" t="s">
        <v>176</v>
      </c>
      <c r="B127" s="30" t="s">
        <v>7</v>
      </c>
      <c r="C127" s="30">
        <v>1999</v>
      </c>
      <c r="D127" s="30" t="s">
        <v>47</v>
      </c>
      <c r="E127" s="30"/>
      <c r="F127" s="31" t="s">
        <v>28</v>
      </c>
      <c r="G127" s="30" t="s">
        <v>177</v>
      </c>
      <c r="H127" s="30" t="s">
        <v>83</v>
      </c>
      <c r="I127" s="30" t="s">
        <v>193</v>
      </c>
      <c r="J127" s="30" t="s">
        <v>179</v>
      </c>
      <c r="K127" s="30" t="s">
        <v>191</v>
      </c>
      <c r="L127" s="30" t="s">
        <v>31</v>
      </c>
      <c r="M127" s="30" t="s">
        <v>32</v>
      </c>
      <c r="N127" s="30">
        <v>63</v>
      </c>
      <c r="O127" s="30">
        <f>N127</f>
        <v>63</v>
      </c>
      <c r="P127" s="30"/>
      <c r="Q127" s="24"/>
      <c r="S127" s="24"/>
      <c r="T127" s="24"/>
    </row>
    <row r="128" spans="1:20" s="26" customFormat="1" hidden="1" x14ac:dyDescent="0.35">
      <c r="A128" s="30" t="s">
        <v>176</v>
      </c>
      <c r="B128" s="30" t="s">
        <v>7</v>
      </c>
      <c r="C128" s="30">
        <v>1999</v>
      </c>
      <c r="D128" s="30" t="s">
        <v>47</v>
      </c>
      <c r="E128" s="30"/>
      <c r="F128" s="31" t="s">
        <v>28</v>
      </c>
      <c r="G128" s="30" t="s">
        <v>177</v>
      </c>
      <c r="H128" s="30" t="s">
        <v>83</v>
      </c>
      <c r="I128" s="30" t="s">
        <v>193</v>
      </c>
      <c r="J128" s="30" t="s">
        <v>179</v>
      </c>
      <c r="K128" s="30" t="s">
        <v>191</v>
      </c>
      <c r="L128" s="30" t="s">
        <v>148</v>
      </c>
      <c r="M128" s="30" t="s">
        <v>36</v>
      </c>
      <c r="N128" s="30">
        <v>20.5</v>
      </c>
      <c r="O128" s="30"/>
      <c r="P128" s="30">
        <f>SUM(N128:N129)</f>
        <v>26</v>
      </c>
      <c r="Q128" s="24"/>
      <c r="S128" s="24"/>
      <c r="T128" s="24"/>
    </row>
    <row r="129" spans="1:20" s="26" customFormat="1" hidden="1" x14ac:dyDescent="0.35">
      <c r="A129" s="30" t="s">
        <v>176</v>
      </c>
      <c r="B129" s="30" t="s">
        <v>7</v>
      </c>
      <c r="C129" s="30">
        <v>1999</v>
      </c>
      <c r="D129" s="30" t="s">
        <v>47</v>
      </c>
      <c r="E129" s="30"/>
      <c r="F129" s="31" t="s">
        <v>28</v>
      </c>
      <c r="G129" s="30" t="s">
        <v>177</v>
      </c>
      <c r="H129" s="30" t="s">
        <v>83</v>
      </c>
      <c r="I129" s="30" t="s">
        <v>193</v>
      </c>
      <c r="J129" s="30" t="s">
        <v>179</v>
      </c>
      <c r="K129" s="30" t="s">
        <v>191</v>
      </c>
      <c r="L129" s="30" t="s">
        <v>61</v>
      </c>
      <c r="M129" s="30" t="s">
        <v>34</v>
      </c>
      <c r="N129" s="30">
        <v>5.5</v>
      </c>
      <c r="O129" s="30"/>
      <c r="P129" s="30"/>
      <c r="Q129" s="24"/>
      <c r="S129" s="24"/>
      <c r="T129" s="24"/>
    </row>
    <row r="130" spans="1:20" s="26" customFormat="1" hidden="1" x14ac:dyDescent="0.35">
      <c r="A130" s="30" t="s">
        <v>176</v>
      </c>
      <c r="B130" s="30" t="s">
        <v>7</v>
      </c>
      <c r="C130" s="30">
        <v>1999</v>
      </c>
      <c r="D130" s="30" t="s">
        <v>47</v>
      </c>
      <c r="E130" s="30"/>
      <c r="F130" s="31" t="s">
        <v>28</v>
      </c>
      <c r="G130" s="30" t="s">
        <v>177</v>
      </c>
      <c r="H130" s="30" t="s">
        <v>208</v>
      </c>
      <c r="I130" s="30" t="s">
        <v>209</v>
      </c>
      <c r="J130" s="30" t="s">
        <v>179</v>
      </c>
      <c r="K130" s="30" t="s">
        <v>210</v>
      </c>
      <c r="L130" s="30" t="s">
        <v>31</v>
      </c>
      <c r="M130" s="30" t="s">
        <v>32</v>
      </c>
      <c r="N130" s="30">
        <v>40.5</v>
      </c>
      <c r="O130" s="30">
        <f>N130</f>
        <v>40.5</v>
      </c>
      <c r="P130" s="30"/>
      <c r="Q130" s="27"/>
      <c r="S130" s="29"/>
      <c r="T130" s="29"/>
    </row>
    <row r="131" spans="1:20" s="26" customFormat="1" hidden="1" x14ac:dyDescent="0.35">
      <c r="A131" s="30" t="s">
        <v>176</v>
      </c>
      <c r="B131" s="30" t="s">
        <v>7</v>
      </c>
      <c r="C131" s="30">
        <v>1999</v>
      </c>
      <c r="D131" s="30" t="s">
        <v>47</v>
      </c>
      <c r="E131" s="30"/>
      <c r="F131" s="31" t="s">
        <v>28</v>
      </c>
      <c r="G131" s="30" t="s">
        <v>177</v>
      </c>
      <c r="H131" s="30" t="s">
        <v>208</v>
      </c>
      <c r="I131" s="30" t="s">
        <v>209</v>
      </c>
      <c r="J131" s="30" t="s">
        <v>179</v>
      </c>
      <c r="K131" s="30" t="s">
        <v>210</v>
      </c>
      <c r="L131" s="30" t="s">
        <v>148</v>
      </c>
      <c r="M131" s="30" t="s">
        <v>36</v>
      </c>
      <c r="N131" s="30">
        <v>40.5</v>
      </c>
      <c r="O131" s="30"/>
      <c r="P131" s="30">
        <f>SUM(N131:N132)</f>
        <v>46</v>
      </c>
      <c r="Q131" s="27"/>
      <c r="S131" s="29"/>
      <c r="T131" s="29"/>
    </row>
    <row r="132" spans="1:20" s="26" customFormat="1" hidden="1" x14ac:dyDescent="0.35">
      <c r="A132" s="30" t="s">
        <v>176</v>
      </c>
      <c r="B132" s="30" t="s">
        <v>7</v>
      </c>
      <c r="C132" s="30">
        <v>1999</v>
      </c>
      <c r="D132" s="30" t="s">
        <v>47</v>
      </c>
      <c r="E132" s="30"/>
      <c r="F132" s="31" t="s">
        <v>28</v>
      </c>
      <c r="G132" s="30" t="s">
        <v>177</v>
      </c>
      <c r="H132" s="30" t="s">
        <v>208</v>
      </c>
      <c r="I132" s="30" t="s">
        <v>209</v>
      </c>
      <c r="J132" s="30" t="s">
        <v>179</v>
      </c>
      <c r="K132" s="30" t="s">
        <v>210</v>
      </c>
      <c r="L132" s="30" t="s">
        <v>61</v>
      </c>
      <c r="M132" s="30" t="s">
        <v>34</v>
      </c>
      <c r="N132" s="30">
        <v>5.5</v>
      </c>
      <c r="O132" s="30"/>
      <c r="P132" s="30"/>
      <c r="Q132" s="27"/>
      <c r="S132" s="29"/>
      <c r="T132" s="29"/>
    </row>
    <row r="133" spans="1:20" s="26" customFormat="1" hidden="1" x14ac:dyDescent="0.35">
      <c r="A133" s="30" t="s">
        <v>176</v>
      </c>
      <c r="B133" s="30" t="s">
        <v>7</v>
      </c>
      <c r="C133" s="30">
        <v>1999</v>
      </c>
      <c r="D133" s="30" t="s">
        <v>47</v>
      </c>
      <c r="E133" s="30"/>
      <c r="F133" s="31" t="s">
        <v>28</v>
      </c>
      <c r="G133" s="30" t="s">
        <v>177</v>
      </c>
      <c r="H133" s="30" t="s">
        <v>208</v>
      </c>
      <c r="I133" s="30" t="s">
        <v>211</v>
      </c>
      <c r="J133" s="30" t="s">
        <v>179</v>
      </c>
      <c r="K133" s="30" t="s">
        <v>197</v>
      </c>
      <c r="L133" s="30" t="s">
        <v>31</v>
      </c>
      <c r="M133" s="30" t="s">
        <v>32</v>
      </c>
      <c r="N133" s="30">
        <v>63</v>
      </c>
      <c r="O133" s="30">
        <f>N133</f>
        <v>63</v>
      </c>
      <c r="P133" s="30"/>
      <c r="Q133" s="27"/>
      <c r="S133" s="29"/>
      <c r="T133" s="29"/>
    </row>
    <row r="134" spans="1:20" s="26" customFormat="1" hidden="1" x14ac:dyDescent="0.35">
      <c r="A134" s="30" t="s">
        <v>176</v>
      </c>
      <c r="B134" s="30" t="s">
        <v>7</v>
      </c>
      <c r="C134" s="30">
        <v>1999</v>
      </c>
      <c r="D134" s="30" t="s">
        <v>47</v>
      </c>
      <c r="E134" s="30"/>
      <c r="F134" s="31" t="s">
        <v>28</v>
      </c>
      <c r="G134" s="30" t="s">
        <v>177</v>
      </c>
      <c r="H134" s="30" t="s">
        <v>208</v>
      </c>
      <c r="I134" s="30" t="s">
        <v>211</v>
      </c>
      <c r="J134" s="30" t="s">
        <v>179</v>
      </c>
      <c r="K134" s="30" t="s">
        <v>197</v>
      </c>
      <c r="L134" s="30" t="s">
        <v>148</v>
      </c>
      <c r="M134" s="30" t="s">
        <v>36</v>
      </c>
      <c r="N134" s="30">
        <v>20.5</v>
      </c>
      <c r="O134" s="30"/>
      <c r="P134" s="30">
        <f>SUM(N134:N135)</f>
        <v>26</v>
      </c>
      <c r="Q134" s="24"/>
      <c r="S134" s="24"/>
      <c r="T134" s="24"/>
    </row>
    <row r="135" spans="1:20" s="26" customFormat="1" hidden="1" x14ac:dyDescent="0.35">
      <c r="A135" s="30" t="s">
        <v>176</v>
      </c>
      <c r="B135" s="30" t="s">
        <v>7</v>
      </c>
      <c r="C135" s="30">
        <v>1999</v>
      </c>
      <c r="D135" s="30" t="s">
        <v>47</v>
      </c>
      <c r="E135" s="30"/>
      <c r="F135" s="31" t="s">
        <v>28</v>
      </c>
      <c r="G135" s="30" t="s">
        <v>177</v>
      </c>
      <c r="H135" s="30" t="s">
        <v>208</v>
      </c>
      <c r="I135" s="30" t="s">
        <v>211</v>
      </c>
      <c r="J135" s="30" t="s">
        <v>179</v>
      </c>
      <c r="K135" s="30" t="s">
        <v>197</v>
      </c>
      <c r="L135" s="30" t="s">
        <v>61</v>
      </c>
      <c r="M135" s="30" t="s">
        <v>34</v>
      </c>
      <c r="N135" s="30">
        <v>5.5</v>
      </c>
      <c r="O135" s="30"/>
      <c r="P135" s="30"/>
      <c r="Q135" s="24"/>
      <c r="S135" s="24"/>
      <c r="T135" s="24"/>
    </row>
    <row r="136" spans="1:20" hidden="1" x14ac:dyDescent="0.35">
      <c r="A136" s="30" t="s">
        <v>176</v>
      </c>
      <c r="B136" s="30" t="s">
        <v>7</v>
      </c>
      <c r="C136" s="30">
        <v>1999</v>
      </c>
      <c r="D136" s="30" t="s">
        <v>47</v>
      </c>
      <c r="E136" s="30"/>
      <c r="F136" s="31" t="s">
        <v>28</v>
      </c>
      <c r="G136" s="30" t="s">
        <v>177</v>
      </c>
      <c r="H136" s="30" t="s">
        <v>208</v>
      </c>
      <c r="I136" s="30" t="s">
        <v>212</v>
      </c>
      <c r="J136" s="30" t="s">
        <v>179</v>
      </c>
      <c r="K136" s="30" t="s">
        <v>197</v>
      </c>
      <c r="L136" s="30" t="s">
        <v>31</v>
      </c>
      <c r="M136" s="30" t="s">
        <v>32</v>
      </c>
      <c r="N136" s="30">
        <v>20.5</v>
      </c>
      <c r="O136" s="30">
        <f>N136</f>
        <v>20.5</v>
      </c>
      <c r="P136" s="30"/>
    </row>
    <row r="137" spans="1:20" hidden="1" x14ac:dyDescent="0.35">
      <c r="A137" s="30" t="s">
        <v>176</v>
      </c>
      <c r="B137" s="30" t="s">
        <v>7</v>
      </c>
      <c r="C137" s="30">
        <v>1999</v>
      </c>
      <c r="D137" s="30" t="s">
        <v>47</v>
      </c>
      <c r="E137" s="30"/>
      <c r="F137" s="31" t="s">
        <v>28</v>
      </c>
      <c r="G137" s="30" t="s">
        <v>177</v>
      </c>
      <c r="H137" s="30" t="s">
        <v>208</v>
      </c>
      <c r="I137" s="30" t="s">
        <v>212</v>
      </c>
      <c r="J137" s="30" t="s">
        <v>179</v>
      </c>
      <c r="K137" s="30" t="s">
        <v>197</v>
      </c>
      <c r="L137" s="30" t="s">
        <v>148</v>
      </c>
      <c r="M137" s="30" t="s">
        <v>36</v>
      </c>
      <c r="N137" s="30">
        <v>40.5</v>
      </c>
      <c r="O137" s="30"/>
      <c r="P137" s="30">
        <f>SUM(N137:N138)</f>
        <v>61</v>
      </c>
    </row>
    <row r="138" spans="1:20" hidden="1" x14ac:dyDescent="0.35">
      <c r="A138" s="30" t="s">
        <v>176</v>
      </c>
      <c r="B138" s="30" t="s">
        <v>7</v>
      </c>
      <c r="C138" s="30">
        <v>1999</v>
      </c>
      <c r="D138" s="30" t="s">
        <v>47</v>
      </c>
      <c r="E138" s="30"/>
      <c r="F138" s="31" t="s">
        <v>28</v>
      </c>
      <c r="G138" s="30" t="s">
        <v>177</v>
      </c>
      <c r="H138" s="30" t="s">
        <v>208</v>
      </c>
      <c r="I138" s="30" t="s">
        <v>212</v>
      </c>
      <c r="J138" s="30" t="s">
        <v>179</v>
      </c>
      <c r="K138" s="30" t="s">
        <v>197</v>
      </c>
      <c r="L138" s="30" t="s">
        <v>61</v>
      </c>
      <c r="M138" s="30" t="s">
        <v>34</v>
      </c>
      <c r="N138" s="30">
        <v>20.5</v>
      </c>
      <c r="O138" s="30"/>
      <c r="P138" s="30"/>
    </row>
    <row r="139" spans="1:20" hidden="1" x14ac:dyDescent="0.35">
      <c r="A139" s="30" t="s">
        <v>176</v>
      </c>
      <c r="B139" s="30" t="s">
        <v>7</v>
      </c>
      <c r="C139" s="30">
        <v>1999</v>
      </c>
      <c r="D139" s="30" t="s">
        <v>47</v>
      </c>
      <c r="E139" s="30"/>
      <c r="F139" s="31" t="s">
        <v>28</v>
      </c>
      <c r="G139" s="30" t="s">
        <v>177</v>
      </c>
      <c r="H139" s="30" t="s">
        <v>208</v>
      </c>
      <c r="I139" s="30" t="s">
        <v>213</v>
      </c>
      <c r="J139" s="30" t="s">
        <v>179</v>
      </c>
      <c r="K139" s="30" t="s">
        <v>197</v>
      </c>
      <c r="L139" s="30" t="s">
        <v>31</v>
      </c>
      <c r="M139" s="30" t="s">
        <v>32</v>
      </c>
      <c r="N139" s="30">
        <v>63</v>
      </c>
      <c r="O139" s="30">
        <f>N139</f>
        <v>63</v>
      </c>
      <c r="P139" s="30"/>
    </row>
    <row r="140" spans="1:20" hidden="1" x14ac:dyDescent="0.35">
      <c r="A140" s="30" t="s">
        <v>176</v>
      </c>
      <c r="B140" s="30" t="s">
        <v>7</v>
      </c>
      <c r="C140" s="30">
        <v>1999</v>
      </c>
      <c r="D140" s="30" t="s">
        <v>47</v>
      </c>
      <c r="E140" s="30"/>
      <c r="F140" s="31" t="s">
        <v>28</v>
      </c>
      <c r="G140" s="30" t="s">
        <v>177</v>
      </c>
      <c r="H140" s="30" t="s">
        <v>208</v>
      </c>
      <c r="I140" s="30" t="s">
        <v>213</v>
      </c>
      <c r="J140" s="30" t="s">
        <v>179</v>
      </c>
      <c r="K140" s="30" t="s">
        <v>197</v>
      </c>
      <c r="L140" s="30" t="s">
        <v>148</v>
      </c>
      <c r="M140" s="30" t="s">
        <v>36</v>
      </c>
      <c r="N140" s="30">
        <v>0</v>
      </c>
      <c r="O140" s="30"/>
      <c r="P140" s="30">
        <f>SUM(N140:N141)</f>
        <v>20.5</v>
      </c>
    </row>
    <row r="141" spans="1:20" hidden="1" x14ac:dyDescent="0.35">
      <c r="A141" s="30" t="s">
        <v>176</v>
      </c>
      <c r="B141" s="30" t="s">
        <v>7</v>
      </c>
      <c r="C141" s="30">
        <v>1999</v>
      </c>
      <c r="D141" s="30" t="s">
        <v>47</v>
      </c>
      <c r="E141" s="30"/>
      <c r="F141" s="31" t="s">
        <v>28</v>
      </c>
      <c r="G141" s="30" t="s">
        <v>177</v>
      </c>
      <c r="H141" s="30" t="s">
        <v>208</v>
      </c>
      <c r="I141" s="30" t="s">
        <v>213</v>
      </c>
      <c r="J141" s="30" t="s">
        <v>179</v>
      </c>
      <c r="K141" s="30" t="s">
        <v>197</v>
      </c>
      <c r="L141" s="30" t="s">
        <v>61</v>
      </c>
      <c r="M141" s="30" t="s">
        <v>34</v>
      </c>
      <c r="N141" s="30">
        <v>20.5</v>
      </c>
      <c r="O141" s="30"/>
      <c r="P141" s="30"/>
    </row>
    <row r="142" spans="1:20" hidden="1" x14ac:dyDescent="0.35">
      <c r="A142" t="s">
        <v>26</v>
      </c>
      <c r="B142" t="s">
        <v>2</v>
      </c>
      <c r="C142" s="5">
        <v>1998</v>
      </c>
      <c r="D142" s="5" t="s">
        <v>27</v>
      </c>
      <c r="E142" s="5" t="s">
        <v>28</v>
      </c>
      <c r="F142" s="5" t="s">
        <v>28</v>
      </c>
      <c r="G142" t="s">
        <v>29</v>
      </c>
      <c r="H142" t="s">
        <v>30</v>
      </c>
      <c r="J142" t="s">
        <v>3</v>
      </c>
      <c r="L142" t="s">
        <v>33</v>
      </c>
      <c r="M142" t="s">
        <v>34</v>
      </c>
      <c r="N142" s="6">
        <v>4.5</v>
      </c>
      <c r="P142" s="13">
        <f>SUM(N142:N143)</f>
        <v>35.5</v>
      </c>
    </row>
    <row r="143" spans="1:20" hidden="1" x14ac:dyDescent="0.35">
      <c r="A143" t="s">
        <v>26</v>
      </c>
      <c r="B143" t="s">
        <v>2</v>
      </c>
      <c r="C143" s="5">
        <v>1998</v>
      </c>
      <c r="D143" s="5" t="s">
        <v>27</v>
      </c>
      <c r="E143" s="5" t="s">
        <v>28</v>
      </c>
      <c r="F143" s="5" t="s">
        <v>28</v>
      </c>
      <c r="G143" t="s">
        <v>29</v>
      </c>
      <c r="H143" t="s">
        <v>30</v>
      </c>
      <c r="J143" t="s">
        <v>3</v>
      </c>
      <c r="L143" t="s">
        <v>35</v>
      </c>
      <c r="M143" t="s">
        <v>36</v>
      </c>
      <c r="N143" s="6">
        <v>31</v>
      </c>
    </row>
    <row r="144" spans="1:20" hidden="1" x14ac:dyDescent="0.35">
      <c r="A144" t="s">
        <v>26</v>
      </c>
      <c r="B144" t="s">
        <v>2</v>
      </c>
      <c r="C144" s="9">
        <v>1998</v>
      </c>
      <c r="D144" s="5" t="s">
        <v>27</v>
      </c>
      <c r="E144" s="5" t="s">
        <v>28</v>
      </c>
      <c r="F144" s="5" t="s">
        <v>28</v>
      </c>
      <c r="G144" t="s">
        <v>29</v>
      </c>
      <c r="H144" t="s">
        <v>30</v>
      </c>
      <c r="J144" t="s">
        <v>3</v>
      </c>
      <c r="L144" t="s">
        <v>31</v>
      </c>
      <c r="M144" t="s">
        <v>32</v>
      </c>
      <c r="N144" s="6">
        <v>39.6</v>
      </c>
      <c r="O144" s="9">
        <f>N144</f>
        <v>39.6</v>
      </c>
    </row>
    <row r="145" spans="1:20" hidden="1" x14ac:dyDescent="0.35">
      <c r="A145" s="24" t="s">
        <v>145</v>
      </c>
      <c r="B145" s="24" t="s">
        <v>13</v>
      </c>
      <c r="C145" s="24">
        <v>1995</v>
      </c>
      <c r="D145" s="24" t="s">
        <v>27</v>
      </c>
      <c r="E145" s="25" t="s">
        <v>28</v>
      </c>
      <c r="F145" s="25" t="s">
        <v>28</v>
      </c>
      <c r="G145" s="28" t="s">
        <v>146</v>
      </c>
      <c r="H145" s="28" t="s">
        <v>147</v>
      </c>
      <c r="I145" s="24"/>
      <c r="J145" s="24"/>
      <c r="K145" s="24"/>
      <c r="L145" s="24" t="s">
        <v>31</v>
      </c>
      <c r="M145" s="24" t="s">
        <v>32</v>
      </c>
      <c r="N145" s="24">
        <v>32.4</v>
      </c>
      <c r="O145" s="26">
        <v>32.4</v>
      </c>
      <c r="P145" s="24"/>
    </row>
    <row r="146" spans="1:20" hidden="1" x14ac:dyDescent="0.35">
      <c r="A146" s="24" t="s">
        <v>145</v>
      </c>
      <c r="B146" s="24" t="s">
        <v>13</v>
      </c>
      <c r="C146" s="24">
        <v>1995</v>
      </c>
      <c r="D146" s="24" t="s">
        <v>27</v>
      </c>
      <c r="E146" s="25" t="s">
        <v>28</v>
      </c>
      <c r="F146" s="25" t="s">
        <v>28</v>
      </c>
      <c r="G146" s="28" t="s">
        <v>146</v>
      </c>
      <c r="H146" s="28" t="s">
        <v>147</v>
      </c>
      <c r="I146" s="24"/>
      <c r="J146" s="24"/>
      <c r="K146" s="24"/>
      <c r="L146" s="24" t="s">
        <v>148</v>
      </c>
      <c r="M146" s="24" t="s">
        <v>36</v>
      </c>
      <c r="N146" s="24">
        <v>47.7</v>
      </c>
      <c r="O146" s="26"/>
      <c r="P146" s="24">
        <v>48</v>
      </c>
    </row>
    <row r="147" spans="1:20" hidden="1" x14ac:dyDescent="0.35">
      <c r="A147" s="24" t="s">
        <v>145</v>
      </c>
      <c r="B147" s="24" t="s">
        <v>13</v>
      </c>
      <c r="C147" s="24">
        <v>1995</v>
      </c>
      <c r="D147" s="24" t="s">
        <v>27</v>
      </c>
      <c r="E147" s="25" t="s">
        <v>28</v>
      </c>
      <c r="F147" s="25" t="s">
        <v>28</v>
      </c>
      <c r="G147" s="28" t="s">
        <v>146</v>
      </c>
      <c r="H147" s="28" t="s">
        <v>147</v>
      </c>
      <c r="I147" s="24"/>
      <c r="J147" s="24"/>
      <c r="K147" s="24"/>
      <c r="L147" s="24" t="s">
        <v>149</v>
      </c>
      <c r="M147" s="24" t="s">
        <v>41</v>
      </c>
      <c r="N147" s="24">
        <v>0</v>
      </c>
      <c r="O147" s="26"/>
      <c r="P147" s="24"/>
    </row>
    <row r="148" spans="1:20" hidden="1" x14ac:dyDescent="0.35">
      <c r="A148" s="24" t="s">
        <v>145</v>
      </c>
      <c r="B148" s="24" t="s">
        <v>13</v>
      </c>
      <c r="C148" s="24">
        <v>1995</v>
      </c>
      <c r="D148" s="24" t="s">
        <v>27</v>
      </c>
      <c r="E148" s="25" t="s">
        <v>28</v>
      </c>
      <c r="F148" s="25" t="s">
        <v>28</v>
      </c>
      <c r="G148" s="28" t="s">
        <v>146</v>
      </c>
      <c r="H148" s="28" t="s">
        <v>147</v>
      </c>
      <c r="I148" s="24"/>
      <c r="J148" s="24"/>
      <c r="K148" s="24"/>
      <c r="L148" s="24" t="s">
        <v>150</v>
      </c>
      <c r="M148" s="24" t="s">
        <v>34</v>
      </c>
      <c r="N148" s="24">
        <v>0.3</v>
      </c>
      <c r="O148" s="26"/>
      <c r="P148" s="24"/>
    </row>
    <row r="149" spans="1:20" hidden="1" x14ac:dyDescent="0.35">
      <c r="A149" s="24" t="s">
        <v>145</v>
      </c>
      <c r="B149" s="24" t="s">
        <v>13</v>
      </c>
      <c r="C149" s="24">
        <v>1995</v>
      </c>
      <c r="D149" s="24" t="s">
        <v>27</v>
      </c>
      <c r="E149" s="25" t="s">
        <v>28</v>
      </c>
      <c r="F149" s="25" t="s">
        <v>28</v>
      </c>
      <c r="G149" s="28" t="s">
        <v>146</v>
      </c>
      <c r="H149" s="28" t="s">
        <v>151</v>
      </c>
      <c r="I149" s="24"/>
      <c r="J149" s="24"/>
      <c r="K149" s="24"/>
      <c r="L149" s="24" t="s">
        <v>31</v>
      </c>
      <c r="M149" s="24" t="s">
        <v>32</v>
      </c>
      <c r="N149" s="24">
        <v>52.8</v>
      </c>
      <c r="O149" s="26">
        <v>52.8</v>
      </c>
      <c r="P149" s="24"/>
    </row>
    <row r="150" spans="1:20" hidden="1" x14ac:dyDescent="0.35">
      <c r="A150" s="24" t="s">
        <v>145</v>
      </c>
      <c r="B150" s="24" t="s">
        <v>13</v>
      </c>
      <c r="C150" s="24">
        <v>1995</v>
      </c>
      <c r="D150" s="24" t="s">
        <v>27</v>
      </c>
      <c r="E150" s="25" t="s">
        <v>28</v>
      </c>
      <c r="F150" s="25" t="s">
        <v>28</v>
      </c>
      <c r="G150" s="28" t="s">
        <v>146</v>
      </c>
      <c r="H150" s="28" t="s">
        <v>151</v>
      </c>
      <c r="I150" s="24"/>
      <c r="J150" s="24"/>
      <c r="K150" s="24"/>
      <c r="L150" s="24" t="s">
        <v>148</v>
      </c>
      <c r="M150" s="24" t="s">
        <v>36</v>
      </c>
      <c r="N150" s="24">
        <v>27.9</v>
      </c>
      <c r="O150" s="26"/>
      <c r="P150" s="24">
        <v>28.4</v>
      </c>
      <c r="R150" s="30"/>
      <c r="S150" s="30"/>
      <c r="T150" s="30" t="s">
        <v>181</v>
      </c>
    </row>
    <row r="151" spans="1:20" hidden="1" x14ac:dyDescent="0.35">
      <c r="A151" s="24" t="s">
        <v>145</v>
      </c>
      <c r="B151" s="24" t="s">
        <v>13</v>
      </c>
      <c r="C151" s="24">
        <v>1995</v>
      </c>
      <c r="D151" s="24" t="s">
        <v>27</v>
      </c>
      <c r="E151" s="25" t="s">
        <v>28</v>
      </c>
      <c r="F151" s="25" t="s">
        <v>28</v>
      </c>
      <c r="G151" s="28" t="s">
        <v>146</v>
      </c>
      <c r="H151" s="28" t="s">
        <v>151</v>
      </c>
      <c r="I151" s="24"/>
      <c r="J151" s="24"/>
      <c r="K151" s="24"/>
      <c r="L151" s="24" t="s">
        <v>149</v>
      </c>
      <c r="M151" s="24" t="s">
        <v>41</v>
      </c>
      <c r="N151" s="24">
        <v>0.1</v>
      </c>
      <c r="O151" s="26"/>
      <c r="P151" s="24"/>
      <c r="R151" s="30"/>
      <c r="S151" s="30"/>
      <c r="T151" s="30" t="s">
        <v>181</v>
      </c>
    </row>
    <row r="152" spans="1:20" hidden="1" x14ac:dyDescent="0.35">
      <c r="A152" s="24" t="s">
        <v>145</v>
      </c>
      <c r="B152" s="24" t="s">
        <v>13</v>
      </c>
      <c r="C152" s="24">
        <v>1995</v>
      </c>
      <c r="D152" s="24" t="s">
        <v>27</v>
      </c>
      <c r="E152" s="25" t="s">
        <v>28</v>
      </c>
      <c r="F152" s="25" t="s">
        <v>28</v>
      </c>
      <c r="G152" s="28" t="s">
        <v>146</v>
      </c>
      <c r="H152" s="28" t="s">
        <v>151</v>
      </c>
      <c r="I152" s="24"/>
      <c r="J152" s="24"/>
      <c r="K152" s="24"/>
      <c r="L152" s="24" t="s">
        <v>150</v>
      </c>
      <c r="M152" s="24" t="s">
        <v>34</v>
      </c>
      <c r="N152" s="24">
        <v>0.4</v>
      </c>
      <c r="O152" s="26"/>
      <c r="P152" s="24"/>
      <c r="R152" s="30"/>
      <c r="S152" s="30"/>
      <c r="T152" s="30" t="s">
        <v>181</v>
      </c>
    </row>
    <row r="153" spans="1:20" hidden="1" x14ac:dyDescent="0.35">
      <c r="A153" s="24" t="s">
        <v>145</v>
      </c>
      <c r="B153" s="24" t="s">
        <v>13</v>
      </c>
      <c r="C153" s="27">
        <v>1996</v>
      </c>
      <c r="D153" s="28" t="s">
        <v>27</v>
      </c>
      <c r="E153" s="25" t="s">
        <v>28</v>
      </c>
      <c r="F153" s="25" t="s">
        <v>28</v>
      </c>
      <c r="G153" s="28" t="s">
        <v>152</v>
      </c>
      <c r="H153" s="28" t="s">
        <v>152</v>
      </c>
      <c r="I153" s="24"/>
      <c r="J153" s="24"/>
      <c r="K153" s="24"/>
      <c r="L153" s="24" t="s">
        <v>31</v>
      </c>
      <c r="M153" s="24" t="s">
        <v>32</v>
      </c>
      <c r="N153" s="29">
        <v>33.799999999999997</v>
      </c>
      <c r="O153" s="26">
        <v>33.799999999999997</v>
      </c>
      <c r="P153" s="24"/>
      <c r="R153" s="30"/>
      <c r="S153" s="30"/>
      <c r="T153" s="30" t="s">
        <v>181</v>
      </c>
    </row>
    <row r="154" spans="1:20" hidden="1" x14ac:dyDescent="0.35">
      <c r="A154" s="24" t="s">
        <v>145</v>
      </c>
      <c r="B154" s="24" t="s">
        <v>13</v>
      </c>
      <c r="C154" s="27">
        <v>1996</v>
      </c>
      <c r="D154" s="28" t="s">
        <v>27</v>
      </c>
      <c r="E154" s="25" t="s">
        <v>28</v>
      </c>
      <c r="F154" s="25" t="s">
        <v>28</v>
      </c>
      <c r="G154" s="28" t="s">
        <v>152</v>
      </c>
      <c r="H154" s="28" t="s">
        <v>152</v>
      </c>
      <c r="I154" s="24"/>
      <c r="J154" s="24"/>
      <c r="K154" s="24"/>
      <c r="L154" s="24" t="s">
        <v>148</v>
      </c>
      <c r="M154" s="24" t="s">
        <v>36</v>
      </c>
      <c r="N154" s="29">
        <v>33.200000000000003</v>
      </c>
      <c r="O154" s="26"/>
      <c r="P154" s="24">
        <v>52.9</v>
      </c>
      <c r="R154" s="30"/>
      <c r="S154" s="30"/>
      <c r="T154" s="30" t="s">
        <v>181</v>
      </c>
    </row>
    <row r="155" spans="1:20" hidden="1" x14ac:dyDescent="0.35">
      <c r="A155" s="24" t="s">
        <v>145</v>
      </c>
      <c r="B155" s="24" t="s">
        <v>13</v>
      </c>
      <c r="C155" s="27">
        <v>1996</v>
      </c>
      <c r="D155" s="28" t="s">
        <v>27</v>
      </c>
      <c r="E155" s="25" t="s">
        <v>28</v>
      </c>
      <c r="F155" s="25" t="s">
        <v>28</v>
      </c>
      <c r="G155" s="28" t="s">
        <v>152</v>
      </c>
      <c r="H155" s="28" t="s">
        <v>152</v>
      </c>
      <c r="I155" s="24"/>
      <c r="J155" s="24"/>
      <c r="K155" s="24"/>
      <c r="L155" s="24" t="s">
        <v>149</v>
      </c>
      <c r="M155" s="24" t="s">
        <v>41</v>
      </c>
      <c r="N155" s="29">
        <v>0.1</v>
      </c>
      <c r="O155" s="26"/>
      <c r="P155" s="24"/>
      <c r="R155" s="30"/>
      <c r="S155" s="30"/>
      <c r="T155" s="30" t="s">
        <v>181</v>
      </c>
    </row>
    <row r="156" spans="1:20" hidden="1" x14ac:dyDescent="0.35">
      <c r="A156" s="24" t="s">
        <v>145</v>
      </c>
      <c r="B156" s="24" t="s">
        <v>13</v>
      </c>
      <c r="C156" s="27">
        <v>1996</v>
      </c>
      <c r="D156" s="28" t="s">
        <v>27</v>
      </c>
      <c r="E156" s="25" t="s">
        <v>28</v>
      </c>
      <c r="F156" s="25" t="s">
        <v>28</v>
      </c>
      <c r="G156" s="28" t="s">
        <v>152</v>
      </c>
      <c r="H156" s="28" t="s">
        <v>152</v>
      </c>
      <c r="I156" s="24"/>
      <c r="J156" s="24"/>
      <c r="K156" s="24"/>
      <c r="L156" s="24" t="s">
        <v>150</v>
      </c>
      <c r="M156" s="24" t="s">
        <v>34</v>
      </c>
      <c r="N156" s="29">
        <v>19.600000000000001</v>
      </c>
      <c r="O156" s="26"/>
      <c r="P156" s="24"/>
      <c r="R156" s="30"/>
      <c r="S156" s="30"/>
      <c r="T156" s="30" t="s">
        <v>181</v>
      </c>
    </row>
    <row r="157" spans="1:20" hidden="1" x14ac:dyDescent="0.35">
      <c r="A157" s="30" t="s">
        <v>158</v>
      </c>
      <c r="B157" s="30" t="s">
        <v>159</v>
      </c>
      <c r="C157" s="30">
        <v>2000</v>
      </c>
      <c r="D157" s="30"/>
      <c r="E157" s="30"/>
      <c r="F157" s="31" t="s">
        <v>28</v>
      </c>
      <c r="G157" s="30" t="s">
        <v>160</v>
      </c>
      <c r="H157" s="30" t="s">
        <v>162</v>
      </c>
      <c r="I157" s="30" t="s">
        <v>163</v>
      </c>
      <c r="J157" s="30" t="s">
        <v>161</v>
      </c>
      <c r="K157" s="30" t="s">
        <v>161</v>
      </c>
      <c r="L157" s="30"/>
      <c r="M157" s="30" t="s">
        <v>32</v>
      </c>
      <c r="N157" s="30">
        <v>60.1</v>
      </c>
      <c r="O157">
        <v>60.1</v>
      </c>
      <c r="R157" s="30"/>
      <c r="S157" s="30"/>
      <c r="T157" s="30" t="s">
        <v>181</v>
      </c>
    </row>
    <row r="158" spans="1:20" hidden="1" x14ac:dyDescent="0.35">
      <c r="A158" s="30" t="s">
        <v>158</v>
      </c>
      <c r="B158" s="30" t="s">
        <v>159</v>
      </c>
      <c r="C158" s="30">
        <v>2000</v>
      </c>
      <c r="D158" s="30"/>
      <c r="E158" s="30"/>
      <c r="F158" s="31" t="s">
        <v>28</v>
      </c>
      <c r="G158" s="30" t="s">
        <v>160</v>
      </c>
      <c r="H158" s="30" t="s">
        <v>162</v>
      </c>
      <c r="I158" s="30" t="s">
        <v>163</v>
      </c>
      <c r="J158" s="30" t="s">
        <v>161</v>
      </c>
      <c r="K158" s="30" t="s">
        <v>161</v>
      </c>
      <c r="L158" s="30"/>
      <c r="M158" s="30" t="s">
        <v>34</v>
      </c>
      <c r="N158" s="30">
        <v>0.1</v>
      </c>
      <c r="P158">
        <v>0.1</v>
      </c>
      <c r="R158" s="30"/>
      <c r="S158" s="30"/>
      <c r="T158" s="30" t="s">
        <v>181</v>
      </c>
    </row>
    <row r="159" spans="1:20" hidden="1" x14ac:dyDescent="0.35">
      <c r="A159" s="30" t="s">
        <v>158</v>
      </c>
      <c r="B159" s="30" t="s">
        <v>159</v>
      </c>
      <c r="C159" s="30">
        <v>2000</v>
      </c>
      <c r="D159" s="30"/>
      <c r="E159" s="30"/>
      <c r="F159" s="31" t="s">
        <v>28</v>
      </c>
      <c r="G159" s="30" t="s">
        <v>164</v>
      </c>
      <c r="H159" s="30" t="s">
        <v>165</v>
      </c>
      <c r="I159" s="30" t="s">
        <v>166</v>
      </c>
      <c r="J159" s="30" t="s">
        <v>161</v>
      </c>
      <c r="K159" s="30" t="s">
        <v>161</v>
      </c>
      <c r="L159" s="30"/>
      <c r="M159" s="30" t="s">
        <v>32</v>
      </c>
      <c r="N159" s="30">
        <v>30.9</v>
      </c>
      <c r="O159">
        <v>30.9</v>
      </c>
      <c r="R159" s="30"/>
      <c r="S159" s="30"/>
      <c r="T159" s="30" t="s">
        <v>181</v>
      </c>
    </row>
    <row r="160" spans="1:20" hidden="1" x14ac:dyDescent="0.35">
      <c r="A160" s="30" t="s">
        <v>158</v>
      </c>
      <c r="B160" s="30" t="s">
        <v>159</v>
      </c>
      <c r="C160" s="30">
        <v>2000</v>
      </c>
      <c r="D160" s="30"/>
      <c r="E160" s="30"/>
      <c r="F160" s="31" t="s">
        <v>28</v>
      </c>
      <c r="G160" s="30" t="s">
        <v>164</v>
      </c>
      <c r="H160" s="30" t="s">
        <v>165</v>
      </c>
      <c r="I160" s="30" t="s">
        <v>166</v>
      </c>
      <c r="J160" s="30" t="s">
        <v>161</v>
      </c>
      <c r="K160" s="30" t="s">
        <v>161</v>
      </c>
      <c r="L160" s="30"/>
      <c r="M160" s="30" t="s">
        <v>34</v>
      </c>
      <c r="N160" s="30">
        <v>0</v>
      </c>
      <c r="P160">
        <v>0</v>
      </c>
      <c r="R160" s="30"/>
      <c r="S160" s="30"/>
      <c r="T160" s="30" t="s">
        <v>181</v>
      </c>
    </row>
    <row r="161" spans="1:20" hidden="1" x14ac:dyDescent="0.35">
      <c r="A161" s="30" t="s">
        <v>158</v>
      </c>
      <c r="B161" s="30" t="s">
        <v>159</v>
      </c>
      <c r="C161" s="30">
        <v>2000</v>
      </c>
      <c r="D161" s="30"/>
      <c r="E161" s="30"/>
      <c r="F161" s="31" t="s">
        <v>28</v>
      </c>
      <c r="G161" s="30" t="s">
        <v>164</v>
      </c>
      <c r="H161" s="30" t="s">
        <v>165</v>
      </c>
      <c r="I161" s="30" t="s">
        <v>167</v>
      </c>
      <c r="J161" s="30" t="s">
        <v>161</v>
      </c>
      <c r="K161" s="30" t="s">
        <v>161</v>
      </c>
      <c r="L161" s="30"/>
      <c r="M161" s="30" t="s">
        <v>32</v>
      </c>
      <c r="N161" s="30">
        <v>41.9</v>
      </c>
      <c r="O161">
        <v>41.9</v>
      </c>
      <c r="R161" s="30"/>
      <c r="S161" s="30"/>
      <c r="T161" s="30" t="s">
        <v>181</v>
      </c>
    </row>
    <row r="162" spans="1:20" hidden="1" x14ac:dyDescent="0.35">
      <c r="A162" s="30" t="s">
        <v>158</v>
      </c>
      <c r="B162" s="30" t="s">
        <v>159</v>
      </c>
      <c r="C162" s="30">
        <v>2000</v>
      </c>
      <c r="D162" s="30"/>
      <c r="E162" s="30"/>
      <c r="F162" s="31" t="s">
        <v>28</v>
      </c>
      <c r="G162" s="30" t="s">
        <v>164</v>
      </c>
      <c r="H162" s="30" t="s">
        <v>165</v>
      </c>
      <c r="I162" s="30" t="s">
        <v>167</v>
      </c>
      <c r="J162" s="30" t="s">
        <v>161</v>
      </c>
      <c r="K162" s="30" t="s">
        <v>161</v>
      </c>
      <c r="L162" s="30"/>
      <c r="M162" s="30" t="s">
        <v>34</v>
      </c>
      <c r="N162" s="30">
        <v>0</v>
      </c>
      <c r="P162">
        <v>0</v>
      </c>
      <c r="R162" s="30"/>
      <c r="S162" s="30"/>
      <c r="T162" s="30" t="s">
        <v>181</v>
      </c>
    </row>
    <row r="163" spans="1:20" hidden="1" x14ac:dyDescent="0.35">
      <c r="A163" s="30" t="s">
        <v>158</v>
      </c>
      <c r="B163" s="30" t="s">
        <v>159</v>
      </c>
      <c r="C163" s="30">
        <v>2000</v>
      </c>
      <c r="D163" s="30"/>
      <c r="E163" s="30"/>
      <c r="F163" s="31" t="s">
        <v>28</v>
      </c>
      <c r="G163" s="30" t="s">
        <v>164</v>
      </c>
      <c r="H163" s="30" t="s">
        <v>165</v>
      </c>
      <c r="I163" s="30" t="s">
        <v>168</v>
      </c>
      <c r="J163" s="30" t="s">
        <v>161</v>
      </c>
      <c r="K163" s="30" t="s">
        <v>161</v>
      </c>
      <c r="L163" s="30"/>
      <c r="M163" s="30" t="s">
        <v>32</v>
      </c>
      <c r="N163" s="30">
        <v>36.200000000000003</v>
      </c>
      <c r="O163">
        <v>36.200000000000003</v>
      </c>
      <c r="R163" s="30"/>
      <c r="S163" s="30"/>
      <c r="T163" s="30" t="s">
        <v>181</v>
      </c>
    </row>
    <row r="164" spans="1:20" hidden="1" x14ac:dyDescent="0.35">
      <c r="A164" s="30" t="s">
        <v>158</v>
      </c>
      <c r="B164" s="30" t="s">
        <v>159</v>
      </c>
      <c r="C164" s="30">
        <v>2000</v>
      </c>
      <c r="D164" s="30"/>
      <c r="E164" s="30"/>
      <c r="F164" s="31" t="s">
        <v>28</v>
      </c>
      <c r="G164" s="30" t="s">
        <v>164</v>
      </c>
      <c r="H164" s="30" t="s">
        <v>165</v>
      </c>
      <c r="I164" s="30" t="s">
        <v>168</v>
      </c>
      <c r="J164" s="30" t="s">
        <v>161</v>
      </c>
      <c r="K164" s="30" t="s">
        <v>161</v>
      </c>
      <c r="L164" s="30"/>
      <c r="M164" s="30" t="s">
        <v>34</v>
      </c>
      <c r="N164" s="30">
        <v>0</v>
      </c>
      <c r="P164">
        <v>0</v>
      </c>
      <c r="R164" s="30"/>
      <c r="S164" s="30"/>
      <c r="T164" s="30" t="s">
        <v>181</v>
      </c>
    </row>
    <row r="165" spans="1:20" hidden="1" x14ac:dyDescent="0.35">
      <c r="A165" s="30" t="s">
        <v>158</v>
      </c>
      <c r="B165" s="30" t="s">
        <v>159</v>
      </c>
      <c r="C165" s="30">
        <v>2000</v>
      </c>
      <c r="D165" s="30"/>
      <c r="E165" s="30"/>
      <c r="F165" s="31" t="s">
        <v>28</v>
      </c>
      <c r="G165" s="30" t="s">
        <v>169</v>
      </c>
      <c r="H165" s="30" t="s">
        <v>170</v>
      </c>
      <c r="I165" s="30" t="s">
        <v>171</v>
      </c>
      <c r="J165" s="30" t="s">
        <v>161</v>
      </c>
      <c r="K165" s="30" t="s">
        <v>161</v>
      </c>
      <c r="L165" s="30"/>
      <c r="M165" s="30" t="s">
        <v>32</v>
      </c>
      <c r="N165" s="30">
        <v>28.4</v>
      </c>
      <c r="O165">
        <v>28.4</v>
      </c>
      <c r="R165" s="30"/>
      <c r="S165" s="30"/>
      <c r="T165" s="30" t="s">
        <v>181</v>
      </c>
    </row>
    <row r="166" spans="1:20" hidden="1" x14ac:dyDescent="0.35">
      <c r="A166" s="30" t="s">
        <v>158</v>
      </c>
      <c r="B166" s="30" t="s">
        <v>159</v>
      </c>
      <c r="C166" s="30">
        <v>2000</v>
      </c>
      <c r="D166" s="30"/>
      <c r="E166" s="30"/>
      <c r="F166" s="31" t="s">
        <v>28</v>
      </c>
      <c r="G166" s="30" t="s">
        <v>169</v>
      </c>
      <c r="H166" s="30" t="s">
        <v>170</v>
      </c>
      <c r="I166" s="30" t="s">
        <v>171</v>
      </c>
      <c r="J166" s="30" t="s">
        <v>161</v>
      </c>
      <c r="K166" s="30" t="s">
        <v>161</v>
      </c>
      <c r="L166" s="30"/>
      <c r="M166" s="30" t="s">
        <v>34</v>
      </c>
      <c r="N166" s="30">
        <v>1.9</v>
      </c>
      <c r="P166">
        <v>1.9</v>
      </c>
      <c r="R166" s="30"/>
      <c r="S166" s="30"/>
      <c r="T166" s="30" t="s">
        <v>181</v>
      </c>
    </row>
    <row r="167" spans="1:20" hidden="1" x14ac:dyDescent="0.35">
      <c r="A167" s="30" t="s">
        <v>158</v>
      </c>
      <c r="B167" s="30" t="s">
        <v>159</v>
      </c>
      <c r="C167" s="30">
        <v>2000</v>
      </c>
      <c r="D167" s="30"/>
      <c r="E167" s="30"/>
      <c r="F167" s="31" t="s">
        <v>28</v>
      </c>
      <c r="G167" s="30" t="s">
        <v>169</v>
      </c>
      <c r="H167" s="30" t="s">
        <v>170</v>
      </c>
      <c r="I167" s="30" t="s">
        <v>172</v>
      </c>
      <c r="J167" s="30" t="s">
        <v>161</v>
      </c>
      <c r="K167" s="30" t="s">
        <v>161</v>
      </c>
      <c r="L167" s="30"/>
      <c r="M167" s="30" t="s">
        <v>32</v>
      </c>
      <c r="N167" s="30">
        <v>27.2</v>
      </c>
      <c r="O167">
        <v>27.2</v>
      </c>
      <c r="R167" s="30"/>
      <c r="S167" s="30"/>
      <c r="T167" s="30" t="s">
        <v>181</v>
      </c>
    </row>
    <row r="168" spans="1:20" hidden="1" x14ac:dyDescent="0.35">
      <c r="A168" s="30" t="s">
        <v>158</v>
      </c>
      <c r="B168" s="30" t="s">
        <v>159</v>
      </c>
      <c r="C168" s="30">
        <v>2000</v>
      </c>
      <c r="D168" s="30"/>
      <c r="E168" s="30"/>
      <c r="F168" s="31" t="s">
        <v>28</v>
      </c>
      <c r="G168" s="30" t="s">
        <v>169</v>
      </c>
      <c r="H168" s="30" t="s">
        <v>170</v>
      </c>
      <c r="I168" s="30" t="s">
        <v>172</v>
      </c>
      <c r="J168" s="30" t="s">
        <v>161</v>
      </c>
      <c r="K168" s="30" t="s">
        <v>161</v>
      </c>
      <c r="L168" s="30"/>
      <c r="M168" s="30" t="s">
        <v>34</v>
      </c>
      <c r="N168" s="30">
        <v>0</v>
      </c>
      <c r="P168">
        <v>0</v>
      </c>
      <c r="R168" s="30"/>
      <c r="S168" s="30"/>
      <c r="T168" s="30" t="s">
        <v>181</v>
      </c>
    </row>
    <row r="169" spans="1:20" hidden="1" x14ac:dyDescent="0.35">
      <c r="A169" s="30" t="s">
        <v>158</v>
      </c>
      <c r="B169" s="30" t="s">
        <v>159</v>
      </c>
      <c r="C169" s="30">
        <v>2000</v>
      </c>
      <c r="D169" s="30"/>
      <c r="E169" s="30"/>
      <c r="F169" s="31" t="s">
        <v>28</v>
      </c>
      <c r="G169" s="30" t="s">
        <v>173</v>
      </c>
      <c r="H169" s="30" t="s">
        <v>174</v>
      </c>
      <c r="I169" s="30" t="s">
        <v>175</v>
      </c>
      <c r="J169" s="30" t="s">
        <v>161</v>
      </c>
      <c r="K169" s="30" t="s">
        <v>161</v>
      </c>
      <c r="L169" s="30"/>
      <c r="M169" s="30" t="s">
        <v>32</v>
      </c>
      <c r="N169" s="30">
        <v>68.2</v>
      </c>
      <c r="O169">
        <v>68.2</v>
      </c>
      <c r="R169" s="30"/>
      <c r="S169" s="30"/>
      <c r="T169" s="30" t="s">
        <v>181</v>
      </c>
    </row>
    <row r="170" spans="1:20" hidden="1" x14ac:dyDescent="0.35">
      <c r="A170" s="30" t="s">
        <v>158</v>
      </c>
      <c r="B170" s="30" t="s">
        <v>159</v>
      </c>
      <c r="C170" s="30">
        <v>2000</v>
      </c>
      <c r="D170" s="30"/>
      <c r="E170" s="30"/>
      <c r="F170" s="31" t="s">
        <v>28</v>
      </c>
      <c r="G170" s="30" t="s">
        <v>173</v>
      </c>
      <c r="H170" s="30" t="s">
        <v>174</v>
      </c>
      <c r="I170" s="30" t="s">
        <v>175</v>
      </c>
      <c r="J170" s="30" t="s">
        <v>161</v>
      </c>
      <c r="K170" s="30" t="s">
        <v>161</v>
      </c>
      <c r="L170" s="30"/>
      <c r="M170" s="30" t="s">
        <v>34</v>
      </c>
      <c r="N170" s="30">
        <v>0</v>
      </c>
      <c r="P170">
        <v>0</v>
      </c>
      <c r="R170" s="30"/>
      <c r="S170" s="30"/>
      <c r="T170" s="30" t="s">
        <v>181</v>
      </c>
    </row>
    <row r="171" spans="1:20" hidden="1" x14ac:dyDescent="0.35">
      <c r="A171" t="s">
        <v>89</v>
      </c>
      <c r="B171" t="s">
        <v>13</v>
      </c>
      <c r="C171" s="5">
        <v>1997</v>
      </c>
      <c r="D171" s="5" t="s">
        <v>27</v>
      </c>
      <c r="E171" s="5" t="s">
        <v>28</v>
      </c>
      <c r="F171" s="5" t="s">
        <v>28</v>
      </c>
      <c r="H171" t="s">
        <v>92</v>
      </c>
      <c r="L171" t="s">
        <v>87</v>
      </c>
      <c r="M171" t="s">
        <v>52</v>
      </c>
      <c r="N171" s="12">
        <v>2.94</v>
      </c>
      <c r="P171" s="13">
        <f t="shared" ref="P171:P176" si="2">N171</f>
        <v>2.94</v>
      </c>
      <c r="R171" s="30"/>
      <c r="S171" s="30"/>
      <c r="T171" s="30" t="s">
        <v>181</v>
      </c>
    </row>
    <row r="172" spans="1:20" hidden="1" x14ac:dyDescent="0.35">
      <c r="A172" t="s">
        <v>89</v>
      </c>
      <c r="B172" t="s">
        <v>13</v>
      </c>
      <c r="C172" s="5">
        <v>1997</v>
      </c>
      <c r="D172" s="5" t="s">
        <v>27</v>
      </c>
      <c r="E172" s="5" t="s">
        <v>28</v>
      </c>
      <c r="F172" s="5" t="s">
        <v>28</v>
      </c>
      <c r="H172" t="s">
        <v>91</v>
      </c>
      <c r="L172" t="s">
        <v>87</v>
      </c>
      <c r="M172" t="s">
        <v>52</v>
      </c>
      <c r="N172" s="12">
        <v>10.97</v>
      </c>
      <c r="P172" s="13">
        <f t="shared" si="2"/>
        <v>10.97</v>
      </c>
      <c r="R172" s="30"/>
      <c r="S172" s="30"/>
      <c r="T172" s="30" t="s">
        <v>181</v>
      </c>
    </row>
    <row r="173" spans="1:20" hidden="1" x14ac:dyDescent="0.35">
      <c r="A173" t="s">
        <v>89</v>
      </c>
      <c r="B173" t="s">
        <v>13</v>
      </c>
      <c r="C173" s="5">
        <v>1997</v>
      </c>
      <c r="D173" s="5" t="s">
        <v>27</v>
      </c>
      <c r="E173" s="5" t="s">
        <v>28</v>
      </c>
      <c r="F173" s="5" t="s">
        <v>28</v>
      </c>
      <c r="H173" t="s">
        <v>90</v>
      </c>
      <c r="L173" t="s">
        <v>87</v>
      </c>
      <c r="M173" t="s">
        <v>52</v>
      </c>
      <c r="N173" s="12">
        <v>3.88</v>
      </c>
      <c r="P173" s="13">
        <f t="shared" si="2"/>
        <v>3.88</v>
      </c>
      <c r="R173" s="30"/>
      <c r="S173" s="30"/>
      <c r="T173" s="30" t="s">
        <v>181</v>
      </c>
    </row>
    <row r="174" spans="1:20" hidden="1" x14ac:dyDescent="0.35">
      <c r="A174" t="s">
        <v>89</v>
      </c>
      <c r="B174" t="s">
        <v>13</v>
      </c>
      <c r="C174" s="5">
        <v>1997</v>
      </c>
      <c r="D174" s="5" t="s">
        <v>27</v>
      </c>
      <c r="E174" s="5" t="s">
        <v>28</v>
      </c>
      <c r="F174" s="5" t="s">
        <v>28</v>
      </c>
      <c r="H174" t="s">
        <v>93</v>
      </c>
      <c r="L174" t="s">
        <v>87</v>
      </c>
      <c r="M174" t="s">
        <v>52</v>
      </c>
      <c r="N174" s="12">
        <v>8.8699999999999992</v>
      </c>
      <c r="P174" s="13">
        <f t="shared" si="2"/>
        <v>8.8699999999999992</v>
      </c>
      <c r="R174" s="30"/>
      <c r="S174" s="30"/>
      <c r="T174" s="30" t="s">
        <v>181</v>
      </c>
    </row>
    <row r="175" spans="1:20" hidden="1" x14ac:dyDescent="0.35">
      <c r="A175" t="s">
        <v>89</v>
      </c>
      <c r="B175" t="s">
        <v>13</v>
      </c>
      <c r="C175" s="5">
        <v>1997</v>
      </c>
      <c r="D175" s="5" t="s">
        <v>27</v>
      </c>
      <c r="E175" s="5" t="s">
        <v>28</v>
      </c>
      <c r="F175" s="5" t="s">
        <v>28</v>
      </c>
      <c r="H175" t="s">
        <v>43</v>
      </c>
      <c r="L175" t="s">
        <v>87</v>
      </c>
      <c r="M175" t="s">
        <v>52</v>
      </c>
      <c r="N175" s="12">
        <v>28.06</v>
      </c>
      <c r="P175" s="13">
        <f t="shared" si="2"/>
        <v>28.06</v>
      </c>
      <c r="R175" s="30"/>
      <c r="S175" s="30"/>
      <c r="T175" s="30" t="s">
        <v>181</v>
      </c>
    </row>
    <row r="176" spans="1:20" hidden="1" x14ac:dyDescent="0.35">
      <c r="A176" t="s">
        <v>89</v>
      </c>
      <c r="B176" t="s">
        <v>13</v>
      </c>
      <c r="C176" s="5">
        <v>1997</v>
      </c>
      <c r="D176" s="5" t="s">
        <v>27</v>
      </c>
      <c r="E176" s="5" t="s">
        <v>28</v>
      </c>
      <c r="F176" s="5" t="s">
        <v>28</v>
      </c>
      <c r="H176" t="s">
        <v>94</v>
      </c>
      <c r="L176" t="s">
        <v>87</v>
      </c>
      <c r="M176" t="s">
        <v>52</v>
      </c>
      <c r="N176" s="12">
        <v>2.44</v>
      </c>
      <c r="P176" s="13">
        <f t="shared" si="2"/>
        <v>2.44</v>
      </c>
      <c r="R176" s="30"/>
      <c r="S176" s="30"/>
      <c r="T176" s="30" t="s">
        <v>181</v>
      </c>
    </row>
    <row r="177" spans="1:20" hidden="1" x14ac:dyDescent="0.35">
      <c r="A177" t="s">
        <v>89</v>
      </c>
      <c r="B177" t="s">
        <v>13</v>
      </c>
      <c r="C177" s="9">
        <v>1997</v>
      </c>
      <c r="D177" s="5" t="s">
        <v>27</v>
      </c>
      <c r="E177" s="5" t="s">
        <v>28</v>
      </c>
      <c r="F177" s="5" t="s">
        <v>28</v>
      </c>
      <c r="H177" t="s">
        <v>92</v>
      </c>
      <c r="L177" t="s">
        <v>31</v>
      </c>
      <c r="M177" t="s">
        <v>32</v>
      </c>
      <c r="N177" s="12">
        <v>53.11</v>
      </c>
      <c r="O177" s="13">
        <f t="shared" ref="O177:O182" si="3">N177</f>
        <v>53.11</v>
      </c>
      <c r="R177" s="30"/>
      <c r="S177" s="30"/>
      <c r="T177" s="30" t="s">
        <v>181</v>
      </c>
    </row>
    <row r="178" spans="1:20" hidden="1" x14ac:dyDescent="0.35">
      <c r="A178" t="s">
        <v>89</v>
      </c>
      <c r="B178" t="s">
        <v>13</v>
      </c>
      <c r="C178" s="9">
        <v>1997</v>
      </c>
      <c r="D178" s="5" t="s">
        <v>27</v>
      </c>
      <c r="E178" s="5" t="s">
        <v>28</v>
      </c>
      <c r="F178" s="5" t="s">
        <v>28</v>
      </c>
      <c r="H178" t="s">
        <v>91</v>
      </c>
      <c r="L178" t="s">
        <v>31</v>
      </c>
      <c r="M178" t="s">
        <v>32</v>
      </c>
      <c r="N178" s="12">
        <v>50.11</v>
      </c>
      <c r="O178" s="13">
        <f t="shared" si="3"/>
        <v>50.11</v>
      </c>
      <c r="R178" s="30"/>
      <c r="S178" s="30"/>
      <c r="T178" s="30" t="s">
        <v>181</v>
      </c>
    </row>
    <row r="179" spans="1:20" hidden="1" x14ac:dyDescent="0.35">
      <c r="A179" t="s">
        <v>89</v>
      </c>
      <c r="B179" t="s">
        <v>13</v>
      </c>
      <c r="C179" s="5">
        <v>1997</v>
      </c>
      <c r="D179" s="5" t="s">
        <v>27</v>
      </c>
      <c r="E179" s="5" t="s">
        <v>28</v>
      </c>
      <c r="F179" s="5" t="s">
        <v>28</v>
      </c>
      <c r="H179" t="s">
        <v>90</v>
      </c>
      <c r="L179" t="s">
        <v>31</v>
      </c>
      <c r="M179" t="s">
        <v>32</v>
      </c>
      <c r="N179" s="12">
        <v>44.31</v>
      </c>
      <c r="O179" s="13">
        <f t="shared" si="3"/>
        <v>44.31</v>
      </c>
      <c r="R179" s="30"/>
      <c r="S179" s="30"/>
      <c r="T179" s="30" t="s">
        <v>181</v>
      </c>
    </row>
    <row r="180" spans="1:20" hidden="1" x14ac:dyDescent="0.35">
      <c r="A180" t="s">
        <v>89</v>
      </c>
      <c r="B180" t="s">
        <v>13</v>
      </c>
      <c r="C180" s="9">
        <v>1997</v>
      </c>
      <c r="D180" s="5" t="s">
        <v>27</v>
      </c>
      <c r="E180" s="5" t="s">
        <v>28</v>
      </c>
      <c r="F180" s="5" t="s">
        <v>28</v>
      </c>
      <c r="H180" t="s">
        <v>93</v>
      </c>
      <c r="L180" t="s">
        <v>31</v>
      </c>
      <c r="M180" t="s">
        <v>32</v>
      </c>
      <c r="N180" s="12">
        <v>51.85</v>
      </c>
      <c r="O180" s="13">
        <f t="shared" si="3"/>
        <v>51.85</v>
      </c>
      <c r="R180" s="30"/>
      <c r="S180" s="30"/>
      <c r="T180" s="30" t="s">
        <v>181</v>
      </c>
    </row>
    <row r="181" spans="1:20" hidden="1" x14ac:dyDescent="0.35">
      <c r="A181" t="s">
        <v>89</v>
      </c>
      <c r="B181" t="s">
        <v>13</v>
      </c>
      <c r="C181" s="5">
        <v>1997</v>
      </c>
      <c r="D181" s="5" t="s">
        <v>27</v>
      </c>
      <c r="E181" s="5" t="s">
        <v>28</v>
      </c>
      <c r="F181" s="5" t="s">
        <v>28</v>
      </c>
      <c r="H181" t="s">
        <v>43</v>
      </c>
      <c r="L181" t="s">
        <v>31</v>
      </c>
      <c r="M181" t="s">
        <v>32</v>
      </c>
      <c r="N181" s="12">
        <v>29.73</v>
      </c>
      <c r="O181" s="13">
        <f t="shared" si="3"/>
        <v>29.73</v>
      </c>
      <c r="R181" s="30"/>
      <c r="S181" s="30"/>
      <c r="T181" s="30" t="s">
        <v>181</v>
      </c>
    </row>
    <row r="182" spans="1:20" hidden="1" x14ac:dyDescent="0.35">
      <c r="A182" t="s">
        <v>89</v>
      </c>
      <c r="B182" t="s">
        <v>13</v>
      </c>
      <c r="C182" s="9">
        <v>1997</v>
      </c>
      <c r="D182" s="5" t="s">
        <v>27</v>
      </c>
      <c r="E182" s="5" t="s">
        <v>28</v>
      </c>
      <c r="F182" s="5" t="s">
        <v>28</v>
      </c>
      <c r="H182" t="s">
        <v>94</v>
      </c>
      <c r="L182" t="s">
        <v>31</v>
      </c>
      <c r="M182" t="s">
        <v>32</v>
      </c>
      <c r="N182" s="9">
        <v>13.95</v>
      </c>
      <c r="O182" s="13">
        <f t="shared" si="3"/>
        <v>13.95</v>
      </c>
      <c r="R182" s="30"/>
      <c r="S182" s="30"/>
      <c r="T182" s="30" t="s">
        <v>181</v>
      </c>
    </row>
    <row r="183" spans="1:20" hidden="1" x14ac:dyDescent="0.35">
      <c r="A183" s="24" t="s">
        <v>153</v>
      </c>
      <c r="B183" s="24" t="s">
        <v>13</v>
      </c>
      <c r="C183" s="24">
        <v>1991</v>
      </c>
      <c r="D183" s="24" t="s">
        <v>27</v>
      </c>
      <c r="E183" s="25" t="s">
        <v>28</v>
      </c>
      <c r="F183" s="25" t="s">
        <v>28</v>
      </c>
      <c r="G183" s="28" t="s">
        <v>154</v>
      </c>
      <c r="H183" s="28" t="s">
        <v>155</v>
      </c>
      <c r="I183" s="24"/>
      <c r="J183" s="24"/>
      <c r="K183" s="24"/>
      <c r="L183" s="24" t="s">
        <v>31</v>
      </c>
      <c r="M183" s="24" t="s">
        <v>32</v>
      </c>
      <c r="N183" s="24">
        <v>80</v>
      </c>
      <c r="O183" s="26">
        <v>80</v>
      </c>
      <c r="P183" s="24"/>
      <c r="R183" s="30"/>
      <c r="S183" s="30"/>
      <c r="T183" s="30" t="s">
        <v>181</v>
      </c>
    </row>
    <row r="184" spans="1:20" hidden="1" x14ac:dyDescent="0.35">
      <c r="A184" s="24" t="s">
        <v>153</v>
      </c>
      <c r="B184" s="24" t="s">
        <v>13</v>
      </c>
      <c r="C184" s="24">
        <v>1996</v>
      </c>
      <c r="D184" s="24" t="s">
        <v>27</v>
      </c>
      <c r="E184" s="25" t="s">
        <v>28</v>
      </c>
      <c r="F184" s="25" t="s">
        <v>28</v>
      </c>
      <c r="G184" s="28" t="s">
        <v>154</v>
      </c>
      <c r="H184" s="28" t="s">
        <v>155</v>
      </c>
      <c r="I184" s="24"/>
      <c r="J184" s="24"/>
      <c r="K184" s="24"/>
      <c r="L184" s="24" t="s">
        <v>156</v>
      </c>
      <c r="M184" s="24" t="s">
        <v>34</v>
      </c>
      <c r="N184" s="24">
        <v>1</v>
      </c>
      <c r="O184" s="26"/>
      <c r="P184" s="24">
        <v>1</v>
      </c>
      <c r="R184" s="30"/>
      <c r="S184" s="30"/>
      <c r="T184" s="30" t="s">
        <v>181</v>
      </c>
    </row>
    <row r="185" spans="1:20" hidden="1" x14ac:dyDescent="0.35">
      <c r="A185" s="9" t="s">
        <v>42</v>
      </c>
      <c r="B185" t="s">
        <v>2</v>
      </c>
      <c r="C185" s="10">
        <v>1993</v>
      </c>
      <c r="D185" s="5" t="s">
        <v>27</v>
      </c>
      <c r="E185" s="10" t="s">
        <v>28</v>
      </c>
      <c r="F185" s="10" t="s">
        <v>28</v>
      </c>
      <c r="G185" s="11" t="s">
        <v>43</v>
      </c>
      <c r="H185" s="9" t="s">
        <v>44</v>
      </c>
      <c r="L185" t="s">
        <v>33</v>
      </c>
      <c r="M185" t="s">
        <v>34</v>
      </c>
      <c r="N185" s="10">
        <v>1.3</v>
      </c>
      <c r="P185" s="13">
        <f>SUM(N185:N186)</f>
        <v>48.01</v>
      </c>
      <c r="R185" s="30"/>
      <c r="S185" s="30"/>
      <c r="T185" s="30" t="s">
        <v>181</v>
      </c>
    </row>
    <row r="186" spans="1:20" hidden="1" x14ac:dyDescent="0.35">
      <c r="A186" s="9" t="s">
        <v>42</v>
      </c>
      <c r="B186" t="s">
        <v>2</v>
      </c>
      <c r="C186" s="10">
        <v>1993</v>
      </c>
      <c r="D186" s="5" t="s">
        <v>27</v>
      </c>
      <c r="E186" s="10" t="s">
        <v>28</v>
      </c>
      <c r="F186" s="10" t="s">
        <v>28</v>
      </c>
      <c r="G186" s="11" t="s">
        <v>43</v>
      </c>
      <c r="H186" s="9" t="s">
        <v>44</v>
      </c>
      <c r="L186" t="s">
        <v>35</v>
      </c>
      <c r="M186" t="s">
        <v>36</v>
      </c>
      <c r="N186" s="10">
        <v>46.71</v>
      </c>
      <c r="R186" s="30"/>
      <c r="S186" s="30"/>
      <c r="T186" s="30" t="s">
        <v>181</v>
      </c>
    </row>
    <row r="187" spans="1:20" hidden="1" x14ac:dyDescent="0.35">
      <c r="A187" s="9" t="s">
        <v>42</v>
      </c>
      <c r="B187" t="s">
        <v>2</v>
      </c>
      <c r="C187" s="10">
        <v>1994</v>
      </c>
      <c r="D187" s="5" t="s">
        <v>27</v>
      </c>
      <c r="E187" s="8" t="s">
        <v>28</v>
      </c>
      <c r="F187" s="8" t="s">
        <v>28</v>
      </c>
      <c r="G187" s="11" t="s">
        <v>43</v>
      </c>
      <c r="H187" s="9" t="s">
        <v>44</v>
      </c>
      <c r="L187" t="s">
        <v>33</v>
      </c>
      <c r="M187" t="s">
        <v>34</v>
      </c>
      <c r="N187" s="10">
        <v>7.49</v>
      </c>
      <c r="P187" s="13">
        <f>SUM(N187:N188)</f>
        <v>55.71</v>
      </c>
      <c r="R187" s="30"/>
      <c r="S187" s="30"/>
      <c r="T187" s="30" t="s">
        <v>181</v>
      </c>
    </row>
    <row r="188" spans="1:20" hidden="1" x14ac:dyDescent="0.35">
      <c r="A188" s="9" t="s">
        <v>42</v>
      </c>
      <c r="B188" t="s">
        <v>2</v>
      </c>
      <c r="C188" s="10">
        <v>1994</v>
      </c>
      <c r="D188" s="5" t="s">
        <v>27</v>
      </c>
      <c r="E188" s="8" t="s">
        <v>28</v>
      </c>
      <c r="F188" s="8" t="s">
        <v>28</v>
      </c>
      <c r="G188" s="11" t="s">
        <v>43</v>
      </c>
      <c r="H188" s="9" t="s">
        <v>44</v>
      </c>
      <c r="L188" t="s">
        <v>35</v>
      </c>
      <c r="M188" t="s">
        <v>36</v>
      </c>
      <c r="N188" s="10">
        <v>48.22</v>
      </c>
      <c r="R188" s="30"/>
      <c r="S188" s="30"/>
      <c r="T188" s="30" t="s">
        <v>181</v>
      </c>
    </row>
    <row r="189" spans="1:20" hidden="1" x14ac:dyDescent="0.35">
      <c r="A189" s="9" t="s">
        <v>42</v>
      </c>
      <c r="B189" t="s">
        <v>2</v>
      </c>
      <c r="C189" s="10">
        <v>1993</v>
      </c>
      <c r="D189" s="5" t="s">
        <v>27</v>
      </c>
      <c r="E189" s="10" t="s">
        <v>28</v>
      </c>
      <c r="F189" s="10" t="s">
        <v>28</v>
      </c>
      <c r="G189" s="11" t="s">
        <v>43</v>
      </c>
      <c r="H189" s="9" t="s">
        <v>45</v>
      </c>
      <c r="L189" t="s">
        <v>33</v>
      </c>
      <c r="M189" t="s">
        <v>34</v>
      </c>
      <c r="N189" s="10">
        <v>1.3</v>
      </c>
      <c r="P189" s="13">
        <f>SUM(N189:N190)</f>
        <v>44.97</v>
      </c>
      <c r="R189" s="30"/>
      <c r="S189" s="30"/>
      <c r="T189" s="30" t="s">
        <v>181</v>
      </c>
    </row>
    <row r="190" spans="1:20" hidden="1" x14ac:dyDescent="0.35">
      <c r="A190" s="9" t="s">
        <v>42</v>
      </c>
      <c r="B190" t="s">
        <v>2</v>
      </c>
      <c r="C190" s="10">
        <v>1993</v>
      </c>
      <c r="D190" s="5" t="s">
        <v>27</v>
      </c>
      <c r="E190" s="10" t="s">
        <v>28</v>
      </c>
      <c r="F190" s="10" t="s">
        <v>28</v>
      </c>
      <c r="G190" s="11" t="s">
        <v>43</v>
      </c>
      <c r="H190" s="9" t="s">
        <v>45</v>
      </c>
      <c r="L190" t="s">
        <v>35</v>
      </c>
      <c r="M190" t="s">
        <v>36</v>
      </c>
      <c r="N190" s="10">
        <v>43.67</v>
      </c>
      <c r="R190" s="30"/>
      <c r="S190" s="30"/>
      <c r="T190" s="30" t="s">
        <v>181</v>
      </c>
    </row>
    <row r="191" spans="1:20" hidden="1" x14ac:dyDescent="0.35">
      <c r="A191" s="9" t="s">
        <v>42</v>
      </c>
      <c r="B191" t="s">
        <v>2</v>
      </c>
      <c r="C191" s="10">
        <v>1994</v>
      </c>
      <c r="D191" s="5" t="s">
        <v>27</v>
      </c>
      <c r="E191" s="8" t="s">
        <v>28</v>
      </c>
      <c r="F191" s="8" t="s">
        <v>28</v>
      </c>
      <c r="G191" s="11" t="s">
        <v>43</v>
      </c>
      <c r="H191" s="9" t="s">
        <v>45</v>
      </c>
      <c r="L191" t="s">
        <v>33</v>
      </c>
      <c r="M191" t="s">
        <v>34</v>
      </c>
      <c r="N191" s="10">
        <v>0.47</v>
      </c>
      <c r="P191" s="13">
        <f>SUM(N191:N192)</f>
        <v>44.81</v>
      </c>
      <c r="R191" s="30"/>
      <c r="S191" s="30"/>
      <c r="T191" s="30" t="s">
        <v>181</v>
      </c>
    </row>
    <row r="192" spans="1:20" hidden="1" x14ac:dyDescent="0.35">
      <c r="A192" s="9" t="s">
        <v>42</v>
      </c>
      <c r="B192" t="s">
        <v>2</v>
      </c>
      <c r="C192" s="10">
        <v>1994</v>
      </c>
      <c r="D192" s="5" t="s">
        <v>27</v>
      </c>
      <c r="E192" s="8" t="s">
        <v>28</v>
      </c>
      <c r="F192" s="8" t="s">
        <v>28</v>
      </c>
      <c r="G192" s="11" t="s">
        <v>43</v>
      </c>
      <c r="H192" s="9" t="s">
        <v>45</v>
      </c>
      <c r="L192" t="s">
        <v>35</v>
      </c>
      <c r="M192" t="s">
        <v>36</v>
      </c>
      <c r="N192" s="10">
        <v>44.34</v>
      </c>
      <c r="R192" s="30"/>
      <c r="S192" s="30"/>
      <c r="T192" s="30" t="s">
        <v>181</v>
      </c>
    </row>
    <row r="193" spans="1:20" hidden="1" x14ac:dyDescent="0.35">
      <c r="A193" s="9" t="s">
        <v>42</v>
      </c>
      <c r="B193" t="s">
        <v>2</v>
      </c>
      <c r="C193" s="9">
        <v>1993</v>
      </c>
      <c r="D193" s="5" t="s">
        <v>27</v>
      </c>
      <c r="E193" t="s">
        <v>28</v>
      </c>
      <c r="F193" t="s">
        <v>28</v>
      </c>
      <c r="G193" s="9" t="s">
        <v>43</v>
      </c>
      <c r="H193" s="9" t="s">
        <v>44</v>
      </c>
      <c r="L193" t="s">
        <v>31</v>
      </c>
      <c r="M193" t="s">
        <v>32</v>
      </c>
      <c r="N193" s="6">
        <v>22.85</v>
      </c>
      <c r="O193" s="13">
        <f>N193</f>
        <v>22.85</v>
      </c>
      <c r="R193" s="30"/>
      <c r="S193" s="30"/>
      <c r="T193" s="30" t="s">
        <v>181</v>
      </c>
    </row>
    <row r="194" spans="1:20" hidden="1" x14ac:dyDescent="0.35">
      <c r="A194" s="9" t="s">
        <v>42</v>
      </c>
      <c r="B194" t="s">
        <v>2</v>
      </c>
      <c r="C194" s="9">
        <v>1994</v>
      </c>
      <c r="D194" s="5" t="s">
        <v>27</v>
      </c>
      <c r="E194" t="s">
        <v>28</v>
      </c>
      <c r="F194" t="s">
        <v>28</v>
      </c>
      <c r="G194" s="9" t="s">
        <v>43</v>
      </c>
      <c r="H194" s="9" t="s">
        <v>44</v>
      </c>
      <c r="L194" t="s">
        <v>31</v>
      </c>
      <c r="M194" t="s">
        <v>32</v>
      </c>
      <c r="N194" s="6">
        <v>20.75</v>
      </c>
      <c r="O194" s="13">
        <f>N194</f>
        <v>20.75</v>
      </c>
      <c r="R194" s="30"/>
      <c r="S194" s="30"/>
      <c r="T194" s="30" t="s">
        <v>181</v>
      </c>
    </row>
    <row r="195" spans="1:20" hidden="1" x14ac:dyDescent="0.35">
      <c r="A195" s="9" t="s">
        <v>42</v>
      </c>
      <c r="B195" t="s">
        <v>2</v>
      </c>
      <c r="C195" s="9">
        <v>1993</v>
      </c>
      <c r="D195" s="5" t="s">
        <v>27</v>
      </c>
      <c r="E195" t="s">
        <v>28</v>
      </c>
      <c r="F195" t="s">
        <v>28</v>
      </c>
      <c r="G195" s="9" t="s">
        <v>43</v>
      </c>
      <c r="H195" s="9" t="s">
        <v>45</v>
      </c>
      <c r="L195" t="s">
        <v>31</v>
      </c>
      <c r="M195" t="s">
        <v>32</v>
      </c>
      <c r="N195" s="6">
        <v>25.33</v>
      </c>
      <c r="O195" s="13">
        <f>N195</f>
        <v>25.33</v>
      </c>
      <c r="R195" s="30"/>
      <c r="S195" s="30"/>
      <c r="T195" s="30" t="s">
        <v>181</v>
      </c>
    </row>
    <row r="196" spans="1:20" hidden="1" x14ac:dyDescent="0.35">
      <c r="A196" s="9" t="s">
        <v>42</v>
      </c>
      <c r="B196" t="s">
        <v>2</v>
      </c>
      <c r="C196">
        <v>1994</v>
      </c>
      <c r="D196" s="5" t="s">
        <v>27</v>
      </c>
      <c r="E196" t="s">
        <v>28</v>
      </c>
      <c r="F196" t="s">
        <v>28</v>
      </c>
      <c r="G196" s="9" t="s">
        <v>43</v>
      </c>
      <c r="H196" s="9" t="s">
        <v>45</v>
      </c>
      <c r="L196" t="s">
        <v>31</v>
      </c>
      <c r="M196" t="s">
        <v>32</v>
      </c>
      <c r="N196" s="6">
        <v>24.2</v>
      </c>
      <c r="O196" s="13">
        <f>N196</f>
        <v>24.2</v>
      </c>
      <c r="R196" s="30"/>
      <c r="S196" s="30"/>
      <c r="T196" s="30" t="s">
        <v>181</v>
      </c>
    </row>
    <row r="197" spans="1:20" hidden="1" x14ac:dyDescent="0.35">
      <c r="A197" t="s">
        <v>95</v>
      </c>
      <c r="C197">
        <v>1988</v>
      </c>
      <c r="D197" s="5"/>
      <c r="E197" s="5" t="s">
        <v>28</v>
      </c>
      <c r="F197" s="5" t="s">
        <v>28</v>
      </c>
      <c r="H197" t="s">
        <v>96</v>
      </c>
      <c r="M197" t="s">
        <v>34</v>
      </c>
      <c r="N197">
        <v>0</v>
      </c>
      <c r="P197" s="13">
        <f>SUM(N197:N198)</f>
        <v>7.8</v>
      </c>
      <c r="R197" s="30"/>
      <c r="S197" s="30"/>
      <c r="T197" s="30" t="s">
        <v>181</v>
      </c>
    </row>
    <row r="198" spans="1:20" hidden="1" x14ac:dyDescent="0.35">
      <c r="A198" t="s">
        <v>95</v>
      </c>
      <c r="C198">
        <v>1988</v>
      </c>
      <c r="D198" s="5"/>
      <c r="E198" s="5" t="s">
        <v>28</v>
      </c>
      <c r="F198" s="5" t="s">
        <v>28</v>
      </c>
      <c r="H198" t="s">
        <v>96</v>
      </c>
      <c r="M198" t="s">
        <v>36</v>
      </c>
      <c r="N198">
        <v>7.8</v>
      </c>
      <c r="R198" s="30"/>
      <c r="S198" s="30"/>
      <c r="T198" s="30" t="s">
        <v>181</v>
      </c>
    </row>
    <row r="199" spans="1:20" hidden="1" x14ac:dyDescent="0.35">
      <c r="A199" t="s">
        <v>95</v>
      </c>
      <c r="C199">
        <v>1988</v>
      </c>
      <c r="D199" s="5"/>
      <c r="E199" s="5" t="s">
        <v>28</v>
      </c>
      <c r="F199" s="5" t="s">
        <v>28</v>
      </c>
      <c r="H199" t="s">
        <v>107</v>
      </c>
      <c r="M199" t="s">
        <v>34</v>
      </c>
      <c r="N199">
        <v>4.0999999999999996</v>
      </c>
      <c r="P199" s="13">
        <f>SUM(N199:N200)</f>
        <v>32.9</v>
      </c>
      <c r="R199" s="30"/>
      <c r="S199" s="30"/>
      <c r="T199" s="30" t="s">
        <v>181</v>
      </c>
    </row>
    <row r="200" spans="1:20" hidden="1" x14ac:dyDescent="0.35">
      <c r="A200" t="s">
        <v>95</v>
      </c>
      <c r="C200">
        <v>1988</v>
      </c>
      <c r="D200" s="5"/>
      <c r="E200" s="5" t="s">
        <v>28</v>
      </c>
      <c r="F200" s="5" t="s">
        <v>28</v>
      </c>
      <c r="H200" t="s">
        <v>107</v>
      </c>
      <c r="M200" t="s">
        <v>36</v>
      </c>
      <c r="N200">
        <v>28.8</v>
      </c>
      <c r="R200" s="30"/>
      <c r="S200" s="30"/>
      <c r="T200" s="30" t="s">
        <v>181</v>
      </c>
    </row>
    <row r="201" spans="1:20" hidden="1" x14ac:dyDescent="0.35">
      <c r="A201" t="s">
        <v>95</v>
      </c>
      <c r="C201">
        <v>1988</v>
      </c>
      <c r="D201" s="5"/>
      <c r="E201" s="5" t="s">
        <v>28</v>
      </c>
      <c r="F201" s="5" t="s">
        <v>28</v>
      </c>
      <c r="H201" t="s">
        <v>96</v>
      </c>
      <c r="M201" t="s">
        <v>32</v>
      </c>
      <c r="N201" s="6">
        <v>41.7</v>
      </c>
      <c r="O201" s="13">
        <f>N201</f>
        <v>41.7</v>
      </c>
      <c r="R201" s="30"/>
      <c r="S201" s="30"/>
      <c r="T201" s="30" t="s">
        <v>181</v>
      </c>
    </row>
    <row r="202" spans="1:20" hidden="1" x14ac:dyDescent="0.35">
      <c r="A202" t="s">
        <v>95</v>
      </c>
      <c r="C202">
        <v>1988</v>
      </c>
      <c r="D202" s="5"/>
      <c r="E202" s="5" t="s">
        <v>28</v>
      </c>
      <c r="F202" s="5" t="s">
        <v>28</v>
      </c>
      <c r="H202" t="s">
        <v>107</v>
      </c>
      <c r="M202" t="s">
        <v>32</v>
      </c>
      <c r="N202" s="12">
        <v>31.1</v>
      </c>
      <c r="O202" s="9">
        <f>N202</f>
        <v>31.1</v>
      </c>
      <c r="R202" s="30"/>
      <c r="S202" s="30"/>
      <c r="T202" s="30" t="s">
        <v>181</v>
      </c>
    </row>
    <row r="203" spans="1:20" hidden="1" x14ac:dyDescent="0.35">
      <c r="A203" t="s">
        <v>97</v>
      </c>
      <c r="C203">
        <v>1993</v>
      </c>
      <c r="D203" s="5"/>
      <c r="E203" s="5" t="s">
        <v>28</v>
      </c>
      <c r="F203" s="5" t="s">
        <v>28</v>
      </c>
      <c r="H203" t="s">
        <v>98</v>
      </c>
      <c r="M203" t="s">
        <v>34</v>
      </c>
      <c r="N203">
        <v>0.1</v>
      </c>
      <c r="P203" s="13">
        <f>SUM(N203:N204)</f>
        <v>34.4</v>
      </c>
      <c r="R203" s="30"/>
      <c r="S203" s="30"/>
      <c r="T203" s="30" t="s">
        <v>181</v>
      </c>
    </row>
    <row r="204" spans="1:20" hidden="1" x14ac:dyDescent="0.35">
      <c r="A204" t="s">
        <v>97</v>
      </c>
      <c r="C204">
        <v>1993</v>
      </c>
      <c r="D204" s="5"/>
      <c r="E204" s="5" t="s">
        <v>28</v>
      </c>
      <c r="F204" s="5" t="s">
        <v>28</v>
      </c>
      <c r="H204" t="s">
        <v>98</v>
      </c>
      <c r="M204" t="s">
        <v>36</v>
      </c>
      <c r="N204">
        <v>34.299999999999997</v>
      </c>
      <c r="R204" s="30"/>
      <c r="S204" s="30"/>
      <c r="T204" s="30" t="s">
        <v>181</v>
      </c>
    </row>
    <row r="205" spans="1:20" hidden="1" x14ac:dyDescent="0.35">
      <c r="A205" t="s">
        <v>97</v>
      </c>
      <c r="C205">
        <v>1993</v>
      </c>
      <c r="D205" s="5"/>
      <c r="E205" s="5" t="s">
        <v>28</v>
      </c>
      <c r="F205" s="5" t="s">
        <v>28</v>
      </c>
      <c r="H205" t="s">
        <v>100</v>
      </c>
      <c r="M205" t="s">
        <v>34</v>
      </c>
      <c r="N205">
        <v>11.4</v>
      </c>
      <c r="P205" s="13">
        <f>SUM(N205:N206)</f>
        <v>25.8</v>
      </c>
      <c r="R205" s="30"/>
      <c r="S205" s="30"/>
      <c r="T205" s="30" t="s">
        <v>181</v>
      </c>
    </row>
    <row r="206" spans="1:20" hidden="1" x14ac:dyDescent="0.35">
      <c r="A206" t="s">
        <v>97</v>
      </c>
      <c r="C206">
        <v>1993</v>
      </c>
      <c r="D206" s="5"/>
      <c r="E206" s="5" t="s">
        <v>28</v>
      </c>
      <c r="F206" s="5" t="s">
        <v>28</v>
      </c>
      <c r="H206" t="s">
        <v>100</v>
      </c>
      <c r="M206" t="s">
        <v>36</v>
      </c>
      <c r="N206">
        <v>14.4</v>
      </c>
      <c r="R206" s="30"/>
      <c r="S206" s="30"/>
      <c r="T206" s="30" t="s">
        <v>181</v>
      </c>
    </row>
    <row r="207" spans="1:20" hidden="1" x14ac:dyDescent="0.35">
      <c r="A207" t="s">
        <v>97</v>
      </c>
      <c r="C207">
        <v>1993</v>
      </c>
      <c r="D207" s="5"/>
      <c r="E207" s="5" t="s">
        <v>28</v>
      </c>
      <c r="F207" s="5" t="s">
        <v>28</v>
      </c>
      <c r="H207" t="s">
        <v>99</v>
      </c>
      <c r="M207" t="s">
        <v>34</v>
      </c>
      <c r="N207">
        <v>7.5</v>
      </c>
      <c r="P207" s="13">
        <f>SUM(N207:N208)</f>
        <v>40.9</v>
      </c>
      <c r="R207" s="30"/>
      <c r="S207" s="30"/>
      <c r="T207" s="30" t="s">
        <v>181</v>
      </c>
    </row>
    <row r="208" spans="1:20" hidden="1" x14ac:dyDescent="0.35">
      <c r="A208" t="s">
        <v>97</v>
      </c>
      <c r="C208">
        <v>1993</v>
      </c>
      <c r="D208" s="5"/>
      <c r="E208" s="5" t="s">
        <v>28</v>
      </c>
      <c r="F208" s="5" t="s">
        <v>28</v>
      </c>
      <c r="H208" t="s">
        <v>99</v>
      </c>
      <c r="M208" t="s">
        <v>36</v>
      </c>
      <c r="N208">
        <v>33.4</v>
      </c>
      <c r="R208" s="30"/>
      <c r="S208" s="30"/>
      <c r="T208" s="30" t="s">
        <v>181</v>
      </c>
    </row>
    <row r="209" spans="1:20" hidden="1" x14ac:dyDescent="0.35">
      <c r="A209" t="s">
        <v>97</v>
      </c>
      <c r="C209">
        <v>1993</v>
      </c>
      <c r="D209" s="5"/>
      <c r="E209" s="5" t="s">
        <v>28</v>
      </c>
      <c r="F209" s="5" t="s">
        <v>28</v>
      </c>
      <c r="H209" t="s">
        <v>101</v>
      </c>
      <c r="M209" t="s">
        <v>34</v>
      </c>
      <c r="N209">
        <v>0.1</v>
      </c>
      <c r="P209" s="13">
        <f>SUM(N209:N210)</f>
        <v>24.1</v>
      </c>
      <c r="R209" s="30"/>
      <c r="S209" s="30"/>
      <c r="T209" s="30" t="s">
        <v>181</v>
      </c>
    </row>
    <row r="210" spans="1:20" hidden="1" x14ac:dyDescent="0.35">
      <c r="A210" t="s">
        <v>97</v>
      </c>
      <c r="C210">
        <v>1993</v>
      </c>
      <c r="D210" s="5"/>
      <c r="E210" s="5" t="s">
        <v>28</v>
      </c>
      <c r="F210" s="5" t="s">
        <v>28</v>
      </c>
      <c r="H210" t="s">
        <v>101</v>
      </c>
      <c r="M210" t="s">
        <v>36</v>
      </c>
      <c r="N210">
        <v>24</v>
      </c>
      <c r="R210" s="30"/>
      <c r="S210" s="30"/>
      <c r="T210" s="30" t="s">
        <v>181</v>
      </c>
    </row>
    <row r="211" spans="1:20" hidden="1" x14ac:dyDescent="0.35">
      <c r="A211" t="s">
        <v>97</v>
      </c>
      <c r="C211">
        <v>1993</v>
      </c>
      <c r="D211" s="5"/>
      <c r="E211" s="5" t="s">
        <v>28</v>
      </c>
      <c r="F211" s="5" t="s">
        <v>28</v>
      </c>
      <c r="H211" t="s">
        <v>102</v>
      </c>
      <c r="M211" t="s">
        <v>34</v>
      </c>
      <c r="N211">
        <v>6.6</v>
      </c>
      <c r="P211" s="13">
        <f>SUM(N211:N212)</f>
        <v>48.800000000000004</v>
      </c>
      <c r="R211" s="30"/>
      <c r="S211" s="30"/>
      <c r="T211" s="30" t="s">
        <v>181</v>
      </c>
    </row>
    <row r="212" spans="1:20" hidden="1" x14ac:dyDescent="0.35">
      <c r="A212" t="s">
        <v>97</v>
      </c>
      <c r="C212">
        <v>1993</v>
      </c>
      <c r="D212" s="5"/>
      <c r="E212" s="5" t="s">
        <v>28</v>
      </c>
      <c r="F212" s="5" t="s">
        <v>28</v>
      </c>
      <c r="H212" t="s">
        <v>102</v>
      </c>
      <c r="M212" t="s">
        <v>36</v>
      </c>
      <c r="N212">
        <v>42.2</v>
      </c>
      <c r="R212" s="30"/>
      <c r="S212" s="30"/>
      <c r="T212" s="30" t="s">
        <v>181</v>
      </c>
    </row>
    <row r="213" spans="1:20" hidden="1" x14ac:dyDescent="0.35">
      <c r="A213" t="s">
        <v>97</v>
      </c>
      <c r="C213">
        <v>1993</v>
      </c>
      <c r="D213" s="5"/>
      <c r="E213" s="5" t="s">
        <v>28</v>
      </c>
      <c r="F213" s="5" t="s">
        <v>28</v>
      </c>
      <c r="H213" t="s">
        <v>103</v>
      </c>
      <c r="M213" t="s">
        <v>34</v>
      </c>
      <c r="N213">
        <v>1.1000000000000001</v>
      </c>
      <c r="P213" s="13">
        <f>SUM(N213:N214)</f>
        <v>39.1</v>
      </c>
      <c r="R213" s="30"/>
      <c r="S213" s="30"/>
      <c r="T213" s="30" t="s">
        <v>181</v>
      </c>
    </row>
    <row r="214" spans="1:20" hidden="1" x14ac:dyDescent="0.35">
      <c r="A214" t="s">
        <v>97</v>
      </c>
      <c r="C214">
        <v>1993</v>
      </c>
      <c r="D214" s="5"/>
      <c r="E214" s="5" t="s">
        <v>28</v>
      </c>
      <c r="F214" s="5" t="s">
        <v>28</v>
      </c>
      <c r="H214" t="s">
        <v>103</v>
      </c>
      <c r="M214" t="s">
        <v>36</v>
      </c>
      <c r="N214">
        <v>38</v>
      </c>
      <c r="R214" s="30"/>
      <c r="S214" s="30"/>
      <c r="T214" s="30" t="s">
        <v>181</v>
      </c>
    </row>
    <row r="215" spans="1:20" hidden="1" x14ac:dyDescent="0.35">
      <c r="A215" t="s">
        <v>97</v>
      </c>
      <c r="C215">
        <v>1993</v>
      </c>
      <c r="D215" s="5"/>
      <c r="E215" s="5" t="s">
        <v>28</v>
      </c>
      <c r="F215" s="5" t="s">
        <v>28</v>
      </c>
      <c r="H215" t="s">
        <v>104</v>
      </c>
      <c r="M215" t="s">
        <v>34</v>
      </c>
      <c r="N215">
        <v>7.1</v>
      </c>
      <c r="P215" s="13">
        <f>SUM(N215:N216)</f>
        <v>33.299999999999997</v>
      </c>
      <c r="R215" s="30"/>
      <c r="S215" s="30"/>
      <c r="T215" s="30" t="s">
        <v>181</v>
      </c>
    </row>
    <row r="216" spans="1:20" hidden="1" x14ac:dyDescent="0.35">
      <c r="A216" t="s">
        <v>97</v>
      </c>
      <c r="C216">
        <v>1993</v>
      </c>
      <c r="D216" s="5"/>
      <c r="E216" s="5" t="s">
        <v>28</v>
      </c>
      <c r="F216" s="5" t="s">
        <v>28</v>
      </c>
      <c r="H216" t="s">
        <v>104</v>
      </c>
      <c r="M216" t="s">
        <v>36</v>
      </c>
      <c r="N216">
        <v>26.2</v>
      </c>
      <c r="R216" s="30"/>
      <c r="S216" s="30"/>
      <c r="T216" s="30" t="s">
        <v>181</v>
      </c>
    </row>
    <row r="217" spans="1:20" hidden="1" x14ac:dyDescent="0.35">
      <c r="A217" t="s">
        <v>97</v>
      </c>
      <c r="C217">
        <v>1993</v>
      </c>
      <c r="D217" s="5"/>
      <c r="E217" s="5" t="s">
        <v>28</v>
      </c>
      <c r="F217" s="5" t="s">
        <v>28</v>
      </c>
      <c r="H217" t="s">
        <v>105</v>
      </c>
      <c r="M217" t="s">
        <v>34</v>
      </c>
      <c r="N217">
        <v>1.7</v>
      </c>
      <c r="P217" s="13">
        <f>SUM(N217:N218)</f>
        <v>26</v>
      </c>
      <c r="R217" s="30"/>
      <c r="S217" s="30"/>
      <c r="T217" s="30" t="s">
        <v>181</v>
      </c>
    </row>
    <row r="218" spans="1:20" hidden="1" x14ac:dyDescent="0.35">
      <c r="A218" t="s">
        <v>97</v>
      </c>
      <c r="C218">
        <v>1993</v>
      </c>
      <c r="D218" s="5"/>
      <c r="E218" s="5" t="s">
        <v>28</v>
      </c>
      <c r="F218" s="5" t="s">
        <v>28</v>
      </c>
      <c r="H218" t="s">
        <v>105</v>
      </c>
      <c r="M218" t="s">
        <v>36</v>
      </c>
      <c r="N218">
        <v>24.3</v>
      </c>
      <c r="R218" s="30"/>
      <c r="S218" s="30"/>
      <c r="T218" s="30" t="s">
        <v>181</v>
      </c>
    </row>
    <row r="219" spans="1:20" hidden="1" x14ac:dyDescent="0.35">
      <c r="A219" t="s">
        <v>97</v>
      </c>
      <c r="C219">
        <v>1993</v>
      </c>
      <c r="D219" s="5"/>
      <c r="E219" s="5" t="s">
        <v>28</v>
      </c>
      <c r="F219" s="5" t="s">
        <v>28</v>
      </c>
      <c r="H219" t="s">
        <v>106</v>
      </c>
      <c r="M219" t="s">
        <v>34</v>
      </c>
      <c r="N219">
        <v>9.4</v>
      </c>
      <c r="P219" s="13">
        <f>SUM(N219:N220)</f>
        <v>14.3</v>
      </c>
      <c r="R219" s="30"/>
      <c r="S219" s="30"/>
      <c r="T219" s="30" t="s">
        <v>181</v>
      </c>
    </row>
    <row r="220" spans="1:20" hidden="1" x14ac:dyDescent="0.35">
      <c r="A220" t="s">
        <v>97</v>
      </c>
      <c r="C220">
        <v>1993</v>
      </c>
      <c r="D220" s="5"/>
      <c r="E220" s="5" t="s">
        <v>28</v>
      </c>
      <c r="F220" s="5" t="s">
        <v>28</v>
      </c>
      <c r="H220" t="s">
        <v>106</v>
      </c>
      <c r="M220" t="s">
        <v>36</v>
      </c>
      <c r="N220">
        <v>4.9000000000000004</v>
      </c>
      <c r="R220" s="30"/>
      <c r="S220" s="30"/>
      <c r="T220" s="30" t="s">
        <v>181</v>
      </c>
    </row>
    <row r="221" spans="1:20" hidden="1" x14ac:dyDescent="0.35">
      <c r="A221" t="s">
        <v>97</v>
      </c>
      <c r="C221">
        <v>1994</v>
      </c>
      <c r="D221" s="5"/>
      <c r="E221" s="5" t="s">
        <v>28</v>
      </c>
      <c r="F221" s="5" t="s">
        <v>28</v>
      </c>
      <c r="H221" t="s">
        <v>108</v>
      </c>
      <c r="M221" t="s">
        <v>34</v>
      </c>
      <c r="N221">
        <v>3.5</v>
      </c>
      <c r="P221" s="13">
        <f>SUM(N221:N222)</f>
        <v>13.5</v>
      </c>
      <c r="R221" s="30"/>
      <c r="S221" s="30"/>
      <c r="T221" s="30" t="s">
        <v>181</v>
      </c>
    </row>
    <row r="222" spans="1:20" hidden="1" x14ac:dyDescent="0.35">
      <c r="A222" t="s">
        <v>97</v>
      </c>
      <c r="C222">
        <v>1994</v>
      </c>
      <c r="D222" s="5"/>
      <c r="E222" s="5" t="s">
        <v>28</v>
      </c>
      <c r="F222" s="5" t="s">
        <v>28</v>
      </c>
      <c r="H222" t="s">
        <v>108</v>
      </c>
      <c r="M222" t="s">
        <v>36</v>
      </c>
      <c r="N222">
        <v>10</v>
      </c>
      <c r="R222" s="30"/>
      <c r="S222" s="30"/>
      <c r="T222" s="30" t="s">
        <v>181</v>
      </c>
    </row>
    <row r="223" spans="1:20" hidden="1" x14ac:dyDescent="0.35">
      <c r="A223" t="s">
        <v>97</v>
      </c>
      <c r="C223">
        <v>1994</v>
      </c>
      <c r="D223" s="5"/>
      <c r="E223" s="5" t="s">
        <v>28</v>
      </c>
      <c r="F223" s="5" t="s">
        <v>28</v>
      </c>
      <c r="H223" t="s">
        <v>109</v>
      </c>
      <c r="M223" t="s">
        <v>34</v>
      </c>
      <c r="N223">
        <v>2.8</v>
      </c>
      <c r="P223" s="13">
        <f>SUM(N223:N224)</f>
        <v>32.4</v>
      </c>
      <c r="R223" s="30"/>
      <c r="S223" s="30"/>
      <c r="T223" s="30" t="s">
        <v>181</v>
      </c>
    </row>
    <row r="224" spans="1:20" hidden="1" x14ac:dyDescent="0.35">
      <c r="A224" t="s">
        <v>97</v>
      </c>
      <c r="C224">
        <v>1994</v>
      </c>
      <c r="D224" s="5"/>
      <c r="E224" s="5" t="s">
        <v>28</v>
      </c>
      <c r="F224" s="5" t="s">
        <v>28</v>
      </c>
      <c r="H224" t="s">
        <v>109</v>
      </c>
      <c r="M224" t="s">
        <v>36</v>
      </c>
      <c r="N224">
        <v>29.6</v>
      </c>
      <c r="R224" s="30"/>
      <c r="S224" s="30"/>
      <c r="T224" s="30" t="s">
        <v>181</v>
      </c>
    </row>
    <row r="225" spans="1:20" hidden="1" x14ac:dyDescent="0.35">
      <c r="A225" t="s">
        <v>97</v>
      </c>
      <c r="C225">
        <v>1994</v>
      </c>
      <c r="D225" s="5"/>
      <c r="E225" s="5" t="s">
        <v>28</v>
      </c>
      <c r="F225" s="5" t="s">
        <v>28</v>
      </c>
      <c r="H225" t="s">
        <v>110</v>
      </c>
      <c r="M225" t="s">
        <v>34</v>
      </c>
      <c r="N225">
        <v>2.8</v>
      </c>
      <c r="P225" s="13">
        <f>SUM(N225:N226)</f>
        <v>28.8</v>
      </c>
      <c r="R225" s="30"/>
      <c r="S225" s="30"/>
      <c r="T225" s="30" t="s">
        <v>181</v>
      </c>
    </row>
    <row r="226" spans="1:20" hidden="1" x14ac:dyDescent="0.35">
      <c r="A226" t="s">
        <v>97</v>
      </c>
      <c r="C226">
        <v>1994</v>
      </c>
      <c r="D226" s="5"/>
      <c r="E226" s="5" t="s">
        <v>28</v>
      </c>
      <c r="F226" s="5" t="s">
        <v>28</v>
      </c>
      <c r="H226" t="s">
        <v>110</v>
      </c>
      <c r="M226" t="s">
        <v>36</v>
      </c>
      <c r="N226">
        <v>26</v>
      </c>
      <c r="R226" s="30"/>
      <c r="S226" s="30"/>
      <c r="T226" s="30" t="s">
        <v>181</v>
      </c>
    </row>
    <row r="227" spans="1:20" hidden="1" x14ac:dyDescent="0.35">
      <c r="A227" t="s">
        <v>97</v>
      </c>
      <c r="C227">
        <v>1993</v>
      </c>
      <c r="D227" s="5"/>
      <c r="E227" s="5" t="s">
        <v>28</v>
      </c>
      <c r="F227" s="5" t="s">
        <v>28</v>
      </c>
      <c r="H227" t="s">
        <v>98</v>
      </c>
      <c r="M227" t="s">
        <v>32</v>
      </c>
      <c r="N227" s="6">
        <v>40.6</v>
      </c>
      <c r="O227" s="13">
        <f t="shared" ref="O227:O238" si="4">N227</f>
        <v>40.6</v>
      </c>
      <c r="R227" s="30"/>
      <c r="S227" s="30"/>
      <c r="T227" s="30" t="s">
        <v>181</v>
      </c>
    </row>
    <row r="228" spans="1:20" hidden="1" x14ac:dyDescent="0.35">
      <c r="A228" t="s">
        <v>97</v>
      </c>
      <c r="C228">
        <v>1993</v>
      </c>
      <c r="D228" s="5"/>
      <c r="E228" s="5" t="s">
        <v>28</v>
      </c>
      <c r="F228" s="5" t="s">
        <v>28</v>
      </c>
      <c r="H228" t="s">
        <v>100</v>
      </c>
      <c r="M228" t="s">
        <v>32</v>
      </c>
      <c r="N228" s="6">
        <v>28.7</v>
      </c>
      <c r="O228" s="13">
        <f t="shared" si="4"/>
        <v>28.7</v>
      </c>
      <c r="R228" s="30"/>
      <c r="S228" s="30"/>
      <c r="T228" s="30" t="s">
        <v>181</v>
      </c>
    </row>
    <row r="229" spans="1:20" hidden="1" x14ac:dyDescent="0.35">
      <c r="A229" t="s">
        <v>97</v>
      </c>
      <c r="C229">
        <v>1993</v>
      </c>
      <c r="D229" s="5"/>
      <c r="E229" s="5" t="s">
        <v>28</v>
      </c>
      <c r="F229" s="5" t="s">
        <v>28</v>
      </c>
      <c r="H229" t="s">
        <v>99</v>
      </c>
      <c r="M229" t="s">
        <v>32</v>
      </c>
      <c r="N229">
        <v>40</v>
      </c>
      <c r="O229" s="13">
        <f t="shared" si="4"/>
        <v>40</v>
      </c>
      <c r="R229" s="30"/>
      <c r="S229" s="30"/>
      <c r="T229" s="30" t="s">
        <v>181</v>
      </c>
    </row>
    <row r="230" spans="1:20" hidden="1" x14ac:dyDescent="0.35">
      <c r="A230" t="s">
        <v>97</v>
      </c>
      <c r="C230">
        <v>1993</v>
      </c>
      <c r="D230" s="5"/>
      <c r="E230" s="5" t="s">
        <v>28</v>
      </c>
      <c r="F230" s="5" t="s">
        <v>28</v>
      </c>
      <c r="H230" t="s">
        <v>101</v>
      </c>
      <c r="M230" t="s">
        <v>32</v>
      </c>
      <c r="N230">
        <v>37.5</v>
      </c>
      <c r="O230" s="13">
        <f t="shared" si="4"/>
        <v>37.5</v>
      </c>
      <c r="R230" s="30"/>
      <c r="S230" s="30"/>
      <c r="T230" s="30" t="s">
        <v>181</v>
      </c>
    </row>
    <row r="231" spans="1:20" hidden="1" x14ac:dyDescent="0.35">
      <c r="A231" t="s">
        <v>97</v>
      </c>
      <c r="C231">
        <v>1993</v>
      </c>
      <c r="D231" s="5"/>
      <c r="E231" s="5" t="s">
        <v>28</v>
      </c>
      <c r="F231" s="5" t="s">
        <v>28</v>
      </c>
      <c r="H231" t="s">
        <v>102</v>
      </c>
      <c r="M231" t="s">
        <v>32</v>
      </c>
      <c r="N231">
        <v>32</v>
      </c>
      <c r="O231" s="13">
        <f t="shared" si="4"/>
        <v>32</v>
      </c>
      <c r="R231" s="30"/>
      <c r="S231" s="30"/>
      <c r="T231" s="30" t="s">
        <v>181</v>
      </c>
    </row>
    <row r="232" spans="1:20" hidden="1" x14ac:dyDescent="0.35">
      <c r="A232" t="s">
        <v>97</v>
      </c>
      <c r="C232">
        <v>1993</v>
      </c>
      <c r="D232" s="5"/>
      <c r="E232" s="5" t="s">
        <v>28</v>
      </c>
      <c r="F232" s="5" t="s">
        <v>28</v>
      </c>
      <c r="H232" t="s">
        <v>103</v>
      </c>
      <c r="M232" t="s">
        <v>32</v>
      </c>
      <c r="N232">
        <v>29.1</v>
      </c>
      <c r="O232" s="13">
        <f t="shared" si="4"/>
        <v>29.1</v>
      </c>
      <c r="R232" s="30"/>
      <c r="S232" s="30"/>
      <c r="T232" s="30" t="s">
        <v>181</v>
      </c>
    </row>
    <row r="233" spans="1:20" hidden="1" x14ac:dyDescent="0.35">
      <c r="A233" t="s">
        <v>97</v>
      </c>
      <c r="C233">
        <v>1993</v>
      </c>
      <c r="D233" s="5"/>
      <c r="E233" s="5" t="s">
        <v>28</v>
      </c>
      <c r="F233" s="5" t="s">
        <v>28</v>
      </c>
      <c r="H233" t="s">
        <v>104</v>
      </c>
      <c r="M233" t="s">
        <v>32</v>
      </c>
      <c r="N233">
        <v>32.1</v>
      </c>
      <c r="O233" s="13">
        <f t="shared" si="4"/>
        <v>32.1</v>
      </c>
      <c r="R233" s="30"/>
      <c r="S233" s="30"/>
      <c r="T233" s="30" t="s">
        <v>181</v>
      </c>
    </row>
    <row r="234" spans="1:20" hidden="1" x14ac:dyDescent="0.35">
      <c r="A234" t="s">
        <v>97</v>
      </c>
      <c r="C234">
        <v>1993</v>
      </c>
      <c r="D234" s="5"/>
      <c r="E234" s="5" t="s">
        <v>28</v>
      </c>
      <c r="F234" s="5" t="s">
        <v>28</v>
      </c>
      <c r="H234" t="s">
        <v>105</v>
      </c>
      <c r="M234" t="s">
        <v>32</v>
      </c>
      <c r="N234">
        <v>49.5</v>
      </c>
      <c r="O234" s="13">
        <f t="shared" si="4"/>
        <v>49.5</v>
      </c>
      <c r="R234" s="30"/>
      <c r="S234" s="30"/>
      <c r="T234" s="30" t="s">
        <v>181</v>
      </c>
    </row>
    <row r="235" spans="1:20" hidden="1" x14ac:dyDescent="0.35">
      <c r="A235" t="s">
        <v>97</v>
      </c>
      <c r="C235">
        <v>1993</v>
      </c>
      <c r="D235" s="5"/>
      <c r="E235" s="5" t="s">
        <v>28</v>
      </c>
      <c r="F235" s="5" t="s">
        <v>28</v>
      </c>
      <c r="H235" t="s">
        <v>106</v>
      </c>
      <c r="M235" t="s">
        <v>32</v>
      </c>
      <c r="N235">
        <v>27.3</v>
      </c>
      <c r="O235" s="13">
        <f t="shared" si="4"/>
        <v>27.3</v>
      </c>
      <c r="R235" s="30"/>
      <c r="S235" s="30"/>
      <c r="T235" s="30" t="s">
        <v>181</v>
      </c>
    </row>
    <row r="236" spans="1:20" hidden="1" x14ac:dyDescent="0.35">
      <c r="A236" t="s">
        <v>97</v>
      </c>
      <c r="C236">
        <v>1994</v>
      </c>
      <c r="D236" s="5"/>
      <c r="E236" s="5" t="s">
        <v>28</v>
      </c>
      <c r="F236" s="5" t="s">
        <v>28</v>
      </c>
      <c r="H236" t="s">
        <v>108</v>
      </c>
      <c r="M236" t="s">
        <v>32</v>
      </c>
      <c r="N236" s="12">
        <v>32</v>
      </c>
      <c r="O236" s="9">
        <f t="shared" si="4"/>
        <v>32</v>
      </c>
      <c r="R236" s="30"/>
      <c r="S236" s="30"/>
      <c r="T236" s="30" t="s">
        <v>181</v>
      </c>
    </row>
    <row r="237" spans="1:20" hidden="1" x14ac:dyDescent="0.35">
      <c r="A237" t="s">
        <v>97</v>
      </c>
      <c r="C237">
        <v>1994</v>
      </c>
      <c r="D237" s="5"/>
      <c r="E237" s="5" t="s">
        <v>28</v>
      </c>
      <c r="F237" s="5" t="s">
        <v>28</v>
      </c>
      <c r="H237" t="s">
        <v>109</v>
      </c>
      <c r="M237" t="s">
        <v>32</v>
      </c>
      <c r="N237" s="12">
        <v>50</v>
      </c>
      <c r="O237" s="9">
        <f t="shared" si="4"/>
        <v>50</v>
      </c>
      <c r="R237" s="30"/>
      <c r="S237" s="30"/>
      <c r="T237" s="30" t="s">
        <v>181</v>
      </c>
    </row>
    <row r="238" spans="1:20" hidden="1" x14ac:dyDescent="0.35">
      <c r="A238" t="s">
        <v>97</v>
      </c>
      <c r="C238">
        <v>1994</v>
      </c>
      <c r="D238" s="5"/>
      <c r="E238" s="5" t="s">
        <v>28</v>
      </c>
      <c r="F238" s="5" t="s">
        <v>28</v>
      </c>
      <c r="H238" t="s">
        <v>110</v>
      </c>
      <c r="M238" t="s">
        <v>32</v>
      </c>
      <c r="N238" s="12">
        <v>19.2</v>
      </c>
      <c r="O238" s="9">
        <f t="shared" si="4"/>
        <v>19.2</v>
      </c>
      <c r="R238" s="30"/>
      <c r="S238" s="30"/>
      <c r="T238" s="30" t="s">
        <v>181</v>
      </c>
    </row>
    <row r="239" spans="1:20" hidden="1" x14ac:dyDescent="0.35">
      <c r="A239" t="s">
        <v>55</v>
      </c>
      <c r="B239" t="s">
        <v>11</v>
      </c>
      <c r="C239">
        <v>1998</v>
      </c>
      <c r="D239" s="5" t="s">
        <v>58</v>
      </c>
      <c r="E239" s="5" t="s">
        <v>28</v>
      </c>
      <c r="F239" s="5" t="s">
        <v>28</v>
      </c>
      <c r="G239" t="s">
        <v>59</v>
      </c>
      <c r="H239" t="s">
        <v>63</v>
      </c>
      <c r="L239" t="s">
        <v>62</v>
      </c>
      <c r="M239" t="s">
        <v>52</v>
      </c>
      <c r="N239" s="12">
        <v>8</v>
      </c>
      <c r="P239" s="13">
        <f>SUM(N239:N240)</f>
        <v>9</v>
      </c>
      <c r="R239" s="30"/>
      <c r="S239" s="30"/>
      <c r="T239" s="30" t="s">
        <v>181</v>
      </c>
    </row>
    <row r="240" spans="1:20" hidden="1" x14ac:dyDescent="0.35">
      <c r="A240" t="s">
        <v>55</v>
      </c>
      <c r="B240" t="s">
        <v>11</v>
      </c>
      <c r="C240">
        <v>1998</v>
      </c>
      <c r="D240" s="5" t="s">
        <v>58</v>
      </c>
      <c r="E240" s="5" t="s">
        <v>28</v>
      </c>
      <c r="F240" s="5" t="s">
        <v>28</v>
      </c>
      <c r="G240" t="s">
        <v>59</v>
      </c>
      <c r="H240" t="s">
        <v>63</v>
      </c>
      <c r="L240" t="s">
        <v>61</v>
      </c>
      <c r="M240" t="s">
        <v>34</v>
      </c>
      <c r="N240" s="12">
        <v>1</v>
      </c>
      <c r="R240" s="30"/>
      <c r="S240" s="30"/>
      <c r="T240" s="30" t="s">
        <v>181</v>
      </c>
    </row>
    <row r="241" spans="1:21" hidden="1" x14ac:dyDescent="0.35">
      <c r="A241" t="s">
        <v>55</v>
      </c>
      <c r="B241" t="s">
        <v>11</v>
      </c>
      <c r="C241">
        <v>1998</v>
      </c>
      <c r="D241" s="5" t="s">
        <v>58</v>
      </c>
      <c r="E241" s="5" t="s">
        <v>28</v>
      </c>
      <c r="F241" s="5" t="s">
        <v>28</v>
      </c>
      <c r="G241" t="s">
        <v>59</v>
      </c>
      <c r="H241" t="s">
        <v>64</v>
      </c>
      <c r="L241" t="s">
        <v>62</v>
      </c>
      <c r="M241" t="s">
        <v>52</v>
      </c>
      <c r="N241" s="12">
        <v>11</v>
      </c>
      <c r="R241" s="30"/>
      <c r="S241" s="30"/>
      <c r="T241" s="30" t="s">
        <v>181</v>
      </c>
    </row>
    <row r="242" spans="1:21" hidden="1" x14ac:dyDescent="0.35">
      <c r="A242" t="s">
        <v>55</v>
      </c>
      <c r="B242" t="s">
        <v>11</v>
      </c>
      <c r="C242">
        <v>1998</v>
      </c>
      <c r="D242" s="5" t="s">
        <v>58</v>
      </c>
      <c r="E242" s="5" t="s">
        <v>28</v>
      </c>
      <c r="F242" s="5" t="s">
        <v>28</v>
      </c>
      <c r="G242" t="s">
        <v>59</v>
      </c>
      <c r="H242" t="s">
        <v>60</v>
      </c>
      <c r="L242" t="s">
        <v>62</v>
      </c>
      <c r="M242" t="s">
        <v>52</v>
      </c>
      <c r="N242" s="12">
        <v>20</v>
      </c>
      <c r="P242" s="13">
        <f>N242</f>
        <v>20</v>
      </c>
      <c r="R242" s="30"/>
      <c r="S242" s="30"/>
      <c r="T242" s="30" t="s">
        <v>181</v>
      </c>
    </row>
    <row r="243" spans="1:21" hidden="1" x14ac:dyDescent="0.35">
      <c r="A243" t="s">
        <v>55</v>
      </c>
      <c r="B243" t="s">
        <v>11</v>
      </c>
      <c r="C243">
        <v>1997</v>
      </c>
      <c r="D243" s="5" t="s">
        <v>27</v>
      </c>
      <c r="E243" s="5" t="s">
        <v>28</v>
      </c>
      <c r="F243" s="5" t="s">
        <v>28</v>
      </c>
      <c r="G243" t="s">
        <v>56</v>
      </c>
      <c r="H243" t="s">
        <v>57</v>
      </c>
      <c r="J243" t="s">
        <v>12</v>
      </c>
      <c r="L243" t="s">
        <v>62</v>
      </c>
      <c r="M243" t="s">
        <v>52</v>
      </c>
      <c r="N243" s="12">
        <v>11</v>
      </c>
      <c r="P243" s="13">
        <f>SUM(N243:N244)</f>
        <v>15</v>
      </c>
      <c r="R243" s="30"/>
      <c r="S243" s="30"/>
      <c r="T243" s="30" t="s">
        <v>181</v>
      </c>
    </row>
    <row r="244" spans="1:21" hidden="1" x14ac:dyDescent="0.35">
      <c r="A244" t="s">
        <v>55</v>
      </c>
      <c r="B244" t="s">
        <v>11</v>
      </c>
      <c r="C244">
        <v>1997</v>
      </c>
      <c r="D244" s="5" t="s">
        <v>27</v>
      </c>
      <c r="E244" s="5" t="s">
        <v>28</v>
      </c>
      <c r="F244" s="5" t="s">
        <v>28</v>
      </c>
      <c r="G244" t="s">
        <v>56</v>
      </c>
      <c r="H244" t="s">
        <v>57</v>
      </c>
      <c r="J244" t="s">
        <v>12</v>
      </c>
      <c r="L244" t="s">
        <v>61</v>
      </c>
      <c r="M244" t="s">
        <v>34</v>
      </c>
      <c r="N244" s="12">
        <v>4</v>
      </c>
      <c r="R244" s="30"/>
      <c r="S244" s="30"/>
      <c r="T244" s="30" t="s">
        <v>181</v>
      </c>
    </row>
    <row r="245" spans="1:21" hidden="1" x14ac:dyDescent="0.35">
      <c r="A245" t="s">
        <v>55</v>
      </c>
      <c r="B245" t="s">
        <v>11</v>
      </c>
      <c r="C245">
        <v>1998</v>
      </c>
      <c r="D245" s="5" t="s">
        <v>58</v>
      </c>
      <c r="E245" s="5" t="s">
        <v>28</v>
      </c>
      <c r="F245" s="5" t="s">
        <v>28</v>
      </c>
      <c r="G245" t="s">
        <v>59</v>
      </c>
      <c r="H245" t="s">
        <v>63</v>
      </c>
      <c r="L245" t="s">
        <v>31</v>
      </c>
      <c r="M245" t="s">
        <v>32</v>
      </c>
      <c r="N245" s="9">
        <v>64</v>
      </c>
      <c r="O245" s="13">
        <f>N245</f>
        <v>64</v>
      </c>
      <c r="R245" s="30"/>
      <c r="S245" s="30"/>
      <c r="T245" s="30" t="s">
        <v>181</v>
      </c>
    </row>
    <row r="246" spans="1:21" hidden="1" x14ac:dyDescent="0.35">
      <c r="A246" t="s">
        <v>55</v>
      </c>
      <c r="B246" t="s">
        <v>11</v>
      </c>
      <c r="C246">
        <v>1998</v>
      </c>
      <c r="D246" s="5" t="s">
        <v>58</v>
      </c>
      <c r="E246" s="5" t="s">
        <v>28</v>
      </c>
      <c r="F246" s="5" t="s">
        <v>28</v>
      </c>
      <c r="G246" t="s">
        <v>59</v>
      </c>
      <c r="H246" t="s">
        <v>64</v>
      </c>
      <c r="L246" t="s">
        <v>31</v>
      </c>
      <c r="M246" t="s">
        <v>32</v>
      </c>
      <c r="N246" s="9">
        <v>29</v>
      </c>
      <c r="O246" s="13">
        <f>N246</f>
        <v>29</v>
      </c>
      <c r="R246" s="30"/>
      <c r="S246" s="30"/>
      <c r="T246" s="30" t="s">
        <v>181</v>
      </c>
    </row>
    <row r="247" spans="1:21" hidden="1" x14ac:dyDescent="0.35">
      <c r="A247" t="s">
        <v>55</v>
      </c>
      <c r="B247" t="s">
        <v>11</v>
      </c>
      <c r="C247">
        <v>1998</v>
      </c>
      <c r="D247" s="5" t="s">
        <v>58</v>
      </c>
      <c r="E247" s="5" t="s">
        <v>28</v>
      </c>
      <c r="F247" s="5" t="s">
        <v>28</v>
      </c>
      <c r="G247" t="s">
        <v>59</v>
      </c>
      <c r="H247" t="s">
        <v>60</v>
      </c>
      <c r="L247" t="s">
        <v>31</v>
      </c>
      <c r="M247" t="s">
        <v>32</v>
      </c>
      <c r="N247" s="12">
        <v>48</v>
      </c>
      <c r="O247" s="9">
        <f>N247</f>
        <v>48</v>
      </c>
      <c r="R247" s="30"/>
      <c r="S247" s="30"/>
      <c r="T247" s="30" t="s">
        <v>181</v>
      </c>
    </row>
    <row r="248" spans="1:21" hidden="1" x14ac:dyDescent="0.35">
      <c r="A248" t="s">
        <v>55</v>
      </c>
      <c r="B248" t="s">
        <v>11</v>
      </c>
      <c r="C248">
        <v>1997</v>
      </c>
      <c r="D248" s="5" t="s">
        <v>27</v>
      </c>
      <c r="E248" s="5" t="s">
        <v>28</v>
      </c>
      <c r="F248" s="5" t="s">
        <v>28</v>
      </c>
      <c r="G248" t="s">
        <v>56</v>
      </c>
      <c r="H248" t="s">
        <v>57</v>
      </c>
      <c r="J248" t="s">
        <v>12</v>
      </c>
      <c r="L248" t="s">
        <v>31</v>
      </c>
      <c r="M248" t="s">
        <v>32</v>
      </c>
      <c r="N248" s="12">
        <v>33</v>
      </c>
      <c r="O248" s="9">
        <f>N248</f>
        <v>33</v>
      </c>
      <c r="R248" s="30"/>
      <c r="S248" s="30"/>
      <c r="T248" s="30" t="s">
        <v>181</v>
      </c>
    </row>
    <row r="249" spans="1:21" s="30" customFormat="1" hidden="1" x14ac:dyDescent="0.35">
      <c r="A249" s="30" t="s">
        <v>46</v>
      </c>
      <c r="B249" s="30" t="s">
        <v>5</v>
      </c>
      <c r="C249" s="30">
        <v>2001</v>
      </c>
      <c r="D249" s="31" t="s">
        <v>47</v>
      </c>
      <c r="E249" s="30" t="s">
        <v>28</v>
      </c>
      <c r="G249" s="30" t="s">
        <v>263</v>
      </c>
      <c r="H249" s="30" t="s">
        <v>264</v>
      </c>
      <c r="J249" s="30" t="s">
        <v>50</v>
      </c>
      <c r="L249" s="30" t="s">
        <v>31</v>
      </c>
      <c r="M249" s="30" t="s">
        <v>32</v>
      </c>
      <c r="N249" s="45">
        <v>56.7</v>
      </c>
      <c r="O249" s="46">
        <f>N249</f>
        <v>56.7</v>
      </c>
      <c r="S249" s="45"/>
      <c r="T249" s="45"/>
      <c r="U249" s="47" t="s">
        <v>265</v>
      </c>
    </row>
    <row r="250" spans="1:21" s="30" customFormat="1" hidden="1" x14ac:dyDescent="0.35">
      <c r="A250" s="30" t="s">
        <v>46</v>
      </c>
      <c r="B250" s="30" t="s">
        <v>5</v>
      </c>
      <c r="C250" s="30">
        <v>2001</v>
      </c>
      <c r="D250" s="31" t="s">
        <v>47</v>
      </c>
      <c r="E250" s="31"/>
      <c r="G250" s="30" t="s">
        <v>263</v>
      </c>
      <c r="H250" s="30" t="s">
        <v>264</v>
      </c>
      <c r="J250" s="30" t="s">
        <v>50</v>
      </c>
      <c r="L250" s="30" t="s">
        <v>51</v>
      </c>
      <c r="M250" s="30" t="s">
        <v>52</v>
      </c>
      <c r="N250" s="45">
        <v>14.4</v>
      </c>
      <c r="P250" s="46">
        <f>N250</f>
        <v>14.4</v>
      </c>
      <c r="S250" s="45"/>
      <c r="T250" s="45"/>
      <c r="U250" s="47" t="s">
        <v>265</v>
      </c>
    </row>
    <row r="251" spans="1:21" s="30" customFormat="1" hidden="1" x14ac:dyDescent="0.35">
      <c r="A251" s="30" t="s">
        <v>46</v>
      </c>
      <c r="B251" s="30" t="s">
        <v>266</v>
      </c>
      <c r="C251" s="30">
        <v>2002</v>
      </c>
      <c r="D251" s="31" t="s">
        <v>47</v>
      </c>
      <c r="E251" s="31" t="s">
        <v>28</v>
      </c>
      <c r="G251" s="30" t="s">
        <v>267</v>
      </c>
      <c r="H251" s="30" t="s">
        <v>268</v>
      </c>
      <c r="J251" s="30" t="s">
        <v>50</v>
      </c>
      <c r="L251" s="30" t="s">
        <v>31</v>
      </c>
      <c r="M251" s="30" t="s">
        <v>32</v>
      </c>
      <c r="N251" s="45">
        <v>52.6</v>
      </c>
      <c r="O251" s="46">
        <f>N251</f>
        <v>52.6</v>
      </c>
      <c r="S251" s="45"/>
      <c r="T251" s="45"/>
      <c r="U251" s="47" t="s">
        <v>265</v>
      </c>
    </row>
    <row r="252" spans="1:21" s="30" customFormat="1" hidden="1" x14ac:dyDescent="0.35">
      <c r="A252" s="30" t="s">
        <v>46</v>
      </c>
      <c r="B252" s="30" t="s">
        <v>266</v>
      </c>
      <c r="C252" s="30">
        <v>2002</v>
      </c>
      <c r="D252" s="31" t="s">
        <v>47</v>
      </c>
      <c r="E252" s="31"/>
      <c r="G252" s="30" t="s">
        <v>267</v>
      </c>
      <c r="H252" s="30" t="s">
        <v>268</v>
      </c>
      <c r="J252" s="30" t="s">
        <v>50</v>
      </c>
      <c r="L252" s="30" t="s">
        <v>51</v>
      </c>
      <c r="M252" s="30" t="s">
        <v>52</v>
      </c>
      <c r="N252" s="45">
        <v>20.7</v>
      </c>
      <c r="P252" s="46">
        <f>N252</f>
        <v>20.7</v>
      </c>
      <c r="S252" s="45"/>
      <c r="T252" s="45"/>
      <c r="U252" s="47" t="s">
        <v>265</v>
      </c>
    </row>
    <row r="253" spans="1:21" hidden="1" x14ac:dyDescent="0.35">
      <c r="A253" s="21" t="s">
        <v>46</v>
      </c>
      <c r="B253" s="21" t="s">
        <v>266</v>
      </c>
      <c r="C253" s="21">
        <v>2002</v>
      </c>
      <c r="D253" s="39" t="s">
        <v>47</v>
      </c>
      <c r="E253" s="39" t="s">
        <v>28</v>
      </c>
      <c r="F253" s="21"/>
      <c r="G253" s="21" t="s">
        <v>267</v>
      </c>
      <c r="H253" s="21" t="s">
        <v>269</v>
      </c>
      <c r="I253" s="21"/>
      <c r="J253" s="21" t="s">
        <v>6</v>
      </c>
      <c r="K253" s="21"/>
      <c r="L253" s="21" t="s">
        <v>270</v>
      </c>
      <c r="M253" s="21" t="s">
        <v>32</v>
      </c>
      <c r="N253" s="40">
        <v>87</v>
      </c>
      <c r="O253" s="21"/>
      <c r="P253" s="21"/>
      <c r="S253" s="12"/>
      <c r="T253" s="12"/>
      <c r="U253" s="37" t="s">
        <v>265</v>
      </c>
    </row>
    <row r="254" spans="1:21" hidden="1" x14ac:dyDescent="0.35">
      <c r="A254" s="21" t="s">
        <v>46</v>
      </c>
      <c r="B254" s="21" t="s">
        <v>266</v>
      </c>
      <c r="C254" s="21">
        <v>2002</v>
      </c>
      <c r="D254" s="39" t="s">
        <v>47</v>
      </c>
      <c r="E254" s="39"/>
      <c r="F254" s="21"/>
      <c r="G254" s="21" t="s">
        <v>267</v>
      </c>
      <c r="H254" s="21" t="s">
        <v>269</v>
      </c>
      <c r="I254" s="21"/>
      <c r="J254" s="21" t="s">
        <v>6</v>
      </c>
      <c r="K254" s="21"/>
      <c r="L254" s="21" t="s">
        <v>51</v>
      </c>
      <c r="M254" s="21" t="s">
        <v>52</v>
      </c>
      <c r="N254" s="40" t="s">
        <v>271</v>
      </c>
      <c r="O254" s="21"/>
      <c r="P254" s="21"/>
      <c r="Q254" s="21" t="s">
        <v>314</v>
      </c>
      <c r="S254" s="12"/>
      <c r="T254" s="12"/>
      <c r="U254" s="37" t="s">
        <v>265</v>
      </c>
    </row>
    <row r="255" spans="1:21" x14ac:dyDescent="0.35">
      <c r="A255" s="21" t="s">
        <v>46</v>
      </c>
      <c r="B255" s="21" t="s">
        <v>10</v>
      </c>
      <c r="C255" s="21">
        <v>2000</v>
      </c>
      <c r="D255" s="39" t="s">
        <v>47</v>
      </c>
      <c r="E255" s="39" t="s">
        <v>28</v>
      </c>
      <c r="F255" s="21"/>
      <c r="G255" s="21" t="s">
        <v>272</v>
      </c>
      <c r="H255" s="21" t="s">
        <v>273</v>
      </c>
      <c r="I255" s="21"/>
      <c r="J255" s="21" t="s">
        <v>6</v>
      </c>
      <c r="K255" s="21"/>
      <c r="L255" s="21" t="s">
        <v>31</v>
      </c>
      <c r="M255" s="21" t="s">
        <v>32</v>
      </c>
      <c r="N255" s="41">
        <v>50.3</v>
      </c>
      <c r="O255" s="41">
        <f>N255</f>
        <v>50.3</v>
      </c>
      <c r="P255" s="21"/>
      <c r="S255" s="6"/>
      <c r="T255" s="6"/>
      <c r="U255" s="37" t="s">
        <v>265</v>
      </c>
    </row>
    <row r="256" spans="1:21" x14ac:dyDescent="0.35">
      <c r="A256" s="21" t="s">
        <v>46</v>
      </c>
      <c r="B256" s="21" t="s">
        <v>10</v>
      </c>
      <c r="C256" s="21">
        <v>2000</v>
      </c>
      <c r="D256" s="39" t="s">
        <v>47</v>
      </c>
      <c r="E256" s="39" t="s">
        <v>28</v>
      </c>
      <c r="F256" s="21"/>
      <c r="G256" s="21" t="s">
        <v>272</v>
      </c>
      <c r="H256" s="21" t="s">
        <v>273</v>
      </c>
      <c r="I256" s="21"/>
      <c r="J256" s="21" t="s">
        <v>6</v>
      </c>
      <c r="K256" s="21"/>
      <c r="L256" s="21" t="s">
        <v>51</v>
      </c>
      <c r="M256" s="21" t="s">
        <v>52</v>
      </c>
      <c r="N256" s="41">
        <v>9.4</v>
      </c>
      <c r="O256" s="39"/>
      <c r="P256" s="44">
        <f>N256</f>
        <v>9.4</v>
      </c>
      <c r="S256" s="6"/>
      <c r="T256" s="6"/>
      <c r="U256" s="37" t="s">
        <v>265</v>
      </c>
    </row>
    <row r="257" spans="1:21" x14ac:dyDescent="0.35">
      <c r="A257" s="21" t="s">
        <v>46</v>
      </c>
      <c r="B257" s="21" t="s">
        <v>10</v>
      </c>
      <c r="C257" s="21">
        <v>2000</v>
      </c>
      <c r="D257" s="39" t="s">
        <v>47</v>
      </c>
      <c r="E257" s="39" t="s">
        <v>28</v>
      </c>
      <c r="F257" s="21"/>
      <c r="G257" s="21" t="s">
        <v>272</v>
      </c>
      <c r="H257" s="21" t="s">
        <v>273</v>
      </c>
      <c r="I257" s="21"/>
      <c r="J257" s="21" t="s">
        <v>50</v>
      </c>
      <c r="K257" s="21"/>
      <c r="L257" s="21" t="s">
        <v>31</v>
      </c>
      <c r="M257" s="21" t="s">
        <v>32</v>
      </c>
      <c r="N257" s="41">
        <v>57.8</v>
      </c>
      <c r="O257" s="41">
        <f>N257</f>
        <v>57.8</v>
      </c>
      <c r="P257" s="21"/>
      <c r="S257" s="6"/>
      <c r="T257" s="6"/>
      <c r="U257" s="37" t="s">
        <v>265</v>
      </c>
    </row>
    <row r="258" spans="1:21" x14ac:dyDescent="0.35">
      <c r="A258" s="21" t="s">
        <v>46</v>
      </c>
      <c r="B258" s="21" t="s">
        <v>10</v>
      </c>
      <c r="C258" s="21">
        <v>2000</v>
      </c>
      <c r="D258" s="39" t="s">
        <v>47</v>
      </c>
      <c r="E258" s="39" t="s">
        <v>28</v>
      </c>
      <c r="F258" s="21"/>
      <c r="G258" s="21" t="s">
        <v>272</v>
      </c>
      <c r="H258" s="21" t="s">
        <v>273</v>
      </c>
      <c r="I258" s="21"/>
      <c r="J258" s="21" t="s">
        <v>50</v>
      </c>
      <c r="K258" s="21"/>
      <c r="L258" s="21" t="s">
        <v>51</v>
      </c>
      <c r="M258" s="21" t="s">
        <v>52</v>
      </c>
      <c r="N258" s="41">
        <v>31.8</v>
      </c>
      <c r="O258" s="39"/>
      <c r="P258" s="44">
        <f>N258</f>
        <v>31.8</v>
      </c>
      <c r="S258" s="6"/>
      <c r="T258" s="6"/>
      <c r="U258" s="37" t="s">
        <v>265</v>
      </c>
    </row>
    <row r="259" spans="1:21" x14ac:dyDescent="0.35">
      <c r="A259" s="21" t="s">
        <v>46</v>
      </c>
      <c r="B259" s="21" t="s">
        <v>10</v>
      </c>
      <c r="C259" s="21">
        <v>2000</v>
      </c>
      <c r="D259" s="39" t="s">
        <v>47</v>
      </c>
      <c r="E259" s="39" t="s">
        <v>28</v>
      </c>
      <c r="F259" s="21"/>
      <c r="G259" s="21" t="s">
        <v>274</v>
      </c>
      <c r="H259" s="21" t="s">
        <v>275</v>
      </c>
      <c r="I259" s="21"/>
      <c r="J259" s="21" t="s">
        <v>6</v>
      </c>
      <c r="K259" s="21"/>
      <c r="L259" s="21" t="s">
        <v>31</v>
      </c>
      <c r="M259" s="21" t="s">
        <v>32</v>
      </c>
      <c r="N259" s="41">
        <v>58.1</v>
      </c>
      <c r="O259" s="41">
        <f>N259</f>
        <v>58.1</v>
      </c>
      <c r="P259" s="21"/>
      <c r="S259" s="6"/>
      <c r="T259" s="6"/>
      <c r="U259" s="37" t="s">
        <v>265</v>
      </c>
    </row>
    <row r="260" spans="1:21" x14ac:dyDescent="0.35">
      <c r="A260" s="21" t="s">
        <v>46</v>
      </c>
      <c r="B260" s="21" t="s">
        <v>10</v>
      </c>
      <c r="C260" s="21">
        <v>2000</v>
      </c>
      <c r="D260" s="39" t="s">
        <v>47</v>
      </c>
      <c r="E260" s="39" t="s">
        <v>28</v>
      </c>
      <c r="F260" s="21"/>
      <c r="G260" s="21" t="s">
        <v>274</v>
      </c>
      <c r="H260" s="21" t="s">
        <v>275</v>
      </c>
      <c r="I260" s="21"/>
      <c r="J260" s="21" t="s">
        <v>6</v>
      </c>
      <c r="K260" s="21"/>
      <c r="L260" s="21" t="s">
        <v>51</v>
      </c>
      <c r="M260" s="21" t="s">
        <v>52</v>
      </c>
      <c r="N260" s="41">
        <v>18.899999999999999</v>
      </c>
      <c r="O260" s="39"/>
      <c r="P260" s="44">
        <f>N260</f>
        <v>18.899999999999999</v>
      </c>
      <c r="S260" s="6"/>
      <c r="T260" s="6"/>
      <c r="U260" s="37" t="s">
        <v>265</v>
      </c>
    </row>
    <row r="261" spans="1:21" hidden="1" x14ac:dyDescent="0.35">
      <c r="A261" s="21" t="s">
        <v>46</v>
      </c>
      <c r="B261" s="21" t="s">
        <v>7</v>
      </c>
      <c r="C261" s="21">
        <v>2002</v>
      </c>
      <c r="D261" s="39" t="s">
        <v>47</v>
      </c>
      <c r="E261" s="39" t="s">
        <v>28</v>
      </c>
      <c r="F261" s="21"/>
      <c r="G261" s="21" t="s">
        <v>276</v>
      </c>
      <c r="H261" s="21" t="s">
        <v>277</v>
      </c>
      <c r="I261" s="21"/>
      <c r="J261" s="21" t="s">
        <v>50</v>
      </c>
      <c r="K261" s="21"/>
      <c r="L261" s="21" t="s">
        <v>31</v>
      </c>
      <c r="M261" s="21" t="s">
        <v>32</v>
      </c>
      <c r="N261" s="40">
        <v>62.9</v>
      </c>
      <c r="O261" s="44">
        <f>N261</f>
        <v>62.9</v>
      </c>
      <c r="P261" s="21"/>
      <c r="S261" s="12"/>
      <c r="T261" s="12"/>
      <c r="U261" s="37" t="s">
        <v>265</v>
      </c>
    </row>
    <row r="262" spans="1:21" hidden="1" x14ac:dyDescent="0.35">
      <c r="A262" s="21" t="s">
        <v>46</v>
      </c>
      <c r="B262" s="21" t="s">
        <v>278</v>
      </c>
      <c r="C262" s="21">
        <v>2002</v>
      </c>
      <c r="D262" s="39" t="s">
        <v>47</v>
      </c>
      <c r="E262" s="39"/>
      <c r="F262" s="21"/>
      <c r="G262" s="21" t="s">
        <v>276</v>
      </c>
      <c r="H262" s="21" t="s">
        <v>277</v>
      </c>
      <c r="I262" s="21"/>
      <c r="J262" s="21" t="s">
        <v>50</v>
      </c>
      <c r="K262" s="21"/>
      <c r="L262" s="21" t="s">
        <v>51</v>
      </c>
      <c r="M262" s="21" t="s">
        <v>52</v>
      </c>
      <c r="N262" s="40">
        <v>36.5</v>
      </c>
      <c r="O262" s="21"/>
      <c r="P262" s="44">
        <f>N262</f>
        <v>36.5</v>
      </c>
      <c r="S262" s="12"/>
      <c r="T262" s="12"/>
      <c r="U262" s="37" t="s">
        <v>265</v>
      </c>
    </row>
    <row r="263" spans="1:21" hidden="1" x14ac:dyDescent="0.35">
      <c r="A263" s="21" t="s">
        <v>279</v>
      </c>
      <c r="B263" s="21" t="s">
        <v>2</v>
      </c>
      <c r="C263" s="42" t="s">
        <v>280</v>
      </c>
      <c r="D263" s="39" t="s">
        <v>27</v>
      </c>
      <c r="E263" s="42" t="s">
        <v>28</v>
      </c>
      <c r="F263" s="21"/>
      <c r="G263" s="43" t="s">
        <v>43</v>
      </c>
      <c r="H263" s="43" t="s">
        <v>281</v>
      </c>
      <c r="I263" s="21"/>
      <c r="J263" s="21"/>
      <c r="K263" s="21"/>
      <c r="L263" s="21" t="s">
        <v>282</v>
      </c>
      <c r="M263" s="21" t="s">
        <v>32</v>
      </c>
      <c r="N263" s="42">
        <v>28.7</v>
      </c>
      <c r="O263" s="42">
        <f>N263</f>
        <v>28.7</v>
      </c>
      <c r="P263" s="21"/>
      <c r="S263" s="6"/>
      <c r="T263" s="38"/>
      <c r="U263" s="37" t="s">
        <v>283</v>
      </c>
    </row>
    <row r="264" spans="1:21" hidden="1" x14ac:dyDescent="0.35">
      <c r="A264" s="21" t="s">
        <v>279</v>
      </c>
      <c r="B264" s="21" t="s">
        <v>2</v>
      </c>
      <c r="C264" s="42" t="s">
        <v>280</v>
      </c>
      <c r="D264" s="39" t="s">
        <v>27</v>
      </c>
      <c r="E264" s="42" t="s">
        <v>28</v>
      </c>
      <c r="F264" s="21"/>
      <c r="G264" s="43" t="s">
        <v>43</v>
      </c>
      <c r="H264" s="43" t="s">
        <v>281</v>
      </c>
      <c r="I264" s="21"/>
      <c r="J264" s="21"/>
      <c r="K264" s="21"/>
      <c r="L264" s="21" t="s">
        <v>51</v>
      </c>
      <c r="M264" s="21" t="s">
        <v>52</v>
      </c>
      <c r="N264" s="42">
        <v>1.2</v>
      </c>
      <c r="O264" s="42"/>
      <c r="P264" s="21">
        <f>N264</f>
        <v>1.2</v>
      </c>
      <c r="S264" s="6"/>
      <c r="T264" s="38"/>
      <c r="U264" s="37" t="s">
        <v>283</v>
      </c>
    </row>
    <row r="265" spans="1:21" hidden="1" x14ac:dyDescent="0.35">
      <c r="A265" s="21" t="s">
        <v>279</v>
      </c>
      <c r="B265" s="21" t="s">
        <v>2</v>
      </c>
      <c r="C265" s="42" t="s">
        <v>280</v>
      </c>
      <c r="D265" s="39" t="s">
        <v>27</v>
      </c>
      <c r="E265" s="42" t="s">
        <v>28</v>
      </c>
      <c r="F265" s="21"/>
      <c r="G265" s="43" t="s">
        <v>284</v>
      </c>
      <c r="H265" s="43" t="s">
        <v>285</v>
      </c>
      <c r="I265" s="21"/>
      <c r="J265" s="21"/>
      <c r="K265" s="21"/>
      <c r="L265" s="21" t="s">
        <v>282</v>
      </c>
      <c r="M265" s="21" t="s">
        <v>32</v>
      </c>
      <c r="N265" s="42">
        <v>28.2</v>
      </c>
      <c r="O265" s="42">
        <f>N265</f>
        <v>28.2</v>
      </c>
      <c r="P265" s="21"/>
      <c r="S265" s="6"/>
      <c r="T265" s="38"/>
      <c r="U265" s="37" t="s">
        <v>283</v>
      </c>
    </row>
    <row r="266" spans="1:21" hidden="1" x14ac:dyDescent="0.35">
      <c r="A266" s="21" t="s">
        <v>279</v>
      </c>
      <c r="B266" s="21" t="s">
        <v>2</v>
      </c>
      <c r="C266" s="42" t="s">
        <v>280</v>
      </c>
      <c r="D266" s="39" t="s">
        <v>27</v>
      </c>
      <c r="E266" s="42" t="s">
        <v>28</v>
      </c>
      <c r="F266" s="21"/>
      <c r="G266" s="43" t="s">
        <v>284</v>
      </c>
      <c r="H266" s="43" t="s">
        <v>285</v>
      </c>
      <c r="I266" s="21"/>
      <c r="J266" s="21"/>
      <c r="K266" s="21"/>
      <c r="L266" s="21" t="s">
        <v>51</v>
      </c>
      <c r="M266" s="21" t="s">
        <v>52</v>
      </c>
      <c r="N266" s="42">
        <v>2.5</v>
      </c>
      <c r="O266" s="42"/>
      <c r="P266" s="21"/>
      <c r="S266" s="6"/>
      <c r="T266" s="38"/>
      <c r="U266" s="37" t="s">
        <v>283</v>
      </c>
    </row>
    <row r="267" spans="1:21" hidden="1" x14ac:dyDescent="0.35">
      <c r="A267" s="21" t="s">
        <v>279</v>
      </c>
      <c r="B267" s="21" t="s">
        <v>2</v>
      </c>
      <c r="C267" s="42" t="s">
        <v>280</v>
      </c>
      <c r="D267" s="39" t="s">
        <v>27</v>
      </c>
      <c r="E267" s="42" t="s">
        <v>28</v>
      </c>
      <c r="F267" s="21"/>
      <c r="G267" s="43" t="s">
        <v>286</v>
      </c>
      <c r="H267" s="43" t="s">
        <v>287</v>
      </c>
      <c r="I267" s="21"/>
      <c r="J267" s="21"/>
      <c r="K267" s="21"/>
      <c r="L267" s="21" t="s">
        <v>282</v>
      </c>
      <c r="M267" s="21" t="s">
        <v>32</v>
      </c>
      <c r="N267" s="42">
        <v>17.3</v>
      </c>
      <c r="O267" s="42"/>
      <c r="P267" s="21"/>
      <c r="S267" s="6"/>
      <c r="T267" s="38"/>
      <c r="U267" s="37"/>
    </row>
    <row r="268" spans="1:21" hidden="1" x14ac:dyDescent="0.35">
      <c r="A268" s="21" t="s">
        <v>279</v>
      </c>
      <c r="B268" s="21" t="s">
        <v>2</v>
      </c>
      <c r="C268" s="42" t="s">
        <v>280</v>
      </c>
      <c r="D268" s="39" t="s">
        <v>27</v>
      </c>
      <c r="E268" s="42" t="s">
        <v>28</v>
      </c>
      <c r="F268" s="21"/>
      <c r="G268" s="43" t="s">
        <v>286</v>
      </c>
      <c r="H268" s="43" t="s">
        <v>287</v>
      </c>
      <c r="I268" s="21"/>
      <c r="J268" s="21"/>
      <c r="K268" s="21"/>
      <c r="L268" s="21" t="s">
        <v>51</v>
      </c>
      <c r="M268" s="21" t="s">
        <v>52</v>
      </c>
      <c r="N268" s="42">
        <v>3.3</v>
      </c>
      <c r="O268" s="42"/>
      <c r="P268" s="21"/>
      <c r="S268" s="6"/>
      <c r="T268" s="38"/>
      <c r="U268" s="37"/>
    </row>
    <row r="269" spans="1:21" hidden="1" x14ac:dyDescent="0.35">
      <c r="A269" s="21" t="s">
        <v>279</v>
      </c>
      <c r="B269" s="21" t="s">
        <v>2</v>
      </c>
      <c r="C269" s="42" t="s">
        <v>280</v>
      </c>
      <c r="D269" s="39" t="s">
        <v>27</v>
      </c>
      <c r="E269" s="42" t="s">
        <v>28</v>
      </c>
      <c r="F269" s="21"/>
      <c r="G269" s="43" t="s">
        <v>286</v>
      </c>
      <c r="H269" s="43" t="s">
        <v>288</v>
      </c>
      <c r="I269" s="21"/>
      <c r="J269" s="21"/>
      <c r="K269" s="21"/>
      <c r="L269" s="21" t="s">
        <v>282</v>
      </c>
      <c r="M269" s="21" t="s">
        <v>32</v>
      </c>
      <c r="N269" s="42">
        <v>47.599999999999994</v>
      </c>
      <c r="O269" s="42"/>
      <c r="P269" s="21"/>
      <c r="S269" s="6"/>
      <c r="T269" s="38"/>
      <c r="U269" s="37"/>
    </row>
    <row r="270" spans="1:21" hidden="1" x14ac:dyDescent="0.35">
      <c r="A270" s="21" t="s">
        <v>279</v>
      </c>
      <c r="B270" s="21" t="s">
        <v>2</v>
      </c>
      <c r="C270" s="42" t="s">
        <v>280</v>
      </c>
      <c r="D270" s="39" t="s">
        <v>27</v>
      </c>
      <c r="E270" s="42" t="s">
        <v>28</v>
      </c>
      <c r="F270" s="21"/>
      <c r="G270" s="43" t="s">
        <v>286</v>
      </c>
      <c r="H270" s="43" t="s">
        <v>288</v>
      </c>
      <c r="I270" s="21"/>
      <c r="J270" s="21"/>
      <c r="K270" s="21"/>
      <c r="L270" s="21" t="s">
        <v>51</v>
      </c>
      <c r="M270" s="21" t="s">
        <v>52</v>
      </c>
      <c r="N270" s="42">
        <v>3.6</v>
      </c>
      <c r="O270" s="42"/>
      <c r="P270" s="21"/>
      <c r="S270" s="6"/>
      <c r="T270" s="38"/>
      <c r="U270" s="37"/>
    </row>
    <row r="271" spans="1:21" hidden="1" x14ac:dyDescent="0.35">
      <c r="A271" s="21" t="s">
        <v>289</v>
      </c>
      <c r="B271" s="21" t="s">
        <v>5</v>
      </c>
      <c r="C271" s="21">
        <v>1999</v>
      </c>
      <c r="D271" s="21" t="s">
        <v>47</v>
      </c>
      <c r="E271" s="21" t="s">
        <v>28</v>
      </c>
      <c r="F271" s="21"/>
      <c r="G271" s="21"/>
      <c r="H271" s="21" t="s">
        <v>290</v>
      </c>
      <c r="I271" s="21" t="s">
        <v>291</v>
      </c>
      <c r="J271" s="21" t="s">
        <v>292</v>
      </c>
      <c r="K271" s="21">
        <v>8</v>
      </c>
      <c r="L271" s="21" t="s">
        <v>293</v>
      </c>
      <c r="M271" s="21" t="s">
        <v>32</v>
      </c>
      <c r="N271" s="21">
        <v>40.700000000000003</v>
      </c>
      <c r="O271" s="21">
        <f>N271+N273</f>
        <v>54.800000000000004</v>
      </c>
      <c r="P271" s="21"/>
    </row>
    <row r="272" spans="1:21" hidden="1" x14ac:dyDescent="0.35">
      <c r="A272" s="21" t="s">
        <v>289</v>
      </c>
      <c r="B272" s="21" t="s">
        <v>5</v>
      </c>
      <c r="C272" s="21">
        <v>1999</v>
      </c>
      <c r="D272" s="21" t="s">
        <v>47</v>
      </c>
      <c r="E272" s="21"/>
      <c r="F272" s="21"/>
      <c r="G272" s="21"/>
      <c r="H272" s="21" t="s">
        <v>290</v>
      </c>
      <c r="I272" s="21" t="s">
        <v>291</v>
      </c>
      <c r="J272" s="21" t="s">
        <v>292</v>
      </c>
      <c r="K272" s="21">
        <v>8</v>
      </c>
      <c r="L272" s="21" t="s">
        <v>294</v>
      </c>
      <c r="M272" s="21" t="s">
        <v>52</v>
      </c>
      <c r="N272" s="21">
        <v>40.700000000000003</v>
      </c>
      <c r="O272" s="21"/>
      <c r="P272" s="21">
        <f>N272</f>
        <v>40.700000000000003</v>
      </c>
    </row>
    <row r="273" spans="1:16" hidden="1" x14ac:dyDescent="0.35">
      <c r="A273" s="21" t="s">
        <v>289</v>
      </c>
      <c r="B273" s="21" t="s">
        <v>5</v>
      </c>
      <c r="C273" s="21">
        <v>1999</v>
      </c>
      <c r="D273" s="21" t="s">
        <v>47</v>
      </c>
      <c r="E273" s="21" t="s">
        <v>28</v>
      </c>
      <c r="F273" s="21"/>
      <c r="G273" s="21"/>
      <c r="H273" s="21" t="s">
        <v>290</v>
      </c>
      <c r="I273" s="21" t="s">
        <v>291</v>
      </c>
      <c r="J273" s="21" t="s">
        <v>292</v>
      </c>
      <c r="K273" s="21">
        <v>8</v>
      </c>
      <c r="L273" s="21" t="s">
        <v>295</v>
      </c>
      <c r="M273" s="21" t="s">
        <v>296</v>
      </c>
      <c r="N273" s="21">
        <v>14.1</v>
      </c>
      <c r="O273" s="21"/>
      <c r="P273" s="21"/>
    </row>
    <row r="274" spans="1:16" hidden="1" x14ac:dyDescent="0.35">
      <c r="A274" s="21" t="s">
        <v>289</v>
      </c>
      <c r="B274" s="21" t="s">
        <v>5</v>
      </c>
      <c r="C274" s="21">
        <v>1999</v>
      </c>
      <c r="D274" s="21" t="s">
        <v>47</v>
      </c>
      <c r="E274" s="21" t="s">
        <v>28</v>
      </c>
      <c r="F274" s="21"/>
      <c r="G274" s="21"/>
      <c r="H274" s="21" t="s">
        <v>290</v>
      </c>
      <c r="I274" s="21" t="s">
        <v>297</v>
      </c>
      <c r="J274" s="21" t="s">
        <v>298</v>
      </c>
      <c r="K274" s="21"/>
      <c r="L274" s="21" t="s">
        <v>293</v>
      </c>
      <c r="M274" s="21" t="s">
        <v>32</v>
      </c>
      <c r="N274" s="21">
        <v>42.3</v>
      </c>
      <c r="O274" s="21">
        <f>N274+N276</f>
        <v>68.3</v>
      </c>
      <c r="P274" s="21"/>
    </row>
    <row r="275" spans="1:16" hidden="1" x14ac:dyDescent="0.35">
      <c r="A275" s="21" t="s">
        <v>289</v>
      </c>
      <c r="B275" s="21" t="s">
        <v>5</v>
      </c>
      <c r="C275" s="21">
        <v>1999</v>
      </c>
      <c r="D275" s="21" t="s">
        <v>47</v>
      </c>
      <c r="E275" s="21"/>
      <c r="F275" s="21"/>
      <c r="G275" s="21"/>
      <c r="H275" s="21" t="s">
        <v>290</v>
      </c>
      <c r="I275" s="21" t="s">
        <v>297</v>
      </c>
      <c r="J275" s="21" t="s">
        <v>298</v>
      </c>
      <c r="K275" s="21"/>
      <c r="L275" s="21" t="s">
        <v>294</v>
      </c>
      <c r="M275" s="21" t="s">
        <v>52</v>
      </c>
      <c r="N275" s="21">
        <v>10.199999999999999</v>
      </c>
      <c r="O275" s="21"/>
      <c r="P275" s="21">
        <f>N275</f>
        <v>10.199999999999999</v>
      </c>
    </row>
    <row r="276" spans="1:16" hidden="1" x14ac:dyDescent="0.35">
      <c r="A276" s="21" t="s">
        <v>289</v>
      </c>
      <c r="B276" s="21" t="s">
        <v>5</v>
      </c>
      <c r="C276" s="21">
        <v>1999</v>
      </c>
      <c r="D276" s="21" t="s">
        <v>47</v>
      </c>
      <c r="E276" s="21" t="s">
        <v>28</v>
      </c>
      <c r="F276" s="21"/>
      <c r="G276" s="21"/>
      <c r="H276" s="21" t="s">
        <v>290</v>
      </c>
      <c r="I276" s="21" t="s">
        <v>297</v>
      </c>
      <c r="J276" s="21" t="s">
        <v>298</v>
      </c>
      <c r="K276" s="21"/>
      <c r="L276" s="21" t="s">
        <v>295</v>
      </c>
      <c r="M276" s="21" t="s">
        <v>296</v>
      </c>
      <c r="N276" s="21">
        <v>26</v>
      </c>
      <c r="O276" s="21"/>
      <c r="P276" s="21"/>
    </row>
    <row r="277" spans="1:16" hidden="1" x14ac:dyDescent="0.35">
      <c r="A277" s="21" t="s">
        <v>289</v>
      </c>
      <c r="B277" s="21" t="s">
        <v>266</v>
      </c>
      <c r="C277" s="21">
        <v>1999</v>
      </c>
      <c r="D277" s="21" t="s">
        <v>47</v>
      </c>
      <c r="E277" s="21" t="s">
        <v>28</v>
      </c>
      <c r="F277" s="21"/>
      <c r="G277" s="21"/>
      <c r="H277" s="21" t="s">
        <v>299</v>
      </c>
      <c r="I277" s="21" t="s">
        <v>300</v>
      </c>
      <c r="J277" s="21" t="s">
        <v>298</v>
      </c>
      <c r="K277" s="21">
        <v>1</v>
      </c>
      <c r="L277" s="21" t="s">
        <v>293</v>
      </c>
      <c r="M277" s="21" t="s">
        <v>32</v>
      </c>
      <c r="N277" s="21">
        <v>40</v>
      </c>
      <c r="O277" s="21">
        <f>N277+N280</f>
        <v>55</v>
      </c>
      <c r="P277" s="21"/>
    </row>
    <row r="278" spans="1:16" hidden="1" x14ac:dyDescent="0.35">
      <c r="A278" s="21" t="s">
        <v>289</v>
      </c>
      <c r="B278" s="21" t="s">
        <v>266</v>
      </c>
      <c r="C278" s="21">
        <v>1999</v>
      </c>
      <c r="D278" s="21" t="s">
        <v>47</v>
      </c>
      <c r="E278" s="21"/>
      <c r="F278" s="21"/>
      <c r="G278" s="21"/>
      <c r="H278" s="21" t="s">
        <v>299</v>
      </c>
      <c r="I278" s="21" t="s">
        <v>300</v>
      </c>
      <c r="J278" s="21" t="s">
        <v>298</v>
      </c>
      <c r="K278" s="21">
        <v>1</v>
      </c>
      <c r="L278" s="21" t="s">
        <v>86</v>
      </c>
      <c r="M278" s="21"/>
      <c r="N278" s="21">
        <v>4</v>
      </c>
      <c r="O278" s="21"/>
      <c r="P278" s="21"/>
    </row>
    <row r="279" spans="1:16" hidden="1" x14ac:dyDescent="0.35">
      <c r="A279" s="21" t="s">
        <v>289</v>
      </c>
      <c r="B279" s="21" t="s">
        <v>266</v>
      </c>
      <c r="C279" s="21">
        <v>1999</v>
      </c>
      <c r="D279" s="21" t="s">
        <v>47</v>
      </c>
      <c r="E279" s="21"/>
      <c r="F279" s="21"/>
      <c r="G279" s="21"/>
      <c r="H279" s="21" t="s">
        <v>299</v>
      </c>
      <c r="I279" s="21" t="s">
        <v>300</v>
      </c>
      <c r="J279" s="21" t="s">
        <v>298</v>
      </c>
      <c r="K279" s="21">
        <v>1</v>
      </c>
      <c r="L279" s="21" t="s">
        <v>294</v>
      </c>
      <c r="M279" s="21" t="s">
        <v>52</v>
      </c>
      <c r="N279" s="21">
        <v>32</v>
      </c>
      <c r="O279" s="21"/>
      <c r="P279" s="21">
        <f>N279</f>
        <v>32</v>
      </c>
    </row>
    <row r="280" spans="1:16" hidden="1" x14ac:dyDescent="0.35">
      <c r="A280" s="21" t="s">
        <v>289</v>
      </c>
      <c r="B280" s="21" t="s">
        <v>266</v>
      </c>
      <c r="C280" s="21">
        <v>1999</v>
      </c>
      <c r="D280" s="21" t="s">
        <v>47</v>
      </c>
      <c r="E280" s="21" t="s">
        <v>28</v>
      </c>
      <c r="F280" s="21"/>
      <c r="G280" s="21"/>
      <c r="H280" s="21" t="s">
        <v>299</v>
      </c>
      <c r="I280" s="21" t="s">
        <v>300</v>
      </c>
      <c r="J280" s="21" t="s">
        <v>298</v>
      </c>
      <c r="K280" s="21">
        <v>1</v>
      </c>
      <c r="L280" s="21" t="s">
        <v>295</v>
      </c>
      <c r="M280" s="21" t="s">
        <v>296</v>
      </c>
      <c r="N280" s="21">
        <v>15</v>
      </c>
      <c r="O280" s="21"/>
      <c r="P280" s="21"/>
    </row>
    <row r="281" spans="1:16" hidden="1" x14ac:dyDescent="0.35">
      <c r="A281" s="21" t="s">
        <v>289</v>
      </c>
      <c r="B281" s="21" t="s">
        <v>266</v>
      </c>
      <c r="C281" s="21">
        <v>1999</v>
      </c>
      <c r="D281" s="21" t="s">
        <v>47</v>
      </c>
      <c r="E281" s="21" t="s">
        <v>28</v>
      </c>
      <c r="F281" s="21"/>
      <c r="G281" s="21"/>
      <c r="H281" s="21" t="s">
        <v>301</v>
      </c>
      <c r="I281" s="21" t="s">
        <v>302</v>
      </c>
      <c r="J281" s="21" t="s">
        <v>298</v>
      </c>
      <c r="K281" s="21">
        <v>1</v>
      </c>
      <c r="L281" s="21" t="s">
        <v>293</v>
      </c>
      <c r="M281" s="21" t="s">
        <v>32</v>
      </c>
      <c r="N281" s="21">
        <v>36</v>
      </c>
      <c r="O281" s="21">
        <f>N281+N283</f>
        <v>54</v>
      </c>
      <c r="P281" s="21"/>
    </row>
    <row r="282" spans="1:16" hidden="1" x14ac:dyDescent="0.35">
      <c r="A282" s="21" t="s">
        <v>289</v>
      </c>
      <c r="B282" s="21" t="s">
        <v>266</v>
      </c>
      <c r="C282" s="21">
        <v>1999</v>
      </c>
      <c r="D282" s="21" t="s">
        <v>47</v>
      </c>
      <c r="E282" s="21"/>
      <c r="F282" s="21"/>
      <c r="G282" s="21"/>
      <c r="H282" s="21" t="s">
        <v>301</v>
      </c>
      <c r="I282" s="21" t="s">
        <v>302</v>
      </c>
      <c r="J282" s="21" t="s">
        <v>298</v>
      </c>
      <c r="K282" s="21">
        <v>1</v>
      </c>
      <c r="L282" s="21" t="s">
        <v>303</v>
      </c>
      <c r="M282" s="21" t="s">
        <v>52</v>
      </c>
      <c r="N282" s="21">
        <v>29</v>
      </c>
      <c r="O282" s="21"/>
      <c r="P282" s="21">
        <f>N282</f>
        <v>29</v>
      </c>
    </row>
    <row r="283" spans="1:16" hidden="1" x14ac:dyDescent="0.35">
      <c r="A283" s="21" t="s">
        <v>289</v>
      </c>
      <c r="B283" s="21" t="s">
        <v>266</v>
      </c>
      <c r="C283" s="21">
        <v>1999</v>
      </c>
      <c r="D283" s="21" t="s">
        <v>47</v>
      </c>
      <c r="E283" s="21" t="s">
        <v>28</v>
      </c>
      <c r="F283" s="21"/>
      <c r="G283" s="21"/>
      <c r="H283" s="21" t="s">
        <v>301</v>
      </c>
      <c r="I283" s="21" t="s">
        <v>302</v>
      </c>
      <c r="J283" s="21" t="s">
        <v>298</v>
      </c>
      <c r="K283" s="21">
        <v>1</v>
      </c>
      <c r="L283" s="21" t="s">
        <v>295</v>
      </c>
      <c r="M283" s="21" t="s">
        <v>296</v>
      </c>
      <c r="N283" s="21">
        <v>18</v>
      </c>
      <c r="O283" s="21"/>
      <c r="P283" s="21"/>
    </row>
    <row r="284" spans="1:16" hidden="1" x14ac:dyDescent="0.35">
      <c r="A284" s="21" t="s">
        <v>289</v>
      </c>
      <c r="B284" s="21" t="s">
        <v>10</v>
      </c>
      <c r="C284" s="21">
        <v>1999</v>
      </c>
      <c r="D284" s="21" t="s">
        <v>47</v>
      </c>
      <c r="E284" s="21" t="s">
        <v>28</v>
      </c>
      <c r="F284" s="21"/>
      <c r="G284" s="21" t="s">
        <v>28</v>
      </c>
      <c r="H284" s="21" t="s">
        <v>75</v>
      </c>
      <c r="I284" s="21" t="s">
        <v>304</v>
      </c>
      <c r="J284" s="21" t="s">
        <v>305</v>
      </c>
      <c r="K284" s="21">
        <v>12</v>
      </c>
      <c r="L284" s="21" t="s">
        <v>73</v>
      </c>
      <c r="M284" s="21" t="s">
        <v>32</v>
      </c>
      <c r="N284" s="21">
        <v>50</v>
      </c>
      <c r="O284" s="21">
        <f>N284+N286</f>
        <v>50.4</v>
      </c>
      <c r="P284" s="21"/>
    </row>
    <row r="285" spans="1:16" hidden="1" x14ac:dyDescent="0.35">
      <c r="A285" s="21" t="s">
        <v>289</v>
      </c>
      <c r="B285" s="21" t="s">
        <v>10</v>
      </c>
      <c r="C285" s="21">
        <v>1999</v>
      </c>
      <c r="D285" s="21" t="s">
        <v>47</v>
      </c>
      <c r="E285" s="21"/>
      <c r="F285" s="21"/>
      <c r="G285" s="21" t="s">
        <v>28</v>
      </c>
      <c r="H285" s="21" t="s">
        <v>75</v>
      </c>
      <c r="I285" s="21" t="s">
        <v>304</v>
      </c>
      <c r="J285" s="21" t="s">
        <v>305</v>
      </c>
      <c r="K285" s="21">
        <v>12</v>
      </c>
      <c r="L285" s="21" t="s">
        <v>294</v>
      </c>
      <c r="M285" s="21" t="s">
        <v>52</v>
      </c>
      <c r="N285" s="21">
        <v>39.6</v>
      </c>
      <c r="O285" s="21"/>
      <c r="P285" s="21">
        <f>N285</f>
        <v>39.6</v>
      </c>
    </row>
    <row r="286" spans="1:16" hidden="1" x14ac:dyDescent="0.35">
      <c r="A286" s="21" t="s">
        <v>289</v>
      </c>
      <c r="B286" s="21" t="s">
        <v>10</v>
      </c>
      <c r="C286" s="21">
        <v>1999</v>
      </c>
      <c r="D286" s="21" t="s">
        <v>47</v>
      </c>
      <c r="E286" s="21"/>
      <c r="F286" s="21"/>
      <c r="G286" s="21" t="s">
        <v>28</v>
      </c>
      <c r="H286" s="21" t="s">
        <v>75</v>
      </c>
      <c r="I286" s="21" t="s">
        <v>304</v>
      </c>
      <c r="J286" s="21" t="s">
        <v>305</v>
      </c>
      <c r="K286" s="21">
        <v>12</v>
      </c>
      <c r="L286" s="21" t="s">
        <v>295</v>
      </c>
      <c r="M286" s="21" t="s">
        <v>296</v>
      </c>
      <c r="N286" s="21">
        <v>0.4</v>
      </c>
      <c r="O286" s="21"/>
      <c r="P286" s="21"/>
    </row>
    <row r="287" spans="1:16" hidden="1" x14ac:dyDescent="0.35">
      <c r="A287" s="21" t="s">
        <v>289</v>
      </c>
      <c r="B287" s="21" t="s">
        <v>10</v>
      </c>
      <c r="C287" s="21">
        <v>1999</v>
      </c>
      <c r="D287" s="21" t="s">
        <v>47</v>
      </c>
      <c r="E287" s="21" t="s">
        <v>28</v>
      </c>
      <c r="F287" s="21"/>
      <c r="G287" s="21" t="s">
        <v>28</v>
      </c>
      <c r="H287" s="21" t="s">
        <v>75</v>
      </c>
      <c r="I287" s="21" t="s">
        <v>306</v>
      </c>
      <c r="J287" s="21" t="s">
        <v>298</v>
      </c>
      <c r="K287" s="21">
        <v>1</v>
      </c>
      <c r="L287" s="21" t="s">
        <v>73</v>
      </c>
      <c r="M287" s="21" t="s">
        <v>32</v>
      </c>
      <c r="N287" s="21">
        <v>30</v>
      </c>
      <c r="O287" s="21">
        <f>N287+N291</f>
        <v>32.5</v>
      </c>
      <c r="P287" s="21"/>
    </row>
    <row r="288" spans="1:16" hidden="1" x14ac:dyDescent="0.35">
      <c r="A288" s="21" t="s">
        <v>289</v>
      </c>
      <c r="B288" s="21" t="s">
        <v>10</v>
      </c>
      <c r="C288" s="21">
        <v>1999</v>
      </c>
      <c r="D288" s="21" t="s">
        <v>47</v>
      </c>
      <c r="E288" s="21" t="s">
        <v>28</v>
      </c>
      <c r="F288" s="21"/>
      <c r="G288" s="21" t="s">
        <v>28</v>
      </c>
      <c r="H288" s="21" t="s">
        <v>75</v>
      </c>
      <c r="I288" s="21" t="s">
        <v>306</v>
      </c>
      <c r="J288" s="21" t="s">
        <v>298</v>
      </c>
      <c r="K288" s="21">
        <v>1</v>
      </c>
      <c r="L288" s="21" t="s">
        <v>294</v>
      </c>
      <c r="M288" s="21" t="s">
        <v>52</v>
      </c>
      <c r="N288" s="21">
        <v>7.5</v>
      </c>
      <c r="O288" s="21"/>
      <c r="P288" s="21">
        <f>N288</f>
        <v>7.5</v>
      </c>
    </row>
    <row r="289" spans="1:16" s="30" customFormat="1" hidden="1" x14ac:dyDescent="0.35">
      <c r="A289" s="30" t="s">
        <v>289</v>
      </c>
      <c r="B289" s="30" t="s">
        <v>307</v>
      </c>
      <c r="C289" s="30">
        <v>1999</v>
      </c>
      <c r="D289" s="30" t="s">
        <v>47</v>
      </c>
      <c r="E289" s="30" t="s">
        <v>28</v>
      </c>
      <c r="H289" s="30" t="s">
        <v>308</v>
      </c>
      <c r="I289" s="30" t="s">
        <v>6</v>
      </c>
      <c r="J289" s="30" t="s">
        <v>298</v>
      </c>
      <c r="K289" s="30">
        <v>0.5</v>
      </c>
      <c r="L289" s="30" t="s">
        <v>309</v>
      </c>
      <c r="M289" s="30" t="s">
        <v>32</v>
      </c>
      <c r="N289" s="30">
        <v>4.5999999999999996</v>
      </c>
      <c r="O289" s="30">
        <f>N289+N292</f>
        <v>94.6</v>
      </c>
    </row>
    <row r="290" spans="1:16" s="30" customFormat="1" hidden="1" x14ac:dyDescent="0.35">
      <c r="A290" s="30" t="s">
        <v>289</v>
      </c>
      <c r="B290" s="30" t="s">
        <v>307</v>
      </c>
      <c r="C290" s="30">
        <v>1999</v>
      </c>
      <c r="D290" s="30" t="s">
        <v>47</v>
      </c>
      <c r="E290" s="30" t="s">
        <v>28</v>
      </c>
      <c r="H290" s="30" t="s">
        <v>308</v>
      </c>
      <c r="I290" s="30" t="s">
        <v>310</v>
      </c>
      <c r="J290" s="30" t="s">
        <v>305</v>
      </c>
      <c r="K290" s="30">
        <v>6</v>
      </c>
      <c r="L290" s="30" t="s">
        <v>309</v>
      </c>
      <c r="M290" s="30" t="s">
        <v>32</v>
      </c>
      <c r="N290" s="30">
        <v>28</v>
      </c>
      <c r="O290" s="30">
        <f>N290+N293</f>
        <v>97.2</v>
      </c>
    </row>
    <row r="291" spans="1:16" hidden="1" x14ac:dyDescent="0.35">
      <c r="A291" s="21" t="s">
        <v>289</v>
      </c>
      <c r="B291" s="21" t="s">
        <v>10</v>
      </c>
      <c r="C291" s="21">
        <v>1999</v>
      </c>
      <c r="D291" s="21" t="s">
        <v>47</v>
      </c>
      <c r="E291" s="21"/>
      <c r="F291" s="21"/>
      <c r="G291" s="21" t="s">
        <v>28</v>
      </c>
      <c r="H291" s="21" t="s">
        <v>75</v>
      </c>
      <c r="I291" s="21" t="s">
        <v>306</v>
      </c>
      <c r="J291" s="21" t="s">
        <v>298</v>
      </c>
      <c r="K291" s="21">
        <v>1</v>
      </c>
      <c r="L291" s="21" t="s">
        <v>295</v>
      </c>
      <c r="M291" s="21" t="s">
        <v>296</v>
      </c>
      <c r="N291" s="21">
        <v>2.5</v>
      </c>
      <c r="O291" s="21"/>
      <c r="P291" s="21"/>
    </row>
    <row r="292" spans="1:16" hidden="1" x14ac:dyDescent="0.35">
      <c r="A292" s="21" t="s">
        <v>289</v>
      </c>
      <c r="B292" s="21" t="s">
        <v>307</v>
      </c>
      <c r="C292" s="21">
        <v>1999</v>
      </c>
      <c r="D292" s="21" t="s">
        <v>47</v>
      </c>
      <c r="E292" s="21" t="s">
        <v>28</v>
      </c>
      <c r="F292" s="21"/>
      <c r="G292" s="21"/>
      <c r="H292" s="21" t="s">
        <v>308</v>
      </c>
      <c r="I292" s="21" t="s">
        <v>6</v>
      </c>
      <c r="J292" s="21" t="s">
        <v>298</v>
      </c>
      <c r="K292" s="21">
        <v>0.5</v>
      </c>
      <c r="L292" s="21" t="s">
        <v>295</v>
      </c>
      <c r="M292" s="21" t="s">
        <v>296</v>
      </c>
      <c r="N292" s="21">
        <v>90</v>
      </c>
      <c r="O292" s="21"/>
      <c r="P292" s="21"/>
    </row>
    <row r="293" spans="1:16" hidden="1" x14ac:dyDescent="0.35">
      <c r="A293" s="21" t="s">
        <v>289</v>
      </c>
      <c r="B293" s="21" t="s">
        <v>307</v>
      </c>
      <c r="C293" s="21">
        <v>1999</v>
      </c>
      <c r="D293" s="21" t="s">
        <v>47</v>
      </c>
      <c r="E293" s="21" t="s">
        <v>28</v>
      </c>
      <c r="F293" s="21"/>
      <c r="G293" s="21"/>
      <c r="H293" s="21" t="s">
        <v>308</v>
      </c>
      <c r="I293" s="21" t="s">
        <v>310</v>
      </c>
      <c r="J293" s="21" t="s">
        <v>305</v>
      </c>
      <c r="K293" s="21">
        <v>6</v>
      </c>
      <c r="L293" s="21" t="s">
        <v>295</v>
      </c>
      <c r="M293" s="21" t="s">
        <v>296</v>
      </c>
      <c r="N293" s="21">
        <v>69.2</v>
      </c>
      <c r="O293" s="21"/>
      <c r="P293" s="21"/>
    </row>
    <row r="294" spans="1:16" s="30" customFormat="1" hidden="1" x14ac:dyDescent="0.35">
      <c r="A294" s="30" t="s">
        <v>289</v>
      </c>
      <c r="B294" s="30" t="s">
        <v>307</v>
      </c>
      <c r="C294" s="30">
        <v>1999</v>
      </c>
      <c r="D294" s="30" t="s">
        <v>47</v>
      </c>
      <c r="H294" s="30" t="s">
        <v>308</v>
      </c>
      <c r="I294" s="30" t="s">
        <v>6</v>
      </c>
      <c r="J294" s="30" t="s">
        <v>298</v>
      </c>
      <c r="K294" s="30">
        <v>0.5</v>
      </c>
      <c r="L294" s="30" t="s">
        <v>294</v>
      </c>
      <c r="M294" s="30" t="s">
        <v>52</v>
      </c>
      <c r="N294" s="30">
        <v>2.5</v>
      </c>
      <c r="P294" s="30">
        <f>N294</f>
        <v>2.5</v>
      </c>
    </row>
    <row r="295" spans="1:16" s="30" customFormat="1" hidden="1" x14ac:dyDescent="0.35">
      <c r="A295" s="30" t="s">
        <v>289</v>
      </c>
      <c r="B295" s="30" t="s">
        <v>307</v>
      </c>
      <c r="C295" s="30">
        <v>1999</v>
      </c>
      <c r="D295" s="30" t="s">
        <v>47</v>
      </c>
      <c r="H295" s="30" t="s">
        <v>308</v>
      </c>
      <c r="I295" s="30" t="s">
        <v>310</v>
      </c>
      <c r="J295" s="30" t="s">
        <v>305</v>
      </c>
      <c r="K295" s="30">
        <v>6</v>
      </c>
      <c r="L295" s="30" t="s">
        <v>294</v>
      </c>
      <c r="M295" s="30" t="s">
        <v>52</v>
      </c>
      <c r="N295" s="30">
        <v>2.2999999999999998</v>
      </c>
      <c r="P295" s="30">
        <f>N295</f>
        <v>2.2999999999999998</v>
      </c>
    </row>
    <row r="296" spans="1:16" s="30" customFormat="1" hidden="1" x14ac:dyDescent="0.35">
      <c r="A296" s="30" t="s">
        <v>289</v>
      </c>
      <c r="B296" s="30" t="s">
        <v>307</v>
      </c>
      <c r="C296" s="30">
        <v>1999</v>
      </c>
      <c r="D296" s="30" t="s">
        <v>47</v>
      </c>
      <c r="E296" s="30" t="s">
        <v>28</v>
      </c>
      <c r="H296" s="30" t="s">
        <v>311</v>
      </c>
      <c r="J296" s="30" t="s">
        <v>298</v>
      </c>
      <c r="K296" s="30">
        <v>6</v>
      </c>
      <c r="L296" s="30" t="s">
        <v>309</v>
      </c>
      <c r="M296" s="30" t="s">
        <v>32</v>
      </c>
      <c r="N296" s="30">
        <v>34.299999999999997</v>
      </c>
      <c r="O296" s="30">
        <f>N296+N298</f>
        <v>59.3</v>
      </c>
      <c r="P296" s="30">
        <f>N297</f>
        <v>22.3</v>
      </c>
    </row>
    <row r="297" spans="1:16" hidden="1" x14ac:dyDescent="0.35">
      <c r="A297" s="21" t="s">
        <v>289</v>
      </c>
      <c r="B297" s="21" t="s">
        <v>307</v>
      </c>
      <c r="C297" s="21">
        <v>1999</v>
      </c>
      <c r="D297" s="21" t="s">
        <v>47</v>
      </c>
      <c r="E297" s="21"/>
      <c r="F297" s="21"/>
      <c r="G297" s="21"/>
      <c r="H297" s="21" t="s">
        <v>311</v>
      </c>
      <c r="I297" s="21"/>
      <c r="J297" s="21" t="s">
        <v>298</v>
      </c>
      <c r="K297" s="21">
        <v>6</v>
      </c>
      <c r="L297" s="21" t="s">
        <v>294</v>
      </c>
      <c r="M297" s="21" t="s">
        <v>52</v>
      </c>
      <c r="N297" s="21">
        <v>22.3</v>
      </c>
      <c r="O297" s="21"/>
      <c r="P297" s="21"/>
    </row>
    <row r="298" spans="1:16" hidden="1" x14ac:dyDescent="0.35">
      <c r="A298" s="21" t="s">
        <v>289</v>
      </c>
      <c r="B298" s="21" t="s">
        <v>307</v>
      </c>
      <c r="C298" s="21">
        <v>1999</v>
      </c>
      <c r="D298" s="21" t="s">
        <v>47</v>
      </c>
      <c r="E298" s="21" t="s">
        <v>28</v>
      </c>
      <c r="F298" s="21"/>
      <c r="G298" s="21"/>
      <c r="H298" s="21" t="s">
        <v>311</v>
      </c>
      <c r="I298" s="21"/>
      <c r="J298" s="21" t="s">
        <v>298</v>
      </c>
      <c r="K298" s="21">
        <v>6</v>
      </c>
      <c r="L298" s="21" t="s">
        <v>295</v>
      </c>
      <c r="M298" s="21" t="s">
        <v>296</v>
      </c>
      <c r="N298" s="21">
        <v>25</v>
      </c>
      <c r="O298" s="21"/>
      <c r="P298" s="21"/>
    </row>
    <row r="299" spans="1:16" hidden="1" x14ac:dyDescent="0.35">
      <c r="A299" s="21" t="s">
        <v>289</v>
      </c>
      <c r="B299" s="21" t="s">
        <v>307</v>
      </c>
      <c r="C299" s="21">
        <v>1999</v>
      </c>
      <c r="D299" s="21" t="s">
        <v>47</v>
      </c>
      <c r="E299" s="21"/>
      <c r="F299" s="21"/>
      <c r="G299" s="21"/>
      <c r="H299" s="21" t="s">
        <v>311</v>
      </c>
      <c r="I299" s="21"/>
      <c r="J299" s="21" t="s">
        <v>298</v>
      </c>
      <c r="K299" s="21">
        <v>6</v>
      </c>
      <c r="L299" s="21" t="s">
        <v>312</v>
      </c>
      <c r="M299" s="21" t="s">
        <v>313</v>
      </c>
      <c r="N299" s="21">
        <v>18.399999999999999</v>
      </c>
      <c r="O299" s="21"/>
      <c r="P299" s="21"/>
    </row>
    <row r="300" spans="1:16" hidden="1" x14ac:dyDescent="0.35">
      <c r="A300" t="s">
        <v>289</v>
      </c>
      <c r="B300" t="s">
        <v>307</v>
      </c>
      <c r="C300">
        <v>1999</v>
      </c>
      <c r="D300" t="s">
        <v>47</v>
      </c>
      <c r="H300" t="s">
        <v>311</v>
      </c>
      <c r="J300" t="s">
        <v>305</v>
      </c>
      <c r="K300">
        <v>6</v>
      </c>
      <c r="L300" t="s">
        <v>309</v>
      </c>
      <c r="M300" t="s">
        <v>32</v>
      </c>
      <c r="N300">
        <v>63.1</v>
      </c>
      <c r="O300">
        <f>N300+N302</f>
        <v>72.400000000000006</v>
      </c>
    </row>
    <row r="301" spans="1:16" hidden="1" x14ac:dyDescent="0.35">
      <c r="A301" t="s">
        <v>289</v>
      </c>
      <c r="B301" t="s">
        <v>307</v>
      </c>
      <c r="C301">
        <v>1999</v>
      </c>
      <c r="D301" t="s">
        <v>47</v>
      </c>
      <c r="H301" t="s">
        <v>311</v>
      </c>
      <c r="J301" t="s">
        <v>305</v>
      </c>
      <c r="K301">
        <v>6</v>
      </c>
      <c r="L301" t="s">
        <v>294</v>
      </c>
      <c r="M301" t="s">
        <v>52</v>
      </c>
      <c r="N301">
        <v>6.5</v>
      </c>
      <c r="P301">
        <f>N301</f>
        <v>6.5</v>
      </c>
    </row>
    <row r="302" spans="1:16" hidden="1" x14ac:dyDescent="0.35">
      <c r="A302" t="s">
        <v>289</v>
      </c>
      <c r="B302" t="s">
        <v>307</v>
      </c>
      <c r="C302">
        <v>1999</v>
      </c>
      <c r="D302" t="s">
        <v>47</v>
      </c>
      <c r="H302" t="s">
        <v>311</v>
      </c>
      <c r="J302" t="s">
        <v>305</v>
      </c>
      <c r="K302">
        <v>6</v>
      </c>
      <c r="L302" t="s">
        <v>295</v>
      </c>
      <c r="M302" t="s">
        <v>296</v>
      </c>
      <c r="N302">
        <v>9.3000000000000007</v>
      </c>
    </row>
    <row r="303" spans="1:16" hidden="1" x14ac:dyDescent="0.35">
      <c r="A303" t="s">
        <v>289</v>
      </c>
      <c r="B303" t="s">
        <v>307</v>
      </c>
      <c r="C303">
        <v>1999</v>
      </c>
      <c r="D303" t="s">
        <v>47</v>
      </c>
      <c r="H303" t="s">
        <v>311</v>
      </c>
      <c r="J303" t="s">
        <v>305</v>
      </c>
      <c r="K303">
        <v>6</v>
      </c>
      <c r="L303" t="s">
        <v>312</v>
      </c>
      <c r="M303" t="s">
        <v>313</v>
      </c>
      <c r="N303">
        <v>21.1</v>
      </c>
    </row>
  </sheetData>
  <autoFilter ref="A1:P303" xr:uid="{E4F76113-535C-4E4A-97B4-0934117A3AFB}">
    <filterColumn colId="0">
      <filters>
        <filter val="Ahamada et al. 2002"/>
      </filters>
    </filterColumn>
    <filterColumn colId="1">
      <filters>
        <filter val="Reunion"/>
      </filters>
    </filterColumn>
  </autoFilter>
  <sortState xmlns:xlrd2="http://schemas.microsoft.com/office/spreadsheetml/2017/richdata2" ref="A75:O80">
    <sortCondition ref="K75:K80"/>
    <sortCondition ref="H75:H80"/>
    <sortCondition ref="C75:C80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</vt:lpstr>
      <vt:lpstr>result tables</vt:lpstr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Obura</dc:creator>
  <cp:lastModifiedBy>Swaleh Aboud</cp:lastModifiedBy>
  <dcterms:created xsi:type="dcterms:W3CDTF">2020-01-07T06:17:30Z</dcterms:created>
  <dcterms:modified xsi:type="dcterms:W3CDTF">2024-12-05T13:08:30Z</dcterms:modified>
</cp:coreProperties>
</file>