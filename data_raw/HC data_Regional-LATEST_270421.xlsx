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filterPrivacy="1" defaultThemeVersion="124226"/>
  <xr:revisionPtr revIDLastSave="0" documentId="13_ncr:1_{6434F87E-E17A-4282-9DEC-149AA0E3F6A3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12" r:id="rId1"/>
    <sheet name="Results tables" sheetId="13" r:id="rId2"/>
    <sheet name="Regional" sheetId="11" r:id="rId3"/>
    <sheet name="List of Ref." sheetId="10" r:id="rId4"/>
  </sheets>
  <definedNames>
    <definedName name="_xlnm._FilterDatabase" localSheetId="3" hidden="1">'List of Ref.'!$A$2:$B$60</definedName>
    <definedName name="_xlnm._FilterDatabase" localSheetId="2" hidden="1">Regional!$A$1:$W$965</definedName>
  </definedNames>
  <calcPr calcId="191029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86" i="11" l="1"/>
  <c r="S85" i="11"/>
  <c r="S82" i="11"/>
  <c r="S80" i="11"/>
  <c r="P17" i="13" l="1"/>
  <c r="P18" i="13"/>
  <c r="P23" i="13"/>
  <c r="P26" i="13"/>
  <c r="P27" i="13"/>
  <c r="P19" i="13"/>
  <c r="P28" i="13"/>
  <c r="G18" i="13"/>
  <c r="G19" i="13"/>
  <c r="G20" i="13"/>
  <c r="G21" i="13"/>
  <c r="G22" i="13"/>
  <c r="G23" i="13"/>
  <c r="G24" i="13"/>
  <c r="G25" i="13"/>
  <c r="G26" i="13"/>
  <c r="G27" i="13"/>
  <c r="G28" i="13"/>
  <c r="G13" i="13"/>
  <c r="P13" i="13"/>
  <c r="P5" i="13"/>
  <c r="P4" i="13"/>
  <c r="P12" i="13"/>
  <c r="P11" i="13"/>
  <c r="P6" i="13"/>
  <c r="P8" i="13"/>
  <c r="P10" i="13"/>
  <c r="P9" i="13"/>
  <c r="P3" i="13"/>
  <c r="P7" i="13"/>
  <c r="S301" i="11"/>
  <c r="P22" i="13"/>
  <c r="P21" i="13"/>
  <c r="G17" i="13"/>
  <c r="G3" i="13"/>
  <c r="G12" i="13"/>
  <c r="G11" i="13"/>
  <c r="G10" i="13"/>
  <c r="G9" i="13"/>
  <c r="G8" i="13"/>
  <c r="G6" i="13"/>
  <c r="G5" i="13"/>
  <c r="G4" i="13"/>
  <c r="W14" i="12"/>
  <c r="O7" i="12" l="1"/>
  <c r="O8" i="12"/>
  <c r="O9" i="12"/>
  <c r="O10" i="12"/>
  <c r="O11" i="12"/>
  <c r="O12" i="12"/>
  <c r="O13" i="12"/>
  <c r="O14" i="12"/>
  <c r="O15" i="12"/>
  <c r="O6" i="12"/>
  <c r="W7" i="12"/>
  <c r="W8" i="12"/>
  <c r="W9" i="12"/>
  <c r="W11" i="12"/>
  <c r="W12" i="12"/>
  <c r="W13" i="12"/>
  <c r="W15" i="12"/>
  <c r="W6" i="12"/>
  <c r="N18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" authorId="0" shapeId="0" xr:uid="{70673AEC-136C-427F-9630-A29EEEF3DCE2}">
      <text>
        <r>
          <rPr>
            <b/>
            <sz val="9"/>
            <color rgb="FF000000"/>
            <rFont val="Tahoma"/>
            <family val="2"/>
          </rPr>
          <t>Large area of country e.g.  South-West or Southcoast or the name of an island e.g Mahe, Rodrigues, Zanzibar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K1" authorId="0" shapeId="0" xr:uid="{87A7495A-FCD9-4B90-AB2D-60660F026434}">
      <text>
        <r>
          <rPr>
            <b/>
            <sz val="9"/>
            <color rgb="FF000000"/>
            <rFont val="Tahoma"/>
            <family val="2"/>
          </rPr>
          <t>Reef zones e.g. backreef, lagoon, slope, forereef, crest, reef flat</t>
        </r>
      </text>
    </comment>
    <comment ref="O1" authorId="0" shapeId="0" xr:uid="{E2B47CFF-AE10-4458-870A-BA65B6F54CDA}">
      <text>
        <r>
          <rPr>
            <b/>
            <sz val="9"/>
            <color rgb="FF000000"/>
            <rFont val="Tahoma"/>
            <family val="2"/>
          </rPr>
          <t>See list on right for correct categories. For coral - record at genus level if possible</t>
        </r>
      </text>
    </comment>
    <comment ref="P1" authorId="0" shapeId="0" xr:uid="{EA39B7C2-4914-44AB-8530-42A7D263D2BF}">
      <text>
        <r>
          <rPr>
            <b/>
            <sz val="9"/>
            <color rgb="FF000000"/>
            <rFont val="Tahoma"/>
            <family val="2"/>
          </rPr>
          <t>See list of right for correct codes</t>
        </r>
      </text>
    </comment>
    <comment ref="Q1" authorId="0" shapeId="0" xr:uid="{11DC2836-C0CD-4CBC-9CF1-1C24A0B2DCDD}">
      <text>
        <r>
          <rPr>
            <b/>
            <sz val="9"/>
            <color rgb="FF000000"/>
            <rFont val="Tahoma"/>
            <family val="2"/>
          </rPr>
          <t>number of transects/quadrats used at station</t>
        </r>
      </text>
    </comment>
    <comment ref="E404" authorId="0" shapeId="0" xr:uid="{7CB8C998-4978-4F67-AADE-E07B991EDEC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During Bleaching</t>
        </r>
      </text>
    </comment>
    <comment ref="E423" authorId="0" shapeId="0" xr:uid="{01EDBBB5-687C-4175-88CB-C1AAF9CAFEA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During bleaching</t>
        </r>
      </text>
    </comment>
    <comment ref="E576" authorId="0" shapeId="0" xr:uid="{21C1F8FA-783B-4E98-9420-5C0F30A129B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Afte bleaching</t>
        </r>
      </text>
    </comment>
    <comment ref="E652" authorId="0" shapeId="0" xr:uid="{EA6EED96-E954-4219-90FD-D6CC661BFAF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Between January - June</t>
        </r>
      </text>
    </comment>
    <comment ref="E653" authorId="0" shapeId="0" xr:uid="{ED37C357-E536-421E-A28A-FB62EFDE3A9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Between January - June</t>
        </r>
      </text>
    </comment>
  </commentList>
</comments>
</file>

<file path=xl/sharedStrings.xml><?xml version="1.0" encoding="utf-8"?>
<sst xmlns="http://schemas.openxmlformats.org/spreadsheetml/2006/main" count="9638" uniqueCount="1003">
  <si>
    <t>#</t>
  </si>
  <si>
    <t>data source/owner</t>
  </si>
  <si>
    <t>Country</t>
  </si>
  <si>
    <t>Year</t>
  </si>
  <si>
    <t>Sector</t>
  </si>
  <si>
    <t>Site</t>
  </si>
  <si>
    <t>Station</t>
  </si>
  <si>
    <t>Zone</t>
  </si>
  <si>
    <t>Depth (m)</t>
  </si>
  <si>
    <t>Latitude</t>
  </si>
  <si>
    <t>Longitude</t>
  </si>
  <si>
    <t>Benthic category</t>
  </si>
  <si>
    <t>Benthic code</t>
  </si>
  <si>
    <t># samples</t>
  </si>
  <si>
    <t>mean cover (%)</t>
  </si>
  <si>
    <t>standard deviation</t>
  </si>
  <si>
    <t>standard error</t>
  </si>
  <si>
    <t>Kenya</t>
  </si>
  <si>
    <t>Watamu</t>
  </si>
  <si>
    <t>Coral Garden</t>
  </si>
  <si>
    <t xml:space="preserve"> Chabanet et al. 2015</t>
  </si>
  <si>
    <t>Mozambique</t>
  </si>
  <si>
    <t>Mozambique Channel</t>
  </si>
  <si>
    <t>Iles Eparses</t>
  </si>
  <si>
    <t>Europa</t>
  </si>
  <si>
    <t>Outer reef slope and reef flat</t>
  </si>
  <si>
    <t>Hard Coral</t>
  </si>
  <si>
    <t>HC</t>
  </si>
  <si>
    <r>
      <t>Chabanet, P., Bigot, L., Nicet, J. B., Durville, P., Massé, L., Mulochau, T., ... &amp; Obura, D. (2015). Coral reef monitoring in the Iles Eparses, Mozambique Channel (2011–2013). </t>
    </r>
    <r>
      <rPr>
        <i/>
        <sz val="10"/>
        <color rgb="FF222222"/>
        <rFont val="Arial"/>
        <family val="2"/>
      </rPr>
      <t>Acta Oecol</t>
    </r>
    <r>
      <rPr>
        <sz val="10"/>
        <color rgb="FF222222"/>
        <rFont val="Arial"/>
        <family val="2"/>
      </rPr>
      <t>, 1-11.</t>
    </r>
  </si>
  <si>
    <t>Soft coral</t>
  </si>
  <si>
    <t>SC</t>
  </si>
  <si>
    <t>ALG</t>
  </si>
  <si>
    <t>Calcareous alga</t>
  </si>
  <si>
    <t>Fish Biomass without shark</t>
  </si>
  <si>
    <t>Glorieuses</t>
  </si>
  <si>
    <t>Outer reef slope, forereef and deep terrace</t>
  </si>
  <si>
    <t>Juan de Nova</t>
  </si>
  <si>
    <t>Outer reef slopes &amp; shallow lagoonal terraces</t>
  </si>
  <si>
    <t>Bassas de India</t>
  </si>
  <si>
    <t>explored only the protected part of the atoll, and hard coral diversity was not measured.</t>
  </si>
  <si>
    <t>Tanzania</t>
  </si>
  <si>
    <r>
      <t>Bergman, K. C., &amp; Öhman, M. C. (2001, June). Coral reef structure at Zanzibar Island, Tanzania. In </t>
    </r>
    <r>
      <rPr>
        <i/>
        <sz val="10"/>
        <color rgb="FF222222"/>
        <rFont val="Arial"/>
        <family val="2"/>
      </rPr>
      <t>Marine Science Development in Tanzania and Eastern Africa Proceedings of the 20th Anniversary Conference on Advances in Marine Sciences in Tanzania</t>
    </r>
    <r>
      <rPr>
        <sz val="10"/>
        <color rgb="FF222222"/>
        <rFont val="Arial"/>
        <family val="2"/>
      </rPr>
      <t> (pp. 263-275).</t>
    </r>
  </si>
  <si>
    <t>RDC</t>
  </si>
  <si>
    <t>UNID</t>
  </si>
  <si>
    <t>acr</t>
  </si>
  <si>
    <t>Acropora</t>
  </si>
  <si>
    <t>mtp</t>
  </si>
  <si>
    <t>Montipora</t>
  </si>
  <si>
    <t>Sin</t>
  </si>
  <si>
    <t>Sinularia</t>
  </si>
  <si>
    <t>Lobophytum</t>
  </si>
  <si>
    <t>Bawe</t>
  </si>
  <si>
    <t>Chumbe</t>
  </si>
  <si>
    <t>Pereira, Louro and Fernandes 2018</t>
  </si>
  <si>
    <t>Ponta do Ouro Partial Marine Reserve</t>
  </si>
  <si>
    <t>Creche</t>
  </si>
  <si>
    <t>Offshore, subtidal patch reef</t>
  </si>
  <si>
    <t>10 - 14</t>
  </si>
  <si>
    <r>
      <t>S26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48.371</t>
    </r>
  </si>
  <si>
    <t>E32° 53.622</t>
  </si>
  <si>
    <t>Pereira, M.A.M., C.M.M. Louro &amp; R.S. Fernandes (2019). Reef monitoring in the Ponta do Ouro Partial Marine Reserve: 2018, 15 pp. Maputo, CTV.</t>
  </si>
  <si>
    <t>Soft Coral</t>
  </si>
  <si>
    <t xml:space="preserve">SC </t>
  </si>
  <si>
    <t>Dead coral with algae</t>
  </si>
  <si>
    <t>Recently dead coral</t>
  </si>
  <si>
    <t>Kev’s Ledge</t>
  </si>
  <si>
    <t>18 - 24</t>
  </si>
  <si>
    <t>S26° 46.673</t>
  </si>
  <si>
    <t>E32° 54.268</t>
  </si>
  <si>
    <t>Techobanine 1</t>
  </si>
  <si>
    <t>16 - 20</t>
  </si>
  <si>
    <t>S26° 37.770</t>
  </si>
  <si>
    <t>E32° 54.736</t>
  </si>
  <si>
    <t>Techobanine 2</t>
  </si>
  <si>
    <t>18 - 22</t>
  </si>
  <si>
    <t>S26° 37.806</t>
  </si>
  <si>
    <t>E32° 54.873</t>
  </si>
  <si>
    <t>Texas</t>
  </si>
  <si>
    <t>12 - 18</t>
  </si>
  <si>
    <t>S26° 46.275</t>
  </si>
  <si>
    <t>E32° 54.105</t>
  </si>
  <si>
    <t>Centro Terra Viva (CTV)</t>
  </si>
  <si>
    <t>Quirimbas National Park</t>
  </si>
  <si>
    <t>Rolas</t>
  </si>
  <si>
    <t>Fringing Reef</t>
  </si>
  <si>
    <t>6-8</t>
  </si>
  <si>
    <t>S12 09.167</t>
  </si>
  <si>
    <t>E40 33.402</t>
  </si>
  <si>
    <t>Louro, C. M. M., M. A. M Pereira, C. Litulo, R. S. Fernandes &amp; T. I. F. C. Pereira (2018). Investigação e monitoria de espécies e ecossistemas nas áreas de conservação marinhas em Moçambique: Parque Nacional das Quirimbas 2017, 38 pp. Maputo, Centro Terra Viva.</t>
  </si>
  <si>
    <t>Unidentify coral</t>
  </si>
  <si>
    <t>Ibo inner</t>
  </si>
  <si>
    <t>Sheltered Fringing Reef</t>
  </si>
  <si>
    <t>3-5</t>
  </si>
  <si>
    <t>S12 18.606</t>
  </si>
  <si>
    <t>E40 35.758</t>
  </si>
  <si>
    <t>Canal de Sencar</t>
  </si>
  <si>
    <t>Fringing Reef to Long channel between Sencar and Quilálea</t>
  </si>
  <si>
    <t>4-6</t>
  </si>
  <si>
    <t>S12 29.318</t>
  </si>
  <si>
    <t>E40 37.246</t>
  </si>
  <si>
    <t>Mefunvo 4</t>
  </si>
  <si>
    <t>Full Sheltered Fringing Reef</t>
  </si>
  <si>
    <t>1-4</t>
  </si>
  <si>
    <t>S12 33.938</t>
  </si>
  <si>
    <t>E40 34.662</t>
  </si>
  <si>
    <t>Pomene National Reserve</t>
  </si>
  <si>
    <t>Eastern slope</t>
  </si>
  <si>
    <t>7-15</t>
  </si>
  <si>
    <t>S22 45.873</t>
  </si>
  <si>
    <t>E35 34.885</t>
  </si>
  <si>
    <t>Flat reef</t>
  </si>
  <si>
    <t>7-9</t>
  </si>
  <si>
    <t>S22 45.964</t>
  </si>
  <si>
    <t>E35 34.866</t>
  </si>
  <si>
    <t>Spur and groove</t>
  </si>
  <si>
    <t>8-12</t>
  </si>
  <si>
    <t>S22 46.038</t>
  </si>
  <si>
    <t>E35 34.900</t>
  </si>
  <si>
    <t>Top of the Reef</t>
  </si>
  <si>
    <t>S22 45.929</t>
  </si>
  <si>
    <t>E35 34.877</t>
  </si>
  <si>
    <t xml:space="preserve"> QUOD and BIGOT 2000</t>
  </si>
  <si>
    <t>Comoros</t>
  </si>
  <si>
    <t xml:space="preserve"> North-West Mitsamiouli Reef</t>
  </si>
  <si>
    <t>Mitsamiouli</t>
  </si>
  <si>
    <t xml:space="preserve">Fringing reef </t>
  </si>
  <si>
    <t>1 inner</t>
  </si>
  <si>
    <t>Live coral</t>
  </si>
  <si>
    <r>
      <t>Quod, J. P., &amp; Bigot, L. (2000). Coral bleaching in the Indian Ocean islands: Ecological consequences and recovery in Madagascar, Comoros, Mayotte and Reunion. </t>
    </r>
    <r>
      <rPr>
        <i/>
        <sz val="10"/>
        <color rgb="FF222222"/>
        <rFont val="Arial"/>
        <family val="2"/>
      </rPr>
      <t>Coral reef degradation in the Indian Ocean</t>
    </r>
    <r>
      <rPr>
        <sz val="10"/>
        <color rgb="FF222222"/>
        <rFont val="Arial"/>
        <family val="2"/>
      </rPr>
      <t>, 108-113.</t>
    </r>
  </si>
  <si>
    <t>Bleached coral</t>
  </si>
  <si>
    <t xml:space="preserve">Algae </t>
  </si>
  <si>
    <t xml:space="preserve"> Mohéli island </t>
  </si>
  <si>
    <t>Itsamia</t>
  </si>
  <si>
    <t xml:space="preserve">12°21’56’’ S </t>
  </si>
  <si>
    <t xml:space="preserve">43°52’22’’ E </t>
  </si>
  <si>
    <t>Madagascar</t>
  </si>
  <si>
    <t xml:space="preserve"> south-western region of Toliara</t>
  </si>
  <si>
    <t>Ifaty</t>
  </si>
  <si>
    <t>Barrier outer slope</t>
  </si>
  <si>
    <t>8 outer</t>
  </si>
  <si>
    <t>23°09’41’’ S</t>
  </si>
  <si>
    <t xml:space="preserve">43°34’66’’ E </t>
  </si>
  <si>
    <t>Nosy Ve</t>
  </si>
  <si>
    <t>Outer slope</t>
  </si>
  <si>
    <t xml:space="preserve">23°38’35’’ S </t>
  </si>
  <si>
    <t xml:space="preserve"> 43°36’16’’ E </t>
  </si>
  <si>
    <t>Harding &amp; Randriamanantsoa 2008</t>
  </si>
  <si>
    <t>2005/2006</t>
  </si>
  <si>
    <t>Sahamalaza National Park</t>
  </si>
  <si>
    <t>Sahamalaza</t>
  </si>
  <si>
    <t>offshore submerged barrier reefs</t>
  </si>
  <si>
    <t>11-13</t>
  </si>
  <si>
    <r>
      <t>Harding, S. I. M. O. N., &amp; Randriamanantsoa, B. E. M. A. H. A. F. A. L. Y. (2008). Coral reef monitoring in marine reserves of northern Madagascar. </t>
    </r>
    <r>
      <rPr>
        <i/>
        <sz val="10"/>
        <color rgb="FF222222"/>
        <rFont val="Arial"/>
        <family val="2"/>
      </rPr>
      <t>Ten years after bleaching–facing the consequences of climate change in the Indian Ocean. CORDIO Status Report</t>
    </r>
    <r>
      <rPr>
        <sz val="10"/>
        <color rgb="FF222222"/>
        <rFont val="Arial"/>
        <family val="2"/>
      </rPr>
      <t>, 93-106.</t>
    </r>
  </si>
  <si>
    <t>National Marine Parks at Masoala</t>
  </si>
  <si>
    <t>Tanjona</t>
  </si>
  <si>
    <t>seaward spur and groove and fringing and patch reef</t>
  </si>
  <si>
    <t>5 - 10</t>
  </si>
  <si>
    <t>4 - 5</t>
  </si>
  <si>
    <t>Cap Masoala</t>
  </si>
  <si>
    <t>Tampolo</t>
  </si>
  <si>
    <t>National Marine Parks at Mananara</t>
  </si>
  <si>
    <t>Mananara</t>
  </si>
  <si>
    <t>8 - 12</t>
  </si>
  <si>
    <t xml:space="preserve">Mananara </t>
  </si>
  <si>
    <r>
      <t>Garpe, K. C., &amp; Öhman, M. C. (2003). Coral and fish distribution patterns in Mafia Island Marine Park, Tanzania: fish–habitat interactions. </t>
    </r>
    <r>
      <rPr>
        <i/>
        <sz val="10"/>
        <color rgb="FF222222"/>
        <rFont val="Arial"/>
        <family val="2"/>
      </rPr>
      <t>Hydrobiologia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498</t>
    </r>
    <r>
      <rPr>
        <sz val="10"/>
        <color rgb="FF222222"/>
        <rFont val="Arial"/>
        <family val="2"/>
      </rPr>
      <t>(1-3), 191-211.</t>
    </r>
  </si>
  <si>
    <t>Spencer et al. 2000</t>
  </si>
  <si>
    <t>Sychelles</t>
  </si>
  <si>
    <t>Southern Sychelles</t>
  </si>
  <si>
    <t>Alphonse Atoll</t>
  </si>
  <si>
    <t>15</t>
  </si>
  <si>
    <t>9°0'S</t>
  </si>
  <si>
    <t>52°45'E</t>
  </si>
  <si>
    <t>Coral cover</t>
  </si>
  <si>
    <t>-</t>
  </si>
  <si>
    <r>
      <t>Spencer, T., Teleki, K. A., Bradshaw, C., &amp; Spalding, M. D. (2000). Coral bleaching in the southern Seychelles during the 1997–1998 Indian Ocean warm event. </t>
    </r>
    <r>
      <rPr>
        <i/>
        <sz val="10"/>
        <color rgb="FF222222"/>
        <rFont val="Arial"/>
        <family val="2"/>
      </rPr>
      <t>Marine Pollution Bulletin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40</t>
    </r>
    <r>
      <rPr>
        <sz val="10"/>
        <color rgb="FF222222"/>
        <rFont val="Arial"/>
        <family val="2"/>
      </rPr>
      <t>(7), 569-586.</t>
    </r>
  </si>
  <si>
    <t>Ubleached Coral</t>
  </si>
  <si>
    <t>St Pierre</t>
  </si>
  <si>
    <t>9°190'S</t>
  </si>
  <si>
    <t>50°43'E</t>
  </si>
  <si>
    <t>Island of Providence</t>
  </si>
  <si>
    <t>Cerf islands</t>
  </si>
  <si>
    <t>9°15'S</t>
  </si>
  <si>
    <t>51°E</t>
  </si>
  <si>
    <t>Aldabra Atoll</t>
  </si>
  <si>
    <t>9°24'S</t>
  </si>
  <si>
    <t>46°20'E</t>
  </si>
  <si>
    <t>Spalding &amp; Jarvis 2002</t>
  </si>
  <si>
    <t>Granitic Seychelles</t>
  </si>
  <si>
    <t>Fringing structure</t>
  </si>
  <si>
    <r>
      <t>Spalding, M. D., &amp; Jarvis, G. E. (2002). The impact of the 1998 coral mortality on reef fish communities in the Seychelles. </t>
    </r>
    <r>
      <rPr>
        <i/>
        <sz val="10"/>
        <color rgb="FF222222"/>
        <rFont val="Arial"/>
        <family val="2"/>
      </rPr>
      <t>Marine Pollution Bulletin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44</t>
    </r>
    <r>
      <rPr>
        <sz val="10"/>
        <color rgb="FF222222"/>
        <rFont val="Arial"/>
        <family val="2"/>
      </rPr>
      <t>(4), 309-321.</t>
    </r>
  </si>
  <si>
    <t>Corraline Algae</t>
  </si>
  <si>
    <t>North St Pierre</t>
  </si>
  <si>
    <t>South St Pierre</t>
  </si>
  <si>
    <t>Ahamada et al. 2002</t>
  </si>
  <si>
    <t>Mitsamiouli - Grande Comore</t>
  </si>
  <si>
    <t>Trou du Prophète</t>
  </si>
  <si>
    <t>Reef Flat</t>
  </si>
  <si>
    <r>
      <t>Ahamada, S., Bigot, L., Bijoux, J., Maharavo, J., Meunier, S., Moyne-Picard, M., &amp; Paupiah, N. (2002). Status of coral reefs in the south west Indian Ocean island node: Comoros, Madagascar, Mauritius, Reunion and Seychelles. </t>
    </r>
    <r>
      <rPr>
        <i/>
        <sz val="10"/>
        <color rgb="FF222222"/>
        <rFont val="Arial"/>
        <family val="2"/>
      </rPr>
      <t>Status of the coral reefs of the world. Australian Institute of Marine Science, Townsville</t>
    </r>
    <r>
      <rPr>
        <sz val="10"/>
        <color rgb="FF222222"/>
        <rFont val="Arial"/>
        <family val="2"/>
      </rPr>
      <t>, 79-100.</t>
    </r>
  </si>
  <si>
    <t>Outer Slope</t>
  </si>
  <si>
    <t>Itsamia - Moheli</t>
  </si>
  <si>
    <t>Nioumachoi - Moheli</t>
  </si>
  <si>
    <t>Candzoni</t>
  </si>
  <si>
    <t>Mea</t>
  </si>
  <si>
    <t>North West - Nosy Be</t>
  </si>
  <si>
    <t>Dzamandjar</t>
  </si>
  <si>
    <t>West – Belo/Mer</t>
  </si>
  <si>
    <t>Belo</t>
  </si>
  <si>
    <t>East - Foulpointe</t>
  </si>
  <si>
    <t>Foulpointe</t>
  </si>
  <si>
    <t>South West - Tulear</t>
  </si>
  <si>
    <t>Mauritius</t>
  </si>
  <si>
    <t>Nord Ouest</t>
  </si>
  <si>
    <t>Trou aux Biches</t>
  </si>
  <si>
    <t>Sud Est</t>
  </si>
  <si>
    <t>Bambou Virieux</t>
  </si>
  <si>
    <t>Back Reef Flat</t>
  </si>
  <si>
    <t>Shore Reef Flat</t>
  </si>
  <si>
    <t>Riviere Banane</t>
  </si>
  <si>
    <t>Rivière banane</t>
  </si>
  <si>
    <t>Passe Armand</t>
  </si>
  <si>
    <t>Reunion</t>
  </si>
  <si>
    <t>St Gilles</t>
  </si>
  <si>
    <t>Toboggan / Planch</t>
  </si>
  <si>
    <t>St Leu</t>
  </si>
  <si>
    <t>Corne Nord / Varangue</t>
  </si>
  <si>
    <t>Etang Sale</t>
  </si>
  <si>
    <t>Bassin Pirogue</t>
  </si>
  <si>
    <t>Ravine Blanche</t>
  </si>
  <si>
    <t>Mahe - Bay Ternay</t>
  </si>
  <si>
    <t>Middle reef</t>
  </si>
  <si>
    <t>Silhouette Island</t>
  </si>
  <si>
    <t>Silhouette</t>
  </si>
  <si>
    <t>Mahe - Ste Anne</t>
  </si>
  <si>
    <t>Ile aux Cerf</t>
  </si>
  <si>
    <t>Curieuse Island</t>
  </si>
  <si>
    <t>Anse Papaie</t>
  </si>
  <si>
    <t>Alphonse Island</t>
  </si>
  <si>
    <t>Oasis 1</t>
  </si>
  <si>
    <t>Chabanet et al. 1997</t>
  </si>
  <si>
    <t>1991/1992</t>
  </si>
  <si>
    <t>Reunion Island</t>
  </si>
  <si>
    <t>St-Gilles/La Saline reef complex</t>
  </si>
  <si>
    <t>21°07 S</t>
  </si>
  <si>
    <t>55°32 E</t>
  </si>
  <si>
    <t>live coral</t>
  </si>
  <si>
    <r>
      <t>Chabanet, P., Ralambondrainy, H., Amanieu, M., Faure, G., &amp; Galzin, R. (1997). Relationships between coral reef substrata and fish. </t>
    </r>
    <r>
      <rPr>
        <i/>
        <sz val="10"/>
        <color rgb="FF222222"/>
        <rFont val="Arial"/>
        <family val="2"/>
      </rPr>
      <t>Coral reefs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16</t>
    </r>
    <r>
      <rPr>
        <sz val="10"/>
        <color rgb="FF222222"/>
        <rFont val="Arial"/>
        <family val="2"/>
      </rPr>
      <t>(2), 93-102.</t>
    </r>
  </si>
  <si>
    <t>algae</t>
  </si>
  <si>
    <t>branching coral</t>
  </si>
  <si>
    <t>massive coral</t>
  </si>
  <si>
    <t>encrusting coral</t>
  </si>
  <si>
    <r>
      <t>Bergman, K. C., Öhman, M. C., &amp; Svensson, S. (2000). Influence of habitat structure on Pomacentrus sulfureus, a western Indian Ocean reef fish. </t>
    </r>
    <r>
      <rPr>
        <i/>
        <sz val="10"/>
        <color rgb="FF222222"/>
        <rFont val="Arial"/>
        <family val="2"/>
      </rPr>
      <t>Environmental Biology of Fishes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59</t>
    </r>
    <r>
      <rPr>
        <sz val="10"/>
        <color rgb="FF222222"/>
        <rFont val="Arial"/>
        <family val="2"/>
      </rPr>
      <t>(3), 243-252.</t>
    </r>
  </si>
  <si>
    <t>Chabanet et al. 2002</t>
  </si>
  <si>
    <t>Toboggan</t>
  </si>
  <si>
    <r>
      <t>Chabanet, P., Bigot, L., Naim, O., Garnier, R., Tessier, E., &amp; Moyne-Picard, M. (2002). Coral reef monitoring at Reunion island(Western Indian Ocean) using the GCRMN method. In </t>
    </r>
    <r>
      <rPr>
        <i/>
        <sz val="10"/>
        <color rgb="FF222222"/>
        <rFont val="Arial"/>
        <family val="2"/>
      </rPr>
      <t>Proceedings of the Ninth International Coral Reef Symposium, Bali, 23-27 October 2000,</t>
    </r>
    <r>
      <rPr>
        <sz val="10"/>
        <color rgb="FF222222"/>
        <rFont val="Arial"/>
        <family val="2"/>
      </rPr>
      <t> (Vol. 2, pp. 873-878).</t>
    </r>
  </si>
  <si>
    <t>Other corals</t>
  </si>
  <si>
    <t>Algae</t>
  </si>
  <si>
    <t>Outer reef slope</t>
  </si>
  <si>
    <t>Planch'Alizés</t>
  </si>
  <si>
    <t>St-Leu reef</t>
  </si>
  <si>
    <t>Varangue</t>
  </si>
  <si>
    <t>Corne Nord</t>
  </si>
  <si>
    <t>McClanahan &amp; Obura 1995</t>
  </si>
  <si>
    <t>n.d</t>
  </si>
  <si>
    <t>Shallow coral reef community</t>
  </si>
  <si>
    <t xml:space="preserve">Coral  </t>
  </si>
  <si>
    <t>McClanahan, T. R., &amp; Obura, D. (1995). Status of Kenyan coral reefs.</t>
  </si>
  <si>
    <t>Coralline algae</t>
  </si>
  <si>
    <t>Malindi</t>
  </si>
  <si>
    <t>Uku et al. 2002</t>
  </si>
  <si>
    <t>1999/2000</t>
  </si>
  <si>
    <t>Mombasa marine park and reserve</t>
  </si>
  <si>
    <t>Starfish</t>
  </si>
  <si>
    <t>Uku, J. A. C. Q. U. E. L. I. N. E., Ndirangu, S. A. M. U. E. L., &amp; Muthama, C. H. A. R. L. E. S. (2002). Trends in the distribution of macroalgae in a bleached Kenyan reef ecosystem.</t>
  </si>
  <si>
    <t>Ras Iwatine</t>
  </si>
  <si>
    <t>Stobart et al. 2005</t>
  </si>
  <si>
    <t>Aldabra</t>
  </si>
  <si>
    <r>
      <t>Stobart, B., Teleki, K., Buckley, R., Downing, N., &amp; Callow, M. (2005). Coral recovery at Aldabra Atoll, Seychelles: five years after the 1998 bleaching event. </t>
    </r>
    <r>
      <rPr>
        <i/>
        <sz val="10"/>
        <color rgb="FF222222"/>
        <rFont val="Arial"/>
        <family val="2"/>
      </rPr>
      <t>Philosophical Transactions of the Royal Society A: Mathematical, Physical and Engineering Sciences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363</t>
    </r>
    <r>
      <rPr>
        <sz val="10"/>
        <color rgb="FF222222"/>
        <rFont val="Arial"/>
        <family val="2"/>
      </rPr>
      <t>(1826), 251-255.</t>
    </r>
  </si>
  <si>
    <t>McClanahan et al. 2001</t>
  </si>
  <si>
    <t>Malindi/Watamu/Mombasa/Kisite MNPs</t>
  </si>
  <si>
    <t>Unspecified 9 sites (protected)</t>
  </si>
  <si>
    <t>Shallow fringing reef back reef lagoon</t>
  </si>
  <si>
    <r>
      <t>McClanahan, T., Muthiga, N., &amp; Mangi, S. (2001). Coral and algal changes after the 1998 coral bleaching: interaction with reef management and herbivores on Kenyan reefs. </t>
    </r>
    <r>
      <rPr>
        <i/>
        <sz val="10"/>
        <color rgb="FF222222"/>
        <rFont val="Arial"/>
        <family val="2"/>
      </rPr>
      <t>Coral reefs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19</t>
    </r>
    <r>
      <rPr>
        <sz val="10"/>
        <color rgb="FF222222"/>
        <rFont val="Arial"/>
        <family val="2"/>
      </rPr>
      <t>(4), 380-391.</t>
    </r>
  </si>
  <si>
    <t>Vipingo/Kanamai/Ras Iwatine/Diani non - park areas</t>
  </si>
  <si>
    <t>Unspecified 7 sites (unprotected)</t>
  </si>
  <si>
    <t>McClanahan et al. 1997</t>
  </si>
  <si>
    <t>Kinondo</t>
  </si>
  <si>
    <t xml:space="preserve">Mgwani </t>
  </si>
  <si>
    <t>Makonde</t>
  </si>
  <si>
    <r>
      <t>McClanahan, T. R., Glaesel, H., Rubens, J., &amp; Kiambo, R. (1997). The effects of traditional fisheries management on fisheries yields and the coral-reef ecosystems of southern Kenya. </t>
    </r>
    <r>
      <rPr>
        <i/>
        <sz val="10"/>
        <color rgb="FF222222"/>
        <rFont val="Arial"/>
        <family val="2"/>
      </rPr>
      <t>Environmental Conservation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24</t>
    </r>
    <r>
      <rPr>
        <sz val="10"/>
        <color rgb="FF222222"/>
        <rFont val="Arial"/>
        <family val="2"/>
      </rPr>
      <t>(2), 105-120.</t>
    </r>
  </si>
  <si>
    <t>Mwarombo</t>
  </si>
  <si>
    <t>Moana</t>
  </si>
  <si>
    <t>Galu</t>
  </si>
  <si>
    <t>Mvuleni</t>
  </si>
  <si>
    <t>Meca</t>
  </si>
  <si>
    <t>Kijamba</t>
  </si>
  <si>
    <t>Jordan &amp; Samways 2001</t>
  </si>
  <si>
    <t>South Africa</t>
  </si>
  <si>
    <t xml:space="preserve"> Maputaland coastline </t>
  </si>
  <si>
    <t>KwaZulu - Natal</t>
  </si>
  <si>
    <t xml:space="preserve">27◦54'S </t>
  </si>
  <si>
    <r>
      <t>Jordan, I. E., &amp; Samways, M. J. (2001). Recent changes in coral assemblages of a South African coral reef, with recommendations for long-term monitoring. </t>
    </r>
    <r>
      <rPr>
        <i/>
        <sz val="10"/>
        <color rgb="FF222222"/>
        <rFont val="Arial"/>
        <family val="2"/>
      </rPr>
      <t>Biodiversity &amp; Conservation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10</t>
    </r>
    <r>
      <rPr>
        <sz val="10"/>
        <color rgb="FF222222"/>
        <rFont val="Arial"/>
        <family val="2"/>
      </rPr>
      <t>(7), 1027-1037.</t>
    </r>
  </si>
  <si>
    <t>Schleyer &amp; Celliers 2003</t>
  </si>
  <si>
    <t>SodwanaBay</t>
  </si>
  <si>
    <t xml:space="preserve">Two-mile Reef (TMR) </t>
  </si>
  <si>
    <t>10 - 19</t>
  </si>
  <si>
    <r>
      <t>Schleyer, M. H., &amp; Celliers, L. (2003). Coral dominance at the reef–sediment interface in marginal coral communities at Sodwana Bay, South Africa. </t>
    </r>
    <r>
      <rPr>
        <i/>
        <sz val="10"/>
        <color rgb="FF222222"/>
        <rFont val="Arial"/>
        <family val="2"/>
      </rPr>
      <t>Marine and Freshwater Research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54</t>
    </r>
    <r>
      <rPr>
        <sz val="10"/>
        <color rgb="FF222222"/>
        <rFont val="Arial"/>
        <family val="2"/>
      </rPr>
      <t>(8), 967-972.</t>
    </r>
  </si>
  <si>
    <t>Nine-mile Reef (NMR)</t>
  </si>
  <si>
    <t>14 - 17</t>
  </si>
  <si>
    <t>Riegl et al. 1995</t>
  </si>
  <si>
    <t xml:space="preserve"> Maputaland coastline - Norher Natal</t>
  </si>
  <si>
    <t>Northern Reef complex</t>
  </si>
  <si>
    <t xml:space="preserve"> Kosi </t>
  </si>
  <si>
    <t>9 - 35</t>
  </si>
  <si>
    <t>5 - 7</t>
  </si>
  <si>
    <r>
      <t>Riegl, B., Schleyer, M. H., Cook, P. J., &amp; Branch, G. M. (1995). Structure of Africa's southernmost coral communities. </t>
    </r>
    <r>
      <rPr>
        <i/>
        <sz val="10"/>
        <color rgb="FF222222"/>
        <rFont val="Arial"/>
        <family val="2"/>
      </rPr>
      <t>Bulletin of Marine Science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56</t>
    </r>
    <r>
      <rPr>
        <sz val="10"/>
        <color rgb="FF222222"/>
        <rFont val="Arial"/>
        <family val="2"/>
      </rPr>
      <t>(2), 676-691.</t>
    </r>
  </si>
  <si>
    <t>Faviidae</t>
  </si>
  <si>
    <t>Central Reef complex</t>
  </si>
  <si>
    <t xml:space="preserve">9·Mile </t>
  </si>
  <si>
    <t xml:space="preserve"> 4-Mile </t>
  </si>
  <si>
    <t xml:space="preserve"> 2-Mile </t>
  </si>
  <si>
    <t>Southern Reef complex</t>
  </si>
  <si>
    <t xml:space="preserve"> Red Sands </t>
  </si>
  <si>
    <t>Pemba</t>
  </si>
  <si>
    <t>&lt;60</t>
  </si>
  <si>
    <t>Quilalulia channel</t>
  </si>
  <si>
    <t>Sencar</t>
  </si>
  <si>
    <t>Pemba bay</t>
  </si>
  <si>
    <t>Nacala</t>
  </si>
  <si>
    <t>Fernao Veloso bay</t>
  </si>
  <si>
    <t>Angoche</t>
  </si>
  <si>
    <t>Baixo St Antonia</t>
  </si>
  <si>
    <t>Mafamede Island</t>
  </si>
  <si>
    <t>Bazaruto Island</t>
  </si>
  <si>
    <t>Inner Two-Mile Reef</t>
  </si>
  <si>
    <t>Lighthouse Reef</t>
  </si>
  <si>
    <t>Inhambane</t>
  </si>
  <si>
    <t>Mike's Cupboard</t>
  </si>
  <si>
    <t>Anchor bay</t>
  </si>
  <si>
    <t>Cabo das Correntes (Paindane)</t>
  </si>
  <si>
    <t xml:space="preserve">Inhaca Island </t>
  </si>
  <si>
    <t>Pta Torres Channel</t>
  </si>
  <si>
    <t>Pta Torres</t>
  </si>
  <si>
    <t>Barreira Vermelha</t>
  </si>
  <si>
    <t>&lt;1</t>
  </si>
  <si>
    <t>&lt;</t>
  </si>
  <si>
    <t>&lt;90</t>
  </si>
  <si>
    <t>&lt;10</t>
  </si>
  <si>
    <t>A preliminary assessment of coral bleaching in Mozambique (Schleyer et al)</t>
  </si>
  <si>
    <t>Quirimbas</t>
  </si>
  <si>
    <t>Mozambique I.</t>
  </si>
  <si>
    <t>2001/02</t>
  </si>
  <si>
    <t>Status of coral reefs in Eastern Africa, Kenya, Tanzania, Mozambique and South Africa</t>
  </si>
  <si>
    <t>Primeira and Segundas</t>
  </si>
  <si>
    <t>Fogo</t>
  </si>
  <si>
    <t>Epidendron</t>
  </si>
  <si>
    <t>Ndjovo</t>
  </si>
  <si>
    <t>Puga-Puga</t>
  </si>
  <si>
    <t>Two-Mile Reef</t>
  </si>
  <si>
    <t>Update on Coral Reef Activities in Mozambique (Pereira, Videira &amp; Costa)</t>
  </si>
  <si>
    <t>Fleshy Algae</t>
  </si>
  <si>
    <t>Ponta maunhane</t>
  </si>
  <si>
    <t xml:space="preserve">Goa Island </t>
  </si>
  <si>
    <t>Tofo, Inhambane</t>
  </si>
  <si>
    <t>&lt;30</t>
  </si>
  <si>
    <t>Coral Reef Degradation in the Indian Ocean, Status Report 2005</t>
  </si>
  <si>
    <t xml:space="preserve">Mitsamiuoli </t>
  </si>
  <si>
    <t xml:space="preserve">Itsamia </t>
  </si>
  <si>
    <t>Andavadoaka</t>
  </si>
  <si>
    <t>Patchy reefs</t>
  </si>
  <si>
    <t>barrier reefs</t>
  </si>
  <si>
    <t>fringing reefs</t>
  </si>
  <si>
    <t>Nosy Hara</t>
  </si>
  <si>
    <t>Andranjara</t>
  </si>
  <si>
    <t>Lakandava</t>
  </si>
  <si>
    <t>Nosy Valiha</t>
  </si>
  <si>
    <t>Rameza</t>
  </si>
  <si>
    <t>Toliara</t>
  </si>
  <si>
    <t>Grand Recif</t>
  </si>
  <si>
    <t>2004-2005</t>
  </si>
  <si>
    <t>No. of Site</t>
  </si>
  <si>
    <t>The coral reefs of Andavadoaka, southwest Madagascar</t>
  </si>
  <si>
    <t>Coral reef resilience assessment of the Nosy Hara Marine Protected area, Northwest Madagascar</t>
  </si>
  <si>
    <t>WWF baseline surveys, 2006 and 2007</t>
  </si>
  <si>
    <t>WWF baseline surveys, 2006 and 2008</t>
  </si>
  <si>
    <t>WWF baseline surveys, 2006 and 2009</t>
  </si>
  <si>
    <t>WWF baseline surveys, 2006 and 2010</t>
  </si>
  <si>
    <t>WWF baseline surveys, 2006 and 2011</t>
  </si>
  <si>
    <t>WWF baseline surveys, 2006 and 2012</t>
  </si>
  <si>
    <t>WWF baseline surveys, 2006 and 2013</t>
  </si>
  <si>
    <t>WWF baseline surveys, 2006 and 2014</t>
  </si>
  <si>
    <t>WWF baseline surveys, 2006 and 2015</t>
  </si>
  <si>
    <t>Rodrigues</t>
  </si>
  <si>
    <t>Reunion flat</t>
  </si>
  <si>
    <t>Reunion slope</t>
  </si>
  <si>
    <t>Pre 1998</t>
  </si>
  <si>
    <t>Climate Warming, Marine Protected Areas and the
Ocean-Scale Integrity of Coral Reef Ecosystems</t>
  </si>
  <si>
    <t>West alphonse</t>
  </si>
  <si>
    <t>west alphonse</t>
  </si>
  <si>
    <t>St Pierre island</t>
  </si>
  <si>
    <t>North st pierre</t>
  </si>
  <si>
    <t>South st pierre</t>
  </si>
  <si>
    <t>West cousine</t>
  </si>
  <si>
    <t>Carbonate reefs</t>
  </si>
  <si>
    <t>Granite reefs</t>
  </si>
  <si>
    <t>Patch reefs</t>
  </si>
  <si>
    <t>Patch protected</t>
  </si>
  <si>
    <t>Inner Granitic islands</t>
  </si>
  <si>
    <t>pre-1998</t>
  </si>
  <si>
    <t>Coral Communities around
the Seychelles Islands 1998–2002</t>
  </si>
  <si>
    <t>Coral Communities around
the Seychelles Islands 1998–2003</t>
  </si>
  <si>
    <r>
      <t>McClanahan, T. R. (2000). Bleaching damage and recovery potential of Maldivian coral reefs. </t>
    </r>
    <r>
      <rPr>
        <i/>
        <sz val="10"/>
        <color rgb="FF222222"/>
        <rFont val="Arial"/>
        <family val="2"/>
      </rPr>
      <t>Marine Pollution Bulletin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40</t>
    </r>
    <r>
      <rPr>
        <sz val="10"/>
        <color rgb="FF222222"/>
        <rFont val="Arial"/>
        <family val="2"/>
      </rPr>
      <t>(7), 587-597.</t>
    </r>
  </si>
  <si>
    <t>Kilifi</t>
  </si>
  <si>
    <t>Kuruwitu</t>
  </si>
  <si>
    <t>Malindi Marine National Park</t>
  </si>
  <si>
    <t>Mombasa</t>
  </si>
  <si>
    <t xml:space="preserve">Mombasa </t>
  </si>
  <si>
    <t>Lamu</t>
  </si>
  <si>
    <t>Northern Kenya (&lt;3m)</t>
  </si>
  <si>
    <t>Kiunga Marine Reserve</t>
  </si>
  <si>
    <t>Vipingo</t>
  </si>
  <si>
    <t>Kanamai</t>
  </si>
  <si>
    <t>Kwale</t>
  </si>
  <si>
    <t>Diani</t>
  </si>
  <si>
    <t>Watamu Marine Park (Coral Gardens and Lambis Reef)</t>
  </si>
  <si>
    <t>Malindi Marine National Park - Coral Gardens</t>
  </si>
  <si>
    <t>Malindi Marine National Park - North Reef Edge</t>
  </si>
  <si>
    <t xml:space="preserve">Malindi </t>
  </si>
  <si>
    <t>Kisite</t>
  </si>
  <si>
    <t>Mako Kokwe</t>
  </si>
  <si>
    <t>Simambya</t>
  </si>
  <si>
    <t>Arletts</t>
  </si>
  <si>
    <t>Kiwaiyu</t>
  </si>
  <si>
    <t>Malindi / watamu marine reserve</t>
  </si>
  <si>
    <t>Mpunguti</t>
  </si>
  <si>
    <t>Kinyika</t>
  </si>
  <si>
    <t xml:space="preserve">Kilifi </t>
  </si>
  <si>
    <t>Uyombo</t>
  </si>
  <si>
    <t>Mtwapa</t>
  </si>
  <si>
    <t>Bamburi</t>
  </si>
  <si>
    <t>Leven</t>
  </si>
  <si>
    <t>Andromache</t>
  </si>
  <si>
    <t>Mwipwa</t>
  </si>
  <si>
    <t>Midjira</t>
  </si>
  <si>
    <t>Southern Kenya (protected)</t>
  </si>
  <si>
    <t>Southern Kenya (unprotected)</t>
  </si>
  <si>
    <t>1997/98</t>
  </si>
  <si>
    <t>1980s</t>
  </si>
  <si>
    <t>1990s (pre -1995)</t>
  </si>
  <si>
    <t>1988/89</t>
  </si>
  <si>
    <t>TRAINING IN CORAL REEF AND FISHERIES MONITORING FOR COMMUNITIES – PART 3 - WCS Report</t>
  </si>
  <si>
    <t>CORDIO Status report 1999</t>
  </si>
  <si>
    <t xml:space="preserve">Kenyan coral reef lagoon fish: effects of fishing, substrate complexity, and sea urchins (1994) (T McClanahan) </t>
  </si>
  <si>
    <t>CORDIO 2002 Status Report: Obura, Status of Coral reefs in East Africa</t>
  </si>
  <si>
    <t>CORDIO 2002 Status Report: Obura, Status of Coral reefs in Kiunga Marine Reserve</t>
  </si>
  <si>
    <t>Changes in Kenyan coral reef community structure and function due to exploitation</t>
  </si>
  <si>
    <t>Sedimentation effects on shallow coral communities in Kenya</t>
  </si>
  <si>
    <t>Coral and algal changes after the 1998 coral bleaching: interaction with reef management and herbivores on Kenyan reefs</t>
  </si>
  <si>
    <t>Causes and consequences of sea urchin abundance and diversity in Kenyan coral reef lagoons -McClanahan 1990</t>
  </si>
  <si>
    <t>Tanga</t>
  </si>
  <si>
    <t>Taa</t>
  </si>
  <si>
    <t>Kitanga</t>
  </si>
  <si>
    <t>Chanjale</t>
  </si>
  <si>
    <t>Chapwani</t>
  </si>
  <si>
    <t>Mnemba</t>
  </si>
  <si>
    <t>WIOMSA Report 2004:G.M. Wagner, Coral Reefs And Their Management in Tanzania</t>
  </si>
  <si>
    <t>WIOMSA Report:Christopher A.Muhando,Coral Reef Monitoring in Tanzania</t>
  </si>
  <si>
    <t>CORDIO 2000 Status Report:Obura,Status of Coral Reefs in East Africa</t>
  </si>
  <si>
    <t>CORDIO 1999 Status Report:Obura,Status of Coral Reefs in East Africa</t>
  </si>
  <si>
    <t>Status of Coral Reefs in Dar-es-Salaam Christopher Muhando,J.Francis</t>
  </si>
  <si>
    <r>
      <t>McClanahan, T. R., Muthiga, N. A., Maina, J., Kamukuru, A. T., &amp; Yahya, S. A. (2009). Changes in northern Tanzania coral reefs during a period of increased fisheries management and climatic disturbance. </t>
    </r>
    <r>
      <rPr>
        <i/>
        <sz val="10"/>
        <color rgb="FF222222"/>
        <rFont val="Arial"/>
        <family val="2"/>
      </rPr>
      <t>Aquatic Conservation: Marine and Freshwater Ecosystems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19</t>
    </r>
    <r>
      <rPr>
        <sz val="10"/>
        <color rgb="FF222222"/>
        <rFont val="Arial"/>
        <family val="2"/>
      </rPr>
      <t>(7), 758-771.</t>
    </r>
  </si>
  <si>
    <t>McClanahan et al. 2009</t>
  </si>
  <si>
    <t>Dar es Salaam</t>
  </si>
  <si>
    <t>Changuu</t>
  </si>
  <si>
    <t>Zanzibar</t>
  </si>
  <si>
    <t>After Bleaching</t>
  </si>
  <si>
    <t>Before Bleaching</t>
  </si>
  <si>
    <t>Coralline Algae</t>
  </si>
  <si>
    <t>Kisite Marine National Park</t>
  </si>
  <si>
    <r>
      <t>McClanahan, T. R., &amp; Mutere, J. C. (1994). Coral and sea urchin assemblage structure and interrelationships in Kenyan reef lagoons. </t>
    </r>
    <r>
      <rPr>
        <i/>
        <sz val="10"/>
        <color rgb="FF222222"/>
        <rFont val="Arial"/>
        <family val="2"/>
      </rPr>
      <t>Hydrobiologia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286</t>
    </r>
    <r>
      <rPr>
        <sz val="10"/>
        <color rgb="FF222222"/>
        <rFont val="Arial"/>
        <family val="2"/>
      </rPr>
      <t>(2), 109-124.</t>
    </r>
  </si>
  <si>
    <t>McClanahan &amp; Mutere 1994</t>
  </si>
  <si>
    <r>
      <t>McClanahan, T. R., Ateweberhan, M., Muhando, C. A., Maina, J., &amp; Mohammed, M. S. (2007). Effects of climate and seawater temperature variation on coral bleaching and mortality. </t>
    </r>
    <r>
      <rPr>
        <i/>
        <sz val="10"/>
        <color rgb="FF222222"/>
        <rFont val="Arial"/>
        <family val="2"/>
      </rPr>
      <t>Ecological Monographs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77</t>
    </r>
    <r>
      <rPr>
        <sz val="10"/>
        <color rgb="FF222222"/>
        <rFont val="Arial"/>
        <family val="2"/>
      </rPr>
      <t>(4), 503-525.</t>
    </r>
  </si>
  <si>
    <t>McClanahan et al. 2007</t>
  </si>
  <si>
    <t xml:space="preserve">Ras Iwatine </t>
  </si>
  <si>
    <t xml:space="preserve">Mnazi Bay </t>
  </si>
  <si>
    <t xml:space="preserve">Cha Kati </t>
  </si>
  <si>
    <t>Misali 3</t>
  </si>
  <si>
    <t>Misali 1</t>
  </si>
  <si>
    <t>Misali 2</t>
  </si>
  <si>
    <t xml:space="preserve">Songo songo </t>
  </si>
  <si>
    <t>Amana</t>
  </si>
  <si>
    <t>Jewe</t>
  </si>
  <si>
    <t>Upangu</t>
  </si>
  <si>
    <t xml:space="preserve">Unguja </t>
  </si>
  <si>
    <r>
      <t>Graham, N. A., McClanahan, T. R., MacNeil, M. A., Wilson, S. K., Polunin, N. V., Jennings, S., ... &amp; Bigot, L. (2008). Climate warming, marine protected areas and the ocean-scale integrity of coral reef ecosystems. </t>
    </r>
    <r>
      <rPr>
        <i/>
        <sz val="10"/>
        <color rgb="FF222222"/>
        <rFont val="Arial"/>
        <family val="2"/>
      </rPr>
      <t>PLoS one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3</t>
    </r>
    <r>
      <rPr>
        <sz val="10"/>
        <color rgb="FF222222"/>
        <rFont val="Arial"/>
        <family val="2"/>
      </rPr>
      <t>(8), e3039.</t>
    </r>
  </si>
  <si>
    <t>Graham et al. (2008)</t>
  </si>
  <si>
    <t>mid - 1990s</t>
  </si>
  <si>
    <t>Carbonate Reefs</t>
  </si>
  <si>
    <t>Carbonate Protected</t>
  </si>
  <si>
    <t>Granite Reefs</t>
  </si>
  <si>
    <t>Granite Protected</t>
  </si>
  <si>
    <t>Patch Reefs</t>
  </si>
  <si>
    <t>Patch Protected</t>
  </si>
  <si>
    <t>Fished Areas</t>
  </si>
  <si>
    <t>Protected Areas</t>
  </si>
  <si>
    <t>Dar</t>
  </si>
  <si>
    <t>Zanzibar Protected</t>
  </si>
  <si>
    <t>Mafia island protected</t>
  </si>
  <si>
    <t>Reunion Flat</t>
  </si>
  <si>
    <t>Reunion Slope</t>
  </si>
  <si>
    <r>
      <t>McClanahan, T. R., &amp; Shafir, S. H. (1990). Causes and consequences of sea urchin abundance and diversity in Kenyan coral reef lagoons. </t>
    </r>
    <r>
      <rPr>
        <i/>
        <sz val="10"/>
        <color rgb="FF222222"/>
        <rFont val="Arial"/>
        <family val="2"/>
      </rPr>
      <t>Oecologia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83</t>
    </r>
    <r>
      <rPr>
        <sz val="10"/>
        <color rgb="FF222222"/>
        <rFont val="Arial"/>
        <family val="2"/>
      </rPr>
      <t>(3), 362-370.</t>
    </r>
  </si>
  <si>
    <t>McClanahan &amp; Shafir 1990</t>
  </si>
  <si>
    <r>
      <t>McClanahan, T. R., &amp; Arthur, R. (2001). The effect of marine reserves and habitat on populations of East African coral reef fishes. </t>
    </r>
    <r>
      <rPr>
        <i/>
        <sz val="10"/>
        <color rgb="FF222222"/>
        <rFont val="Arial"/>
        <family val="2"/>
      </rPr>
      <t>Ecological Applications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11</t>
    </r>
    <r>
      <rPr>
        <sz val="10"/>
        <color rgb="FF222222"/>
        <rFont val="Arial"/>
        <family val="2"/>
      </rPr>
      <t>(2), 559-569.</t>
    </r>
  </si>
  <si>
    <t>McClanahan &amp; Arthur 2001</t>
  </si>
  <si>
    <t>Fishing Areas</t>
  </si>
  <si>
    <t>fringing reef</t>
  </si>
  <si>
    <t>patch or rock island reefs</t>
  </si>
  <si>
    <t>0.5–3.0 m</t>
  </si>
  <si>
    <t>McClanahan 1994</t>
  </si>
  <si>
    <t xml:space="preserve"> shallow lagoonal areas </t>
  </si>
  <si>
    <r>
      <t>McClanahan, T. R. (1994). Kenyan coral reef lagoon fish: effects of fishing, substrate complexity, and sea urchins. </t>
    </r>
    <r>
      <rPr>
        <i/>
        <sz val="10"/>
        <color rgb="FF222222"/>
        <rFont val="Arial"/>
        <family val="2"/>
      </rPr>
      <t>Coral reefs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13</t>
    </r>
    <r>
      <rPr>
        <sz val="10"/>
        <color rgb="FF222222"/>
        <rFont val="Arial"/>
        <family val="2"/>
      </rPr>
      <t>(4), 231-241.</t>
    </r>
  </si>
  <si>
    <t>Vipingo/Kanamai/Ras Iwatine/Diani</t>
  </si>
  <si>
    <t>Mombasa marine national park</t>
  </si>
  <si>
    <r>
      <t>Muthiga, N. A., &amp; McClanahan, T. R. (1997). The effect of visitor use on the hard coral communities of the Kisite Marine Park, Kenya. In </t>
    </r>
    <r>
      <rPr>
        <i/>
        <sz val="10"/>
        <color rgb="FF222222"/>
        <rFont val="Arial"/>
        <family val="2"/>
      </rPr>
      <t>Proceedings of the 8th international coral reef symposium</t>
    </r>
    <r>
      <rPr>
        <sz val="10"/>
        <color rgb="FF222222"/>
        <rFont val="Arial"/>
        <family val="2"/>
      </rPr>
      <t> (Vol. 2, pp. 1879-1882).</t>
    </r>
  </si>
  <si>
    <t>Muthiga &amp; McClanahan 1997</t>
  </si>
  <si>
    <t xml:space="preserve">Kisite Marine National Park - Control </t>
  </si>
  <si>
    <t xml:space="preserve">Kisite Marine National Park - Experiment </t>
  </si>
  <si>
    <r>
      <t>McClanahan, T. R., Kamukuru, A. T., Muthiga, N. A., Yebio, M. G., &amp; Obura, D. (1996). Effect of sea urchin reductions on algae, coral, and fish populations. </t>
    </r>
    <r>
      <rPr>
        <i/>
        <sz val="10"/>
        <color rgb="FF222222"/>
        <rFont val="Arial"/>
        <family val="2"/>
      </rPr>
      <t>Conservation Biology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10</t>
    </r>
    <r>
      <rPr>
        <sz val="10"/>
        <color rgb="FF222222"/>
        <rFont val="Arial"/>
        <family val="2"/>
      </rPr>
      <t>(1), 136-154.</t>
    </r>
  </si>
  <si>
    <t>McClanahan et al. 1996</t>
  </si>
  <si>
    <t>Diani - control</t>
  </si>
  <si>
    <t>Diani - SUR experiment</t>
  </si>
  <si>
    <t>Vipingo - control</t>
  </si>
  <si>
    <t>Vipingo - SUR experiment</t>
  </si>
  <si>
    <t>Mombasa - control</t>
  </si>
  <si>
    <t>Mombasa - SUR experiment</t>
  </si>
  <si>
    <t>1993/1994</t>
  </si>
  <si>
    <t>Data Extracted</t>
  </si>
  <si>
    <t xml:space="preserve">Reviewed </t>
  </si>
  <si>
    <t>List of References Reviewed</t>
  </si>
  <si>
    <t>Live Coral</t>
  </si>
  <si>
    <t>Saint Gilles/Trois-Chameaux/ Passe de l’Hermitage/Club Mediterranee/Planch’Alizees/ Passe de Trois-Bassins</t>
  </si>
  <si>
    <r>
      <t>Riegl, B. (2001). Inhibition of reef framework by frequent disturbance: examples from the Arabian Gulf, South Africa, and the Cayman Islands. </t>
    </r>
    <r>
      <rPr>
        <i/>
        <sz val="10"/>
        <color rgb="FF222222"/>
        <rFont val="Arial"/>
        <family val="2"/>
      </rPr>
      <t>Palaeogeography, Palaeoclimatology, Palaeoecology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175</t>
    </r>
    <r>
      <rPr>
        <sz val="10"/>
        <color rgb="FF222222"/>
        <rFont val="Arial"/>
        <family val="2"/>
      </rPr>
      <t>(1-4), 79-101.</t>
    </r>
  </si>
  <si>
    <r>
      <t>Jennings, S., Grandcourt, E. M., &amp; Polunin, N. V. C. (1995). The effects of fishing on the diversity, biomass and trophic structure of Seychelles’ reef fish communities. </t>
    </r>
    <r>
      <rPr>
        <i/>
        <sz val="10"/>
        <color rgb="FF222222"/>
        <rFont val="Arial"/>
        <family val="2"/>
      </rPr>
      <t>Coral reefs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14</t>
    </r>
    <r>
      <rPr>
        <sz val="10"/>
        <color rgb="FF222222"/>
        <rFont val="Arial"/>
        <family val="2"/>
      </rPr>
      <t>(4), 225-235.</t>
    </r>
  </si>
  <si>
    <t>Jennings et al. 1995</t>
  </si>
  <si>
    <t>Reefs surrounding the granitic islands of Mahe and Praslin</t>
  </si>
  <si>
    <t>Habitat 1</t>
  </si>
  <si>
    <t>Well-developed fringing reef with a carbonate framework</t>
  </si>
  <si>
    <t>Coral growth on a granitic substrate in exposed locations</t>
  </si>
  <si>
    <t>small rock and coral patch reefs on a predominantly sandy substrate</t>
  </si>
  <si>
    <t>Habitat 2</t>
  </si>
  <si>
    <t>Habitat 3</t>
  </si>
  <si>
    <t>27◦31' S</t>
  </si>
  <si>
    <t>32◦41' E</t>
  </si>
  <si>
    <t>1998/1999</t>
  </si>
  <si>
    <t>12 - 15</t>
  </si>
  <si>
    <r>
      <t>Walters, R. D. M., &amp; Samways, M. J. (2001). Sustainable dive ecotourism on a South African coral reef. </t>
    </r>
    <r>
      <rPr>
        <i/>
        <sz val="10"/>
        <color rgb="FF222222"/>
        <rFont val="Arial"/>
        <family val="2"/>
      </rPr>
      <t>Biodiversity &amp; Conservation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10</t>
    </r>
    <r>
      <rPr>
        <sz val="10"/>
        <color rgb="FF222222"/>
        <rFont val="Arial"/>
        <family val="2"/>
      </rPr>
      <t>(12), 2167-2179.</t>
    </r>
  </si>
  <si>
    <t>Walters &amp; Samways 2001</t>
  </si>
  <si>
    <r>
      <t>Dullo, W. C., Camoin, G. F., Blomeier, D., Colonna, M., Eisenhauer, A., Faure, G., ... &amp; Thomassin, B. A. (1998). Morphology and Sediments of the Fore‐Slopes of Mayotte, Comoro Islands: Direct Observations from a Submersible. </t>
    </r>
    <r>
      <rPr>
        <i/>
        <sz val="10"/>
        <color rgb="FF222222"/>
        <rFont val="Arial"/>
        <family val="2"/>
      </rPr>
      <t>Reefs and carbonate platforms in the Pacific and Indian Oceans</t>
    </r>
    <r>
      <rPr>
        <sz val="10"/>
        <color rgb="FF222222"/>
        <rFont val="Arial"/>
        <family val="2"/>
      </rPr>
      <t>, 217-236.</t>
    </r>
  </si>
  <si>
    <t>La Saline</t>
  </si>
  <si>
    <t>Planch’Alizé</t>
  </si>
  <si>
    <t>Dead coral</t>
  </si>
  <si>
    <t>Trois Chameaux</t>
  </si>
  <si>
    <t>12 outer</t>
  </si>
  <si>
    <t>&lt;5</t>
  </si>
  <si>
    <t>Saint Leu</t>
  </si>
  <si>
    <t>Fringing reef</t>
  </si>
  <si>
    <t>21°04’87’’ S</t>
  </si>
  <si>
    <t>55°13’10’’ E</t>
  </si>
  <si>
    <t>21°90’12’’ S</t>
  </si>
  <si>
    <t>55°17’40’’ E</t>
  </si>
  <si>
    <r>
      <t>Muhando, C. A. (2009). Coral reef monitoring in Tanzania: an analysis of the last 20 years. </t>
    </r>
    <r>
      <rPr>
        <i/>
        <sz val="10"/>
        <color rgb="FF222222"/>
        <rFont val="Arial"/>
        <family val="2"/>
      </rPr>
      <t>Western Indian Ocean Journal of Marine Science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8</t>
    </r>
    <r>
      <rPr>
        <sz val="10"/>
        <color rgb="FF222222"/>
        <rFont val="Arial"/>
        <family val="2"/>
      </rPr>
      <t>(2).</t>
    </r>
  </si>
  <si>
    <t>Muhando 2009</t>
  </si>
  <si>
    <r>
      <t>Harris, A., Manahira, G., Sheppard, A., Gouch, C., &amp; Sheppard, C. (2010). Demise of Madagascar's once great barrier reef: changes in coral reef conditions over 40 years. </t>
    </r>
    <r>
      <rPr>
        <i/>
        <sz val="10"/>
        <color rgb="FF222222"/>
        <rFont val="Arial"/>
        <family val="2"/>
      </rPr>
      <t>Atoll Research Bulletin</t>
    </r>
    <r>
      <rPr>
        <sz val="10"/>
        <color rgb="FF222222"/>
        <rFont val="Arial"/>
        <family val="2"/>
      </rPr>
      <t>.</t>
    </r>
  </si>
  <si>
    <t>Harris et al. 2010</t>
  </si>
  <si>
    <r>
      <t>Salm, R. V. (1983). Coral reefs of the western Indian Ocean: a threatened heritage. </t>
    </r>
    <r>
      <rPr>
        <i/>
        <sz val="10"/>
        <color rgb="FF222222"/>
        <rFont val="Arial"/>
        <family val="2"/>
      </rPr>
      <t>Ambio</t>
    </r>
    <r>
      <rPr>
        <sz val="10"/>
        <color rgb="FF222222"/>
        <rFont val="Arial"/>
        <family val="2"/>
      </rPr>
      <t>, 349-353.</t>
    </r>
  </si>
  <si>
    <r>
      <t>Gable, F. J., Aubrey, D. G., &amp; Gentile, J. H. (1991). Global environmental change issues in the western Indian Ocean region. </t>
    </r>
    <r>
      <rPr>
        <i/>
        <sz val="10"/>
        <color rgb="FF222222"/>
        <rFont val="Arial"/>
        <family val="2"/>
      </rPr>
      <t>Geoforum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22</t>
    </r>
    <r>
      <rPr>
        <sz val="10"/>
        <color rgb="FF222222"/>
        <rFont val="Arial"/>
        <family val="2"/>
      </rPr>
      <t>(4), 401-419.</t>
    </r>
  </si>
  <si>
    <r>
      <t>Blom, J., van der Hagen, H., van Hove, E., van Katwijk, M., van Loon, R., Meier, R., ... &amp; Pilaud, M. (1985). </t>
    </r>
    <r>
      <rPr>
        <i/>
        <sz val="10"/>
        <color rgb="FF222222"/>
        <rFont val="Arial"/>
        <family val="2"/>
      </rPr>
      <t>Decline of the Malindi-Watamu Reef complex: quantitative and qualitative survey of the coral growth</t>
    </r>
    <r>
      <rPr>
        <sz val="10"/>
        <color rgb="FF222222"/>
        <rFont val="Arial"/>
        <family val="2"/>
      </rPr>
      <t> (Doctoral dissertation, M. Sc. Thesis. Lab. Aquat. Oecol, Kath. Univ., Nijmegen, The Netherlands: 1-162 (unpubl.)).</t>
    </r>
  </si>
  <si>
    <r>
      <t>Julius, A., Parks, M., Unit, R., &amp; Jonsson, S. (2005). Monitoring Programme for resource condition, environmental and biological parameters for Mnazi-Bay Ruvuma Estuary Marine Park (MBREMP) Tanzania. </t>
    </r>
    <r>
      <rPr>
        <i/>
        <sz val="10"/>
        <color rgb="FF222222"/>
        <rFont val="Arial"/>
        <family val="2"/>
      </rPr>
      <t>The United Nations University, Reykjavik, Iceland</t>
    </r>
    <r>
      <rPr>
        <sz val="10"/>
        <color rgb="FF222222"/>
        <rFont val="Arial"/>
        <family val="2"/>
      </rPr>
      <t>.</t>
    </r>
  </si>
  <si>
    <t>Eastern Africa Atlas of Coastal Resources (https://www.researchgate.net/profile/Shigalla_Mahongo/publication/256707450_Eastern_Africa_Atlas_of_Coastal_Resources_Tanzania/links/5ae31f42aca272fdaf8fe490/Eastern-Africa-Atlas-of-Coastal-Resources-Tanzania.pdf?origin=publication_detail)</t>
  </si>
  <si>
    <r>
      <t>Van Katwijk, M. M., Meier, N. F., Van Loon, R., Van Hove, E. M., Giesen, W. B. J. T., Van der Velde, G., &amp; Den Hartog, C. (1993). Sabaki River sediment load and coral stress: correlation between sediments and condition of the Malindi-Watamu reefs in Kenya (Indian Ocean). </t>
    </r>
    <r>
      <rPr>
        <i/>
        <sz val="10"/>
        <color rgb="FF222222"/>
        <rFont val="Arial"/>
        <family val="2"/>
      </rPr>
      <t>Marine Biology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117</t>
    </r>
    <r>
      <rPr>
        <sz val="10"/>
        <color rgb="FF222222"/>
        <rFont val="Arial"/>
        <family val="2"/>
      </rPr>
      <t>(4), 675-683.</t>
    </r>
  </si>
  <si>
    <r>
      <t>Johnstone, R. W., Muhando, C. A., &amp; Francis, J. (1998). The status of the coral reefs of Zanzibar: one example of a regional predicament. </t>
    </r>
    <r>
      <rPr>
        <i/>
        <sz val="10"/>
        <color rgb="FF222222"/>
        <rFont val="Arial"/>
        <family val="2"/>
      </rPr>
      <t>Ambio</t>
    </r>
    <r>
      <rPr>
        <sz val="10"/>
        <color rgb="FF222222"/>
        <rFont val="Arial"/>
        <family val="2"/>
      </rPr>
      <t>, 700-707.</t>
    </r>
  </si>
  <si>
    <r>
      <t>Wagner, G. M. (2000). Department of Zoology and Marine Biology, University of Dar Es Salaam, PO Box 35064, Dar es Salaam, Tanzania. </t>
    </r>
    <r>
      <rPr>
        <i/>
        <sz val="10"/>
        <color rgb="FF222222"/>
        <rFont val="Arial"/>
        <family val="2"/>
      </rPr>
      <t>Tanzania Coastal Management Partnership</t>
    </r>
    <r>
      <rPr>
        <sz val="10"/>
        <color rgb="FF222222"/>
        <rFont val="Arial"/>
        <family val="2"/>
      </rPr>
      <t>, 101.</t>
    </r>
  </si>
  <si>
    <t>Status of coral reefs of the world: 1998 (http://icriforum.org/sites/default/files/CGRMN_SOCR_1998.pdf)</t>
  </si>
  <si>
    <t>Slope</t>
  </si>
  <si>
    <t>Subtidal flat</t>
  </si>
  <si>
    <t>Luala</t>
  </si>
  <si>
    <t>Pweza</t>
  </si>
  <si>
    <t>Pwajuu</t>
  </si>
  <si>
    <t>Upper slope</t>
  </si>
  <si>
    <t>Lower slope</t>
  </si>
  <si>
    <t>Poiasi</t>
  </si>
  <si>
    <t>Subtidal flat &amp; upper slope</t>
  </si>
  <si>
    <t>Machangi</t>
  </si>
  <si>
    <t>Chocha</t>
  </si>
  <si>
    <t>Miza</t>
  </si>
  <si>
    <t>Miza Kidogo</t>
  </si>
  <si>
    <t>Membeuso</t>
  </si>
  <si>
    <t>Northern, subtidal flat &amp; Slope</t>
  </si>
  <si>
    <t>Eastern, slope</t>
  </si>
  <si>
    <t>Southeast &amp; northwest, slope</t>
  </si>
  <si>
    <t>Membeuso Kidogo</t>
  </si>
  <si>
    <t>Banda</t>
  </si>
  <si>
    <t>Western, Slope</t>
  </si>
  <si>
    <t>Songo Songo</t>
  </si>
  <si>
    <t>Songo Songo Archipelago</t>
  </si>
  <si>
    <t>Wagner 2000</t>
  </si>
  <si>
    <t>southwest side of Bongoyo</t>
  </si>
  <si>
    <t>southwest side of Mbudya</t>
  </si>
  <si>
    <t>Before 1998</t>
  </si>
  <si>
    <t>northeastern coast</t>
  </si>
  <si>
    <t>western coast</t>
  </si>
  <si>
    <t>Before 1999</t>
  </si>
  <si>
    <t>In Kamukuru (1997)</t>
  </si>
  <si>
    <t>In Horrill et al. (2000)</t>
  </si>
  <si>
    <t>Western coast of Pemba Island</t>
  </si>
  <si>
    <t>Misali Island</t>
  </si>
  <si>
    <t>Northern side</t>
  </si>
  <si>
    <t>Eastern side</t>
  </si>
  <si>
    <r>
      <t>Samoilys, M. A. (1988). </t>
    </r>
    <r>
      <rPr>
        <i/>
        <sz val="10"/>
        <color rgb="FF222222"/>
        <rFont val="Arial"/>
        <family val="2"/>
      </rPr>
      <t>A survey of the coral reef fish communities on the Kenyan coast</t>
    </r>
    <r>
      <rPr>
        <sz val="10"/>
        <color rgb="FF222222"/>
        <rFont val="Arial"/>
        <family val="2"/>
      </rPr>
      <t>. Ministry of Tourism and Industry.</t>
    </r>
  </si>
  <si>
    <t>Samoilys 1988</t>
  </si>
  <si>
    <t>1987/1988</t>
  </si>
  <si>
    <t>After</t>
  </si>
  <si>
    <t>Bleaching Period</t>
  </si>
  <si>
    <t>Before</t>
  </si>
  <si>
    <r>
      <t>McClanahan, T. R., &amp; Muthiga, N. A. (1988). Changes in Kenyan coral reef community structure and function due to exploitation. </t>
    </r>
    <r>
      <rPr>
        <i/>
        <sz val="10"/>
        <color rgb="FF222222"/>
        <rFont val="Arial"/>
        <family val="2"/>
      </rPr>
      <t>Hydrobiologia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166</t>
    </r>
    <r>
      <rPr>
        <sz val="10"/>
        <color rgb="FF222222"/>
        <rFont val="Arial"/>
        <family val="2"/>
      </rPr>
      <t>(3), 269-276.</t>
    </r>
  </si>
  <si>
    <r>
      <t>McClanahan, T. R., &amp; Obura, D. (1997). Sedimentation effects on shallow coral communities in Kenya. </t>
    </r>
    <r>
      <rPr>
        <i/>
        <sz val="10"/>
        <color rgb="FF222222"/>
        <rFont val="Arial"/>
        <family val="2"/>
      </rPr>
      <t>Journal of Experimental Marine Biology and Ecology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209</t>
    </r>
    <r>
      <rPr>
        <sz val="10"/>
        <color rgb="FF222222"/>
        <rFont val="Arial"/>
        <family val="2"/>
      </rPr>
      <t>(1-2), 103-122.</t>
    </r>
  </si>
  <si>
    <t>McClanahan &amp; Obura 1997</t>
  </si>
  <si>
    <t>McClanahan &amp; Muthiga 1988</t>
  </si>
  <si>
    <t>4 months After</t>
  </si>
  <si>
    <t xml:space="preserve">Protected (Malindi, Watamu, Mombasa, Kisite….) </t>
  </si>
  <si>
    <t>Unprotected (Vipingo, Kanamai, Ras iwatine, Diani….)</t>
  </si>
  <si>
    <t>2001/2002</t>
  </si>
  <si>
    <r>
      <t>Obura, D. (2002). Status of coral reefs in East Africa. </t>
    </r>
    <r>
      <rPr>
        <i/>
        <sz val="10"/>
        <color rgb="FF222222"/>
        <rFont val="Arial"/>
        <family val="2"/>
      </rPr>
      <t>Coral Reef Degradation in the Indian Ocean</t>
    </r>
    <r>
      <rPr>
        <sz val="10"/>
        <color rgb="FF222222"/>
        <rFont val="Arial"/>
        <family val="2"/>
      </rPr>
      <t>, 15.</t>
    </r>
  </si>
  <si>
    <t>Obura 2002</t>
  </si>
  <si>
    <t>Kitutia/Mafia</t>
  </si>
  <si>
    <t>Acr</t>
  </si>
  <si>
    <t xml:space="preserve">Before </t>
  </si>
  <si>
    <t>Wimbe beach</t>
  </si>
  <si>
    <t>12 57'42"</t>
  </si>
  <si>
    <t>40 33'10"</t>
  </si>
  <si>
    <t>12 29'00"</t>
  </si>
  <si>
    <t>40 34'44"</t>
  </si>
  <si>
    <t>12 55'31"</t>
  </si>
  <si>
    <t>40 30'04"</t>
  </si>
  <si>
    <t>±14 26'56"</t>
  </si>
  <si>
    <t>±40 42'04"</t>
  </si>
  <si>
    <t>16 12'46"</t>
  </si>
  <si>
    <t>40 08'05"</t>
  </si>
  <si>
    <t>16 20'57"</t>
  </si>
  <si>
    <t>40 03'19"</t>
  </si>
  <si>
    <t>21 48'32"</t>
  </si>
  <si>
    <t>33 30'05"</t>
  </si>
  <si>
    <t>±21 48'</t>
  </si>
  <si>
    <t>±35 33'</t>
  </si>
  <si>
    <t>21 31'22"</t>
  </si>
  <si>
    <t>35 29'44"</t>
  </si>
  <si>
    <t>23 48'44"</t>
  </si>
  <si>
    <t>35 32'30"</t>
  </si>
  <si>
    <t>23 47'13"</t>
  </si>
  <si>
    <t>35 31'27"</t>
  </si>
  <si>
    <t>23 46'37"</t>
  </si>
  <si>
    <t>35 30'38"</t>
  </si>
  <si>
    <t>21 31'21"</t>
  </si>
  <si>
    <t>35 21'44"</t>
  </si>
  <si>
    <t>26 03'51"</t>
  </si>
  <si>
    <t>32 57'12"</t>
  </si>
  <si>
    <t>26 04'27"</t>
  </si>
  <si>
    <t>32 57'07"</t>
  </si>
  <si>
    <t>32 53'59"</t>
  </si>
  <si>
    <t>26 01'19"</t>
  </si>
  <si>
    <t>After (After 2005 bleaching)</t>
  </si>
  <si>
    <t>During</t>
  </si>
  <si>
    <r>
      <t>QUOD, J. P., DAHALANI, Y., BIGOT, L., NICET, J. B., Ahamada, S., &amp; Maharavo, J. (2002). Status of coral reefs at Réunion, Mayotte and Madagascar. </t>
    </r>
    <r>
      <rPr>
        <i/>
        <sz val="10"/>
        <color rgb="FF222222"/>
        <rFont val="Arial"/>
        <family val="2"/>
      </rPr>
      <t>Coral Reef Degradation in the Indian Ocean</t>
    </r>
    <r>
      <rPr>
        <sz val="10"/>
        <color rgb="FF222222"/>
        <rFont val="Arial"/>
        <family val="2"/>
      </rPr>
      <t>, 185.</t>
    </r>
  </si>
  <si>
    <t>Quod et. al. 2002</t>
  </si>
  <si>
    <t>Gde Comore</t>
  </si>
  <si>
    <t>Mohéli</t>
  </si>
  <si>
    <t>Tuléar</t>
  </si>
  <si>
    <t>Mayotte</t>
  </si>
  <si>
    <t>S Nord Est</t>
  </si>
  <si>
    <t>Surprise</t>
  </si>
  <si>
    <t>S Ajangoua</t>
  </si>
  <si>
    <t>Longogori</t>
  </si>
  <si>
    <t>Geyser/Zélée</t>
  </si>
  <si>
    <t>Geyser</t>
  </si>
  <si>
    <t>La Saline/PlanchAlizés</t>
  </si>
  <si>
    <t>La Saline/3Chameaux</t>
  </si>
  <si>
    <t>Saint Leu/Corne Nord</t>
  </si>
  <si>
    <t>Nosy Mitsio</t>
  </si>
  <si>
    <t>S 12º 50' 20"</t>
  </si>
  <si>
    <t>E 48º 36' 49''</t>
  </si>
  <si>
    <t>Nosy Sakatia</t>
  </si>
  <si>
    <t>S 13º 19' 13"</t>
  </si>
  <si>
    <t>E 48º 09' 13"</t>
  </si>
  <si>
    <t>Nosy Tanikely</t>
  </si>
  <si>
    <t>S 13º 28' 40"</t>
  </si>
  <si>
    <t>E 48º 14' 30"</t>
  </si>
  <si>
    <t>Nosy Be – North</t>
  </si>
  <si>
    <t>S 13º 12' 20"</t>
  </si>
  <si>
    <t>E 48º 15' 50"</t>
  </si>
  <si>
    <t>Nosy Be – Northwest</t>
  </si>
  <si>
    <t>S 13º 14' 20"</t>
  </si>
  <si>
    <t>E 48º 11' 40''</t>
  </si>
  <si>
    <t>Nosy Be – Lokebe Reef</t>
  </si>
  <si>
    <t>S 13º 25' 27"</t>
  </si>
  <si>
    <t>E 48º 18' 30"</t>
  </si>
  <si>
    <r>
      <t>Webster, F. J., &amp; McMahon, K. (2002). An assessment of coral reefs in northwest Madagascar. </t>
    </r>
    <r>
      <rPr>
        <i/>
        <sz val="10"/>
        <color rgb="FF222222"/>
        <rFont val="Arial"/>
        <family val="2"/>
      </rPr>
      <t>Coral reef degradation in the Indian ocean: Status report</t>
    </r>
    <r>
      <rPr>
        <sz val="10"/>
        <color rgb="FF222222"/>
        <rFont val="Arial"/>
        <family val="2"/>
      </rPr>
      <t>, 190-201.</t>
    </r>
  </si>
  <si>
    <t>Webster &amp; McMahon 2002</t>
  </si>
  <si>
    <t>Leptastrea</t>
  </si>
  <si>
    <t>Goniastrea</t>
  </si>
  <si>
    <t>Diploastrea</t>
  </si>
  <si>
    <t>Porites</t>
  </si>
  <si>
    <t>Favia</t>
  </si>
  <si>
    <t>Favites</t>
  </si>
  <si>
    <t>Galaxea</t>
  </si>
  <si>
    <t>Astreopora</t>
  </si>
  <si>
    <t>Pscammocora</t>
  </si>
  <si>
    <t>Pocillopora</t>
  </si>
  <si>
    <r>
      <t>Muhando, C. (1999). Assessment of the extent of damage, socioeconomic effects, mitigation and recovery in Tanzania. </t>
    </r>
    <r>
      <rPr>
        <i/>
        <sz val="10"/>
        <color rgb="FF222222"/>
        <rFont val="Arial"/>
        <family val="2"/>
      </rPr>
      <t>Coral Reef Degradation in the Indian Ocean: Status Reports and Presentations</t>
    </r>
    <r>
      <rPr>
        <sz val="10"/>
        <color rgb="FF222222"/>
        <rFont val="Arial"/>
        <family val="2"/>
      </rPr>
      <t>, 43-47.</t>
    </r>
  </si>
  <si>
    <t>Muhando 1999</t>
  </si>
  <si>
    <t>Quod, J. P., &amp; Bigot, L. CORAL BLEACHING IN THE INDIAN OCEANISLANDS: ECOLOGICAL CONSEQUENCES ANDRECOVERY IN MADAGASCAR, COMOROS, MAYOTTEAND REUNION.</t>
  </si>
  <si>
    <t>Quod &amp; Bigot</t>
  </si>
  <si>
    <t>North-West Mitsamiouli Reef</t>
  </si>
  <si>
    <t>Mohéli island</t>
  </si>
  <si>
    <t>Deeper Reefs</t>
  </si>
  <si>
    <t>Geyser bank</t>
  </si>
  <si>
    <t>Count of mean cover (%)</t>
  </si>
  <si>
    <t>Average of mean cover (%)2</t>
  </si>
  <si>
    <t>StdDev of mean cover (%)2</t>
  </si>
  <si>
    <t>Min. of mean cover (%)3</t>
  </si>
  <si>
    <t>Max. of mean cover (%)4</t>
  </si>
  <si>
    <t>Grand Total</t>
  </si>
  <si>
    <t>Include/Exclude</t>
  </si>
  <si>
    <t>no-degraded</t>
  </si>
  <si>
    <t>yes</t>
  </si>
  <si>
    <t>Hard Substrate with Algae</t>
  </si>
  <si>
    <t>Dead Substrate</t>
  </si>
  <si>
    <t>repeat - above</t>
  </si>
  <si>
    <t>?</t>
  </si>
  <si>
    <t>degraded</t>
  </si>
  <si>
    <t>very specific habitat, can only use for comparison at a site level</t>
  </si>
  <si>
    <t>subset of 'live coral'</t>
  </si>
  <si>
    <t>add to RDC</t>
  </si>
  <si>
    <t>add to LC</t>
  </si>
  <si>
    <t>n</t>
  </si>
  <si>
    <t>no</t>
  </si>
  <si>
    <t>Ecoregion</t>
  </si>
  <si>
    <t>Ntanz_Ken</t>
  </si>
  <si>
    <t>NMoz_Stanz</t>
  </si>
  <si>
    <t>Dela</t>
  </si>
  <si>
    <t>Com</t>
  </si>
  <si>
    <t>Masc</t>
  </si>
  <si>
    <t>SeyN</t>
  </si>
  <si>
    <t>SeyS</t>
  </si>
  <si>
    <t>sd</t>
  </si>
  <si>
    <t>Overall</t>
  </si>
  <si>
    <t>Diani 2</t>
  </si>
  <si>
    <t>MFR-4m.</t>
  </si>
  <si>
    <t>MHR - Malindi harbour fringing reef</t>
  </si>
  <si>
    <t>MHR-6</t>
  </si>
  <si>
    <t>MNR</t>
  </si>
  <si>
    <t>MNR - 11 -12.5 m.</t>
  </si>
  <si>
    <t>MNR, 4-6 meters depth</t>
  </si>
  <si>
    <t>MPR</t>
  </si>
  <si>
    <t>MPR4-6</t>
  </si>
  <si>
    <t>MVG - 5-6  m. below datum</t>
  </si>
  <si>
    <t>Tiwi</t>
  </si>
  <si>
    <t>Watamu Deep fore reef</t>
  </si>
  <si>
    <t>Watamuu Turtle REef, 7 m.</t>
  </si>
  <si>
    <t>WInt - 7 m. depth. Off plots 15/16</t>
  </si>
  <si>
    <t>Hard coral</t>
  </si>
  <si>
    <t>Obura - BSc thesis 1989</t>
  </si>
  <si>
    <t>Obura - Phd thesis 1995</t>
  </si>
  <si>
    <t>Combined LC+RDC</t>
  </si>
  <si>
    <t>MadS</t>
  </si>
  <si>
    <t>MadE</t>
  </si>
  <si>
    <t>MadN</t>
  </si>
  <si>
    <t>Porter &amp; Schleyer 2017</t>
  </si>
  <si>
    <t>Nine-mile Reef</t>
  </si>
  <si>
    <t>13-17</t>
  </si>
  <si>
    <r>
      <t>Porter, S.N. and Schleyer, M.H., 2017. Long-term dynamics of a high-latitude coral reef community at Sodwana Bay, South Africa. </t>
    </r>
    <r>
      <rPr>
        <i/>
        <sz val="10"/>
        <color rgb="FF222222"/>
        <rFont val="Arial"/>
        <family val="2"/>
      </rPr>
      <t>Coral Reefs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36</t>
    </r>
    <r>
      <rPr>
        <sz val="10"/>
        <color rgb="FF222222"/>
        <rFont val="Arial"/>
        <family val="2"/>
      </rPr>
      <t>(2), pp.369-382.</t>
    </r>
  </si>
  <si>
    <t>Porter, S.N. and Schleyer, M.H., 2017. Long-term dynamics of a high-latitude coral reef community at Sodwana Bay, South Africa. Coral Reefs, 36(2), pp.369-382.</t>
  </si>
  <si>
    <t>Porter &amp; Schleyer 2019</t>
  </si>
  <si>
    <t>1999-2005</t>
  </si>
  <si>
    <t>During: Only negligible bleaching of the coral communities was recorded during this time, and there was no bleaching-related mortality attibutable to the warm regional temperatures of 1998, 2000, and 2005 (Schleyer &amp; Celliers 2000; Celliers and Schleyer 2002; sebastian et al. 2009).</t>
  </si>
  <si>
    <t>Multiple sites extending across all reef complexes from Leadsman Shoal in the south to Kosi in the north</t>
  </si>
  <si>
    <r>
      <t>Porter, S.N. and Schleyer, M.H., 2019. Environmental Variation and How its Spatial Structure Influences the Cross-Shelf Distribution of High-Latitude Coral Communities in South Africa. </t>
    </r>
    <r>
      <rPr>
        <i/>
        <sz val="10"/>
        <color rgb="FF222222"/>
        <rFont val="Arial"/>
        <family val="2"/>
      </rPr>
      <t>Diversity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11</t>
    </r>
    <r>
      <rPr>
        <sz val="10"/>
        <color rgb="FF222222"/>
        <rFont val="Arial"/>
        <family val="2"/>
      </rPr>
      <t>(4), p.57.</t>
    </r>
  </si>
  <si>
    <t>Schleyer &amp; Porter 2018</t>
  </si>
  <si>
    <t>1999-2006</t>
  </si>
  <si>
    <t>Based on same data as Porter &amp; Schleyer 2019 but will give you %cover at each of the 3 reef complexes and for each reef surveyed in the electronic supplementary material if you are prepared to manually at up the different % covers of each hard coral genus!</t>
  </si>
  <si>
    <r>
      <t>Schleyer, M.H. and Porter, S.N., 2018. Drivers of soft and stony coral community distribution on the high-latitude coral reefs of South Africa. In </t>
    </r>
    <r>
      <rPr>
        <i/>
        <sz val="10"/>
        <color rgb="FF222222"/>
        <rFont val="Arial"/>
        <family val="2"/>
      </rPr>
      <t>Advances in marine biology</t>
    </r>
    <r>
      <rPr>
        <sz val="10"/>
        <color rgb="FF222222"/>
        <rFont val="Arial"/>
        <family val="2"/>
      </rPr>
      <t> (Vol. 80, pp. 1-55). Academic Press.</t>
    </r>
  </si>
  <si>
    <t>Across all 3 reef complexes ie. 5 reefs see below</t>
  </si>
  <si>
    <t>Kosi</t>
  </si>
  <si>
    <t>Four-mile Reef</t>
  </si>
  <si>
    <t>Two-mile Reef</t>
  </si>
  <si>
    <t>Red Sands</t>
  </si>
  <si>
    <t xml:space="preserve">Added by Sean P. </t>
  </si>
  <si>
    <t>Initially included but removed after review from Sean</t>
  </si>
  <si>
    <t>Bongoyo</t>
  </si>
  <si>
    <t>McClanahan, T. R., Muthiga, N. A., Maina, J., Kamukuru, A. T., &amp; Yahya, S. A. (2009). Changes in northern Tanzania coral reefs during a period of increased fisheries management and climatic disturbance. Aquatic Conservation: Marine and Freshwater Ecosystems, 19(7), 758-771.</t>
  </si>
  <si>
    <t>*</t>
  </si>
  <si>
    <t>Mbudya</t>
  </si>
  <si>
    <t>Mafia</t>
  </si>
  <si>
    <t>Tutia</t>
  </si>
  <si>
    <t>McClanahan, T. R., Ateweberhan, M., Muhando, C. A., Maina, J., &amp; Mohammed, M. S. (2007). Effects of climate and seawater temperature variation on coral bleaching and mortality. Ecological Monographs, 77(4), 503-525.</t>
  </si>
  <si>
    <t>Mange</t>
  </si>
  <si>
    <t>Juani</t>
  </si>
  <si>
    <t>Chumbo</t>
  </si>
  <si>
    <t>Muhando and Francis 2000</t>
  </si>
  <si>
    <t>Pangavini Marine Reserve</t>
  </si>
  <si>
    <t>Pangavini SW</t>
  </si>
  <si>
    <t>Muhando, C. A., &amp; Francis, J. (2000). The status of coral reefs in the Dar-Es-Salaam marine reserves system and the state of reefs in other marine protected areas of Tanzania. Status Report.</t>
  </si>
  <si>
    <t>Fungu Yasini Marine Reserve</t>
  </si>
  <si>
    <t>SE1</t>
  </si>
  <si>
    <t>SE2</t>
  </si>
  <si>
    <t>SE3</t>
  </si>
  <si>
    <t>Muhando and Mohammad 2002</t>
  </si>
  <si>
    <t>Misali Reef</t>
  </si>
  <si>
    <t>Muhando, C. A., &amp; Mohammed, M. S. (2002). Coral reef benthos and fisheries in Tanzania before and after the 1998 bleaching and mortality event.</t>
  </si>
  <si>
    <t>Mafia Reef</t>
  </si>
  <si>
    <t>Average of Changuu and Chapwani from McClanhan et al 2009</t>
  </si>
  <si>
    <t>DC</t>
  </si>
  <si>
    <t>Naim 1993</t>
  </si>
  <si>
    <t>Montaggioni et al. 1993</t>
  </si>
  <si>
    <t>La Saline Reff</t>
  </si>
  <si>
    <t>S 21º 7'</t>
  </si>
  <si>
    <t>E 55º 13'</t>
  </si>
  <si>
    <t>Outer Reef Flat</t>
  </si>
  <si>
    <t>Inner Reef Flat</t>
  </si>
  <si>
    <t>Living coral</t>
  </si>
  <si>
    <t>Naim, O. (1993). Seasonal responses of a fringing reef community to eutrophication (Reunion Island, Western Indian Ocean).</t>
  </si>
  <si>
    <r>
      <t>Montaggioni, L. F., Cuet, P., &amp; Naim, O. (1993). Effect of nutrient excess on a modern fringing reef (Réunion Island, western Indian Ocean): geological implications. </t>
    </r>
    <r>
      <rPr>
        <i/>
        <sz val="8"/>
        <color rgb="FF222222"/>
        <rFont val="Arial"/>
        <family val="2"/>
      </rPr>
      <t>Proc of Global Aspects of Coral Reefs Health, Hazards and History, Miami</t>
    </r>
    <r>
      <rPr>
        <sz val="8"/>
        <color rgb="FF222222"/>
        <rFont val="Arial"/>
        <family val="2"/>
      </rPr>
      <t>, 397-403.</t>
    </r>
  </si>
  <si>
    <t>Costa_et_al._2005</t>
  </si>
  <si>
    <t>Barra</t>
  </si>
  <si>
    <t>Anchor's_Bay</t>
  </si>
  <si>
    <t>NA</t>
  </si>
  <si>
    <t>Costa A, Pereira M, Motta H, Schleyer M (2005) Status of the coral reefs of Mozambique:2004. In: Coral reef degradation in the Indian Ocean - Status Report 2005 (Souter, D., Linden, O., Eds). :54â&lt;U+0080&gt;&lt;U+0093&gt;60</t>
  </si>
  <si>
    <t>Mike's_Cub_Board</t>
  </si>
  <si>
    <t>Bazaruto_Archipelago</t>
  </si>
  <si>
    <t>Lighthouse_Reef</t>
  </si>
  <si>
    <t>Maputo</t>
  </si>
  <si>
    <t>Inhaca_Island</t>
  </si>
  <si>
    <t>Barreira_Vermelha</t>
  </si>
  <si>
    <t>Ponta_Torres</t>
  </si>
  <si>
    <t>Nampula_Province</t>
  </si>
  <si>
    <t>Mozambique_Island</t>
  </si>
  <si>
    <t>Goa_Island</t>
  </si>
  <si>
    <t>Sete_Paus_Island</t>
  </si>
  <si>
    <t>Pemba_Bay</t>
  </si>
  <si>
    <t>Ponta_Maunhane</t>
  </si>
  <si>
    <t>Quirimbas_Archipelago</t>
  </si>
  <si>
    <t>Sencar_Channel</t>
  </si>
  <si>
    <t>Pereira_et_al._2004</t>
  </si>
  <si>
    <t>Gaza</t>
  </si>
  <si>
    <t>Xai-xai</t>
  </si>
  <si>
    <t>Xai-xai_Lagoon</t>
  </si>
  <si>
    <t>Pereira MA, GonÃ§alves PMB (2004) Effects of the 2000 southern Mozambique floods on a marginal coral community: the case at Xai-Xai. African J Aquat Sci 29:113â&lt;U+0080&gt;&lt;U+0093&gt;116</t>
  </si>
  <si>
    <t>Motta_et_al._2002</t>
  </si>
  <si>
    <t>Motta H, Pereira M a M, GonÃ§alves M, Schleyer MH, Ridgway T (2002) Mozambique Coral Reef. Coral Reef Monit Mozambique II 2000 Rep:31</t>
  </si>
  <si>
    <t>AMAC</t>
  </si>
  <si>
    <t>RUB</t>
  </si>
  <si>
    <t>Two-mile_Reef</t>
  </si>
  <si>
    <t>Baixo_Danae</t>
  </si>
  <si>
    <t>Pereira_et_al._2008</t>
  </si>
  <si>
    <t>Coral_Garden</t>
  </si>
  <si>
    <t>Pereira M a M, Videira EJS, Costa ACD (2008) Update on coral reef activities in Mozambique (2004-2006). Biol Res:115â&lt;U+0080&gt;&lt;U+0093&gt;120</t>
  </si>
  <si>
    <t>Hardman 1999</t>
  </si>
  <si>
    <t>Mauritius Island</t>
  </si>
  <si>
    <t>LeMorne</t>
  </si>
  <si>
    <t>Lagoonal patch reef</t>
  </si>
  <si>
    <t>0.5-2</t>
  </si>
  <si>
    <t>20 24.937</t>
  </si>
  <si>
    <t>57 19.499</t>
  </si>
  <si>
    <t>Hardman, E. (1999). A rapid assessment of the extent of coral bleaching in Mauritius after the 1998 seawater warming event (Doctoral dissertation).</t>
  </si>
  <si>
    <t>Point Harmonie</t>
  </si>
  <si>
    <t>0-7</t>
  </si>
  <si>
    <t>20 22.077</t>
  </si>
  <si>
    <t>57 21.119</t>
  </si>
  <si>
    <t>Le Morne (Cannion)</t>
  </si>
  <si>
    <t>Fore reef</t>
  </si>
  <si>
    <t>5-13.8</t>
  </si>
  <si>
    <t>Trou aux Biches_4</t>
  </si>
  <si>
    <t>0-10</t>
  </si>
  <si>
    <t>20 02.292</t>
  </si>
  <si>
    <t>57 32.296</t>
  </si>
  <si>
    <t>Trou aux Biches_5</t>
  </si>
  <si>
    <t>20 01.383</t>
  </si>
  <si>
    <t>57 32.339</t>
  </si>
  <si>
    <t>Trou aux Biches_6</t>
  </si>
  <si>
    <t>0-3</t>
  </si>
  <si>
    <t>20 01.432</t>
  </si>
  <si>
    <t>57 32.643</t>
  </si>
  <si>
    <t>Trou aux Biches_7</t>
  </si>
  <si>
    <t>20 00.442</t>
  </si>
  <si>
    <t>57 32.809</t>
  </si>
  <si>
    <t>Trou aux Biches_8</t>
  </si>
  <si>
    <t>20 01.523</t>
  </si>
  <si>
    <t>57 32.701</t>
  </si>
  <si>
    <t>Perybere</t>
  </si>
  <si>
    <t>005-17</t>
  </si>
  <si>
    <t>19 58.452</t>
  </si>
  <si>
    <t>57 35.377</t>
  </si>
  <si>
    <t>Calodyne Reef</t>
  </si>
  <si>
    <t>19 58.447</t>
  </si>
  <si>
    <t>57 38.972</t>
  </si>
  <si>
    <t>Flat Island South</t>
  </si>
  <si>
    <t>0-2</t>
  </si>
  <si>
    <t>19 53.007</t>
  </si>
  <si>
    <t>57 39.979</t>
  </si>
  <si>
    <t>Flat Island North</t>
  </si>
  <si>
    <t>Reef crest</t>
  </si>
  <si>
    <t>19 52.937</t>
  </si>
  <si>
    <t>57 39.991</t>
  </si>
  <si>
    <t>Flat Island</t>
  </si>
  <si>
    <t>Trou aux Biches_14</t>
  </si>
  <si>
    <t>005-19</t>
  </si>
  <si>
    <t>20 02.284</t>
  </si>
  <si>
    <t>57 32.136</t>
  </si>
  <si>
    <t>Ile d'Ambre</t>
  </si>
  <si>
    <t>Ile d'Ambre_15</t>
  </si>
  <si>
    <t>20 02.859</t>
  </si>
  <si>
    <t>57 41.972</t>
  </si>
  <si>
    <t>Ile d'Ambre_16</t>
  </si>
  <si>
    <t>20 03.830</t>
  </si>
  <si>
    <t>57 43.539</t>
  </si>
  <si>
    <t>Ile d'Ambre_17</t>
  </si>
  <si>
    <t>20 04.007</t>
  </si>
  <si>
    <t>57 43.794</t>
  </si>
  <si>
    <t>Ile d'Ambre_18</t>
  </si>
  <si>
    <t>20 04.268</t>
  </si>
  <si>
    <t>57 42.625</t>
  </si>
  <si>
    <t>Ile d'Ambre_19</t>
  </si>
  <si>
    <t>20 03.923</t>
  </si>
  <si>
    <t>57 42.643</t>
  </si>
  <si>
    <t>Trou d'Eau Douce</t>
  </si>
  <si>
    <t>Trou d'Eau Douce_20</t>
  </si>
  <si>
    <t>0-4</t>
  </si>
  <si>
    <t>20 17.796</t>
  </si>
  <si>
    <t>57 48.019</t>
  </si>
  <si>
    <t>Trou d'Eau Douce_21</t>
  </si>
  <si>
    <t>20 18.044</t>
  </si>
  <si>
    <t>57 47.746</t>
  </si>
  <si>
    <t>Trou d'Eau Douce_22</t>
  </si>
  <si>
    <t>20 15.969</t>
  </si>
  <si>
    <t>57 49.143</t>
  </si>
  <si>
    <t>Trou d'Eau Douce_23</t>
  </si>
  <si>
    <t>20 14.505</t>
  </si>
  <si>
    <t>57 47.783</t>
  </si>
  <si>
    <t>Balaclava</t>
  </si>
  <si>
    <t>20 04.728</t>
  </si>
  <si>
    <t>57 30.698</t>
  </si>
  <si>
    <t>Grande Baie Aquarium</t>
  </si>
  <si>
    <t>005-14</t>
  </si>
  <si>
    <t>19 59.650</t>
  </si>
  <si>
    <t>57 33.822</t>
  </si>
  <si>
    <t>Blue Bay</t>
  </si>
  <si>
    <t>0-8</t>
  </si>
  <si>
    <t>20 26.170</t>
  </si>
  <si>
    <t>57 42.622</t>
  </si>
  <si>
    <t>Blue Bay (shallow)</t>
  </si>
  <si>
    <t>20 26.591</t>
  </si>
  <si>
    <t>57 42.385</t>
  </si>
  <si>
    <t>Ile aux Aigrettes</t>
  </si>
  <si>
    <t>57 44.065</t>
  </si>
  <si>
    <t>Barrier Reef</t>
  </si>
  <si>
    <t>20 23.533</t>
  </si>
  <si>
    <t>57 46.677</t>
  </si>
  <si>
    <t>Flic en Flac (south)</t>
  </si>
  <si>
    <t>21 17.800</t>
  </si>
  <si>
    <t>57 21.759</t>
  </si>
  <si>
    <t>Flic en Flac (middle)</t>
  </si>
  <si>
    <t>20 17.281</t>
  </si>
  <si>
    <t>57 21.801</t>
  </si>
  <si>
    <t>Flic en Flac (Baie Dangereux)</t>
  </si>
  <si>
    <t>20 16.763</t>
  </si>
  <si>
    <t>57 21.900</t>
  </si>
  <si>
    <t>Balaclava Maritime Hotel</t>
  </si>
  <si>
    <t>002-7</t>
  </si>
  <si>
    <t>20 05.206</t>
  </si>
  <si>
    <t>57 31.037</t>
  </si>
  <si>
    <t>Hibiscus Hotel</t>
  </si>
  <si>
    <t>005-7</t>
  </si>
  <si>
    <t>19 59.675</t>
  </si>
  <si>
    <t>57 35.313</t>
  </si>
  <si>
    <t>Likley same data as Naim 93</t>
  </si>
  <si>
    <r>
      <t>QUOD, J. P., DAHALANI, Y., BIGOT, L., NICET, J. B., Ahamada, S., &amp; Maharavo, J. (2002). Status of coral reefs at Réunion, Mayotte and Madagascar. </t>
    </r>
    <r>
      <rPr>
        <i/>
        <sz val="10"/>
        <color rgb="FFFF0000"/>
        <rFont val="Arial"/>
        <family val="2"/>
      </rPr>
      <t>Coral Reef Degradation in the Indian Ocean</t>
    </r>
    <r>
      <rPr>
        <sz val="10"/>
        <color rgb="FFFF0000"/>
        <rFont val="Arial"/>
        <family val="2"/>
      </rPr>
      <t>, 185.</t>
    </r>
  </si>
  <si>
    <r>
      <t>Quod, J. P., &amp; Bigot, L. (2000). Coral bleaching in the Indian Ocean islands: Ecological consequences and recovery in Madagascar, Comoros, Mayotte and Reunion. </t>
    </r>
    <r>
      <rPr>
        <i/>
        <sz val="10"/>
        <color rgb="FFFF0000"/>
        <rFont val="Arial"/>
        <family val="2"/>
      </rPr>
      <t>Coral reef degradation in the Indian Ocean</t>
    </r>
    <r>
      <rPr>
        <sz val="10"/>
        <color rgb="FFFF0000"/>
        <rFont val="Arial"/>
        <family val="2"/>
      </rPr>
      <t>, 108-113.</t>
    </r>
  </si>
  <si>
    <t>mean</t>
  </si>
  <si>
    <t>min</t>
  </si>
  <si>
    <t>max</t>
  </si>
  <si>
    <t>cv</t>
  </si>
  <si>
    <t>National</t>
  </si>
  <si>
    <t>Eco-region</t>
  </si>
  <si>
    <t>Mean hard coral cover</t>
  </si>
  <si>
    <t>changed HC value from 50 to be consisteny with ACR calc i..e sum of bleached, dead and live</t>
  </si>
  <si>
    <t>changed HC value from 30 to be consisteny with ACR calc i..e sum of bleached, dead and live</t>
  </si>
  <si>
    <t>Seychelles</t>
  </si>
  <si>
    <t>WIO</t>
  </si>
  <si>
    <t>Live Coral+Dead Coral</t>
  </si>
  <si>
    <t>Live coral +RDC</t>
  </si>
  <si>
    <t>Hard Coral+Dead coral</t>
  </si>
  <si>
    <t>Live Coral+RDC</t>
  </si>
  <si>
    <t>MadW</t>
  </si>
  <si>
    <t>Live coral+RDC</t>
  </si>
  <si>
    <t>Hard Coral+DSC (dead standing coral)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</si>
</sst>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rgb="FF222222"/>
      <name val="Arial"/>
      <family val="2"/>
    </font>
    <font>
      <i/>
      <sz val="10"/>
      <color rgb="FF222222"/>
      <name val="Arial"/>
      <family val="2"/>
    </font>
    <font>
      <sz val="11"/>
      <color theme="1"/>
      <name val="Calibri"/>
      <family val="2"/>
    </font>
    <font>
      <sz val="10"/>
      <color theme="1"/>
      <name val="Arial Unicode M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8"/>
      <color rgb="FF222222"/>
      <name val="Arial"/>
      <family val="2"/>
    </font>
    <font>
      <i/>
      <sz val="8"/>
      <color rgb="FF222222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i/>
      <sz val="10"/>
      <color rgb="FFFF0000"/>
      <name val="Arial"/>
      <family val="2"/>
    </font>
    <font>
      <sz val="10"/>
      <color rgb="FFFF0000"/>
      <name val="Arial Unicode MS"/>
      <family val="2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 tint="-0.249977111117893"/>
      </top>
      <bottom style="medium">
        <color theme="4" tint="-0.249977111117893"/>
      </bottom>
      <diagonal/>
    </border>
    <border>
      <left/>
      <right/>
      <top style="medium">
        <color theme="4" tint="-0.249977111117893"/>
      </top>
      <bottom/>
      <diagonal/>
    </border>
  </borders>
  <cellStyleXfs count="2">
    <xf numFmtId="0" fontId="0" fillId="0" borderId="0"/>
    <xf numFmtId="0" fontId="2" fillId="0" borderId="0"/>
  </cellStyleXfs>
  <cellXfs count="51">
    <xf numFmtId="0" fontId="0" fillId="0" borderId="0" xfId="0"/>
    <xf numFmtId="0" fontId="1" fillId="2" borderId="0" xfId="0" applyFont="1" applyFill="1" applyAlignment="1">
      <alignment vertical="top"/>
    </xf>
    <xf numFmtId="49" fontId="1" fillId="2" borderId="0" xfId="0" applyNumberFormat="1" applyFont="1" applyFill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49" fontId="0" fillId="0" borderId="0" xfId="0" applyNumberFormat="1" applyAlignment="1">
      <alignment horizontal="right"/>
    </xf>
    <xf numFmtId="3" fontId="0" fillId="0" borderId="0" xfId="0" applyNumberFormat="1"/>
    <xf numFmtId="164" fontId="0" fillId="0" borderId="0" xfId="0" applyNumberFormat="1" applyAlignment="1">
      <alignment horizontal="center" vertical="center"/>
    </xf>
    <xf numFmtId="0" fontId="3" fillId="0" borderId="0" xfId="0" applyFon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9" fillId="0" borderId="0" xfId="0" applyFont="1"/>
    <xf numFmtId="0" fontId="10" fillId="0" borderId="0" xfId="0" applyFont="1"/>
    <xf numFmtId="0" fontId="10" fillId="3" borderId="0" xfId="0" applyFont="1" applyFill="1"/>
    <xf numFmtId="0" fontId="9" fillId="0" borderId="0" xfId="0" applyFont="1" applyAlignment="1">
      <alignment horizontal="right"/>
    </xf>
    <xf numFmtId="0" fontId="11" fillId="0" borderId="0" xfId="0" applyFont="1"/>
    <xf numFmtId="0" fontId="12" fillId="0" borderId="0" xfId="0" applyFont="1"/>
    <xf numFmtId="0" fontId="1" fillId="2" borderId="0" xfId="0" applyFont="1" applyFill="1" applyAlignment="1">
      <alignment horizontal="right" vertical="top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13" fillId="0" borderId="0" xfId="0" applyFont="1"/>
    <xf numFmtId="164" fontId="0" fillId="0" borderId="0" xfId="0" applyNumberFormat="1" applyAlignment="1">
      <alignment horizontal="right"/>
    </xf>
    <xf numFmtId="0" fontId="12" fillId="0" borderId="0" xfId="0" applyFont="1" applyAlignment="1">
      <alignment horizontal="right"/>
    </xf>
    <xf numFmtId="1" fontId="0" fillId="0" borderId="0" xfId="0" applyNumberFormat="1" applyAlignment="1">
      <alignment horizontal="right"/>
    </xf>
    <xf numFmtId="0" fontId="14" fillId="0" borderId="0" xfId="0" applyFon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pivotButton="1"/>
    <xf numFmtId="0" fontId="9" fillId="0" borderId="0" xfId="0" applyFont="1" applyAlignment="1">
      <alignment horizontal="left" vertical="top"/>
    </xf>
    <xf numFmtId="0" fontId="0" fillId="4" borderId="0" xfId="0" applyFill="1"/>
    <xf numFmtId="0" fontId="0" fillId="4" borderId="0" xfId="0" applyFill="1" applyAlignment="1">
      <alignment horizontal="right"/>
    </xf>
    <xf numFmtId="0" fontId="10" fillId="4" borderId="0" xfId="0" applyFont="1" applyFill="1" applyAlignment="1">
      <alignment horizontal="right"/>
    </xf>
    <xf numFmtId="164" fontId="0" fillId="0" borderId="0" xfId="0" applyNumberFormat="1"/>
    <xf numFmtId="0" fontId="14" fillId="0" borderId="1" xfId="0" applyFont="1" applyBorder="1"/>
    <xf numFmtId="164" fontId="0" fillId="4" borderId="0" xfId="0" applyNumberFormat="1" applyFill="1" applyAlignment="1">
      <alignment horizontal="right"/>
    </xf>
    <xf numFmtId="0" fontId="17" fillId="4" borderId="0" xfId="0" applyFont="1" applyFill="1"/>
    <xf numFmtId="0" fontId="0" fillId="0" borderId="0" xfId="0" applyAlignment="1">
      <alignment horizontal="left" indent="6"/>
    </xf>
    <xf numFmtId="0" fontId="19" fillId="0" borderId="0" xfId="0" applyFont="1" applyAlignment="1">
      <alignment horizontal="right"/>
    </xf>
    <xf numFmtId="0" fontId="19" fillId="0" borderId="0" xfId="0" applyFont="1"/>
    <xf numFmtId="164" fontId="19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right"/>
    </xf>
    <xf numFmtId="164" fontId="19" fillId="0" borderId="0" xfId="0" applyNumberFormat="1" applyFont="1" applyAlignment="1">
      <alignment horizontal="right"/>
    </xf>
    <xf numFmtId="0" fontId="20" fillId="0" borderId="0" xfId="0" applyFont="1"/>
    <xf numFmtId="0" fontId="22" fillId="0" borderId="0" xfId="0" applyFont="1" applyAlignment="1">
      <alignment horizontal="left" vertical="center"/>
    </xf>
    <xf numFmtId="164" fontId="14" fillId="0" borderId="1" xfId="0" applyNumberFormat="1" applyFont="1" applyBorder="1"/>
    <xf numFmtId="2" fontId="0" fillId="0" borderId="0" xfId="0" applyNumberFormat="1"/>
    <xf numFmtId="0" fontId="23" fillId="5" borderId="2" xfId="0" applyFont="1" applyFill="1" applyBorder="1"/>
    <xf numFmtId="164" fontId="0" fillId="0" borderId="0" xfId="0" applyNumberFormat="1" applyAlignment="1">
      <alignment horizontal="left" indent="5"/>
    </xf>
    <xf numFmtId="0" fontId="14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7768022013604726"/>
          <c:y val="2.83911707184940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Sheet1!$M$5</c:f>
              <c:strCache>
                <c:ptCount val="1"/>
                <c:pt idx="0">
                  <c:v>Mean hard coral cover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Sheet1!$N$6:$N$17</c:f>
                <c:numCache>
                  <c:formatCode>General</c:formatCode>
                  <c:ptCount val="12"/>
                  <c:pt idx="0">
                    <c:v>27.548551639530846</c:v>
                  </c:pt>
                  <c:pt idx="1">
                    <c:v>4.4086090020927919</c:v>
                  </c:pt>
                  <c:pt idx="5">
                    <c:v>15.154757228892407</c:v>
                  </c:pt>
                  <c:pt idx="6">
                    <c:v>18.8</c:v>
                  </c:pt>
                  <c:pt idx="7">
                    <c:v>15.934897478844668</c:v>
                  </c:pt>
                  <c:pt idx="8">
                    <c:v>14.1</c:v>
                  </c:pt>
                  <c:pt idx="9">
                    <c:v>10.617194440047591</c:v>
                  </c:pt>
                  <c:pt idx="11">
                    <c:v>17.49505195142952</c:v>
                  </c:pt>
                </c:numCache>
              </c:numRef>
            </c:plus>
            <c:minus>
              <c:numRef>
                <c:f>Sheet1!$N$6:$N$17</c:f>
                <c:numCache>
                  <c:formatCode>General</c:formatCode>
                  <c:ptCount val="12"/>
                  <c:pt idx="0">
                    <c:v>27.548551639530846</c:v>
                  </c:pt>
                  <c:pt idx="1">
                    <c:v>4.4086090020927919</c:v>
                  </c:pt>
                  <c:pt idx="5">
                    <c:v>15.154757228892407</c:v>
                  </c:pt>
                  <c:pt idx="6">
                    <c:v>18.8</c:v>
                  </c:pt>
                  <c:pt idx="7">
                    <c:v>15.934897478844668</c:v>
                  </c:pt>
                  <c:pt idx="8">
                    <c:v>14.1</c:v>
                  </c:pt>
                  <c:pt idx="9">
                    <c:v>10.617194440047591</c:v>
                  </c:pt>
                  <c:pt idx="11">
                    <c:v>17.49505195142952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Sheet1!$L$6:$L$17</c:f>
              <c:strCache>
                <c:ptCount val="12"/>
                <c:pt idx="0">
                  <c:v>Dela</c:v>
                </c:pt>
                <c:pt idx="1">
                  <c:v>Com</c:v>
                </c:pt>
                <c:pt idx="2">
                  <c:v>MadS</c:v>
                </c:pt>
                <c:pt idx="3">
                  <c:v>MadN</c:v>
                </c:pt>
                <c:pt idx="4">
                  <c:v>MadE</c:v>
                </c:pt>
                <c:pt idx="5">
                  <c:v>SeyS</c:v>
                </c:pt>
                <c:pt idx="6">
                  <c:v>Masc</c:v>
                </c:pt>
                <c:pt idx="7">
                  <c:v>NMoz_Stanz</c:v>
                </c:pt>
                <c:pt idx="8">
                  <c:v>Ntanz_Ken</c:v>
                </c:pt>
                <c:pt idx="9">
                  <c:v>SeyN</c:v>
                </c:pt>
                <c:pt idx="11">
                  <c:v>Overall</c:v>
                </c:pt>
              </c:strCache>
            </c:strRef>
          </c:cat>
          <c:val>
            <c:numRef>
              <c:f>Sheet1!$M$6:$M$17</c:f>
              <c:numCache>
                <c:formatCode>0.0</c:formatCode>
                <c:ptCount val="12"/>
                <c:pt idx="0">
                  <c:v>41.471538461538458</c:v>
                </c:pt>
                <c:pt idx="1">
                  <c:v>56.524999999999999</c:v>
                </c:pt>
                <c:pt idx="2">
                  <c:v>54.7</c:v>
                </c:pt>
                <c:pt idx="3">
                  <c:v>50.9</c:v>
                </c:pt>
                <c:pt idx="4">
                  <c:v>47.1</c:v>
                </c:pt>
                <c:pt idx="5">
                  <c:v>44.5</c:v>
                </c:pt>
                <c:pt idx="6">
                  <c:v>47</c:v>
                </c:pt>
                <c:pt idx="7">
                  <c:v>44.203125</c:v>
                </c:pt>
                <c:pt idx="8">
                  <c:v>37.200000000000003</c:v>
                </c:pt>
                <c:pt idx="9">
                  <c:v>30.252000000000002</c:v>
                </c:pt>
                <c:pt idx="11">
                  <c:v>42.179496855345917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40-734F-836F-C9B8A5124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3504288"/>
        <c:axId val="1493495280"/>
      </c:barChart>
      <c:catAx>
        <c:axId val="149350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493495280"/>
        <c:crosses val="autoZero"/>
        <c:auto val="1"/>
        <c:lblAlgn val="ctr"/>
        <c:lblOffset val="100"/>
        <c:noMultiLvlLbl val="0"/>
      </c:catAx>
      <c:valAx>
        <c:axId val="149349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49350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'Results tables'!$M$3:$M$13</c:f>
                <c:numCache>
                  <c:formatCode>General</c:formatCode>
                  <c:ptCount val="11"/>
                  <c:pt idx="0">
                    <c:v>9.3542681085242183</c:v>
                  </c:pt>
                  <c:pt idx="1">
                    <c:v>13.25356000277859</c:v>
                  </c:pt>
                  <c:pt idx="2">
                    <c:v>15.786842165409642</c:v>
                  </c:pt>
                  <c:pt idx="3">
                    <c:v>26.61109812821979</c:v>
                  </c:pt>
                  <c:pt idx="4">
                    <c:v>16.595883023609606</c:v>
                  </c:pt>
                  <c:pt idx="5">
                    <c:v>18.185960702329329</c:v>
                  </c:pt>
                  <c:pt idx="6">
                    <c:v>8.0229670322143924</c:v>
                  </c:pt>
                  <c:pt idx="7">
                    <c:v>21.292374969806417</c:v>
                  </c:pt>
                  <c:pt idx="8">
                    <c:v>10.138079667306798</c:v>
                  </c:pt>
                  <c:pt idx="9">
                    <c:v>13.884523758487363</c:v>
                  </c:pt>
                  <c:pt idx="10">
                    <c:v>18.951940017606319</c:v>
                  </c:pt>
                </c:numCache>
              </c:numRef>
            </c:plus>
            <c:minus>
              <c:numRef>
                <c:f>'Results tables'!$M$3:$M$13</c:f>
                <c:numCache>
                  <c:formatCode>General</c:formatCode>
                  <c:ptCount val="11"/>
                  <c:pt idx="0">
                    <c:v>9.3542681085242183</c:v>
                  </c:pt>
                  <c:pt idx="1">
                    <c:v>13.25356000277859</c:v>
                  </c:pt>
                  <c:pt idx="2">
                    <c:v>15.786842165409642</c:v>
                  </c:pt>
                  <c:pt idx="3">
                    <c:v>26.61109812821979</c:v>
                  </c:pt>
                  <c:pt idx="4">
                    <c:v>16.595883023609606</c:v>
                  </c:pt>
                  <c:pt idx="5">
                    <c:v>18.185960702329329</c:v>
                  </c:pt>
                  <c:pt idx="6">
                    <c:v>8.0229670322143924</c:v>
                  </c:pt>
                  <c:pt idx="7">
                    <c:v>21.292374969806417</c:v>
                  </c:pt>
                  <c:pt idx="8">
                    <c:v>10.138079667306798</c:v>
                  </c:pt>
                  <c:pt idx="9">
                    <c:v>13.884523758487363</c:v>
                  </c:pt>
                  <c:pt idx="10">
                    <c:v>18.951940017606319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'Results tables'!$J$3:$J$13</c:f>
              <c:strCache>
                <c:ptCount val="11"/>
                <c:pt idx="0">
                  <c:v>Kenya</c:v>
                </c:pt>
                <c:pt idx="1">
                  <c:v>Seychelles</c:v>
                </c:pt>
                <c:pt idx="2">
                  <c:v>Tanzania</c:v>
                </c:pt>
                <c:pt idx="3">
                  <c:v>Mozambique</c:v>
                </c:pt>
                <c:pt idx="4">
                  <c:v>Comoros</c:v>
                </c:pt>
                <c:pt idx="5">
                  <c:v>Mayotte</c:v>
                </c:pt>
                <c:pt idx="6">
                  <c:v>Madagascar</c:v>
                </c:pt>
                <c:pt idx="7">
                  <c:v>Mauritius</c:v>
                </c:pt>
                <c:pt idx="8">
                  <c:v>Reunion</c:v>
                </c:pt>
                <c:pt idx="9">
                  <c:v>South Africa</c:v>
                </c:pt>
                <c:pt idx="10">
                  <c:v>WIO</c:v>
                </c:pt>
              </c:strCache>
            </c:strRef>
          </c:cat>
          <c:val>
            <c:numRef>
              <c:f>'Results tables'!$L$3:$L$13</c:f>
              <c:numCache>
                <c:formatCode>0.0</c:formatCode>
                <c:ptCount val="11"/>
                <c:pt idx="0">
                  <c:v>31.069615384615396</c:v>
                </c:pt>
                <c:pt idx="1">
                  <c:v>34.322857142857146</c:v>
                </c:pt>
                <c:pt idx="2">
                  <c:v>44.634999999999998</c:v>
                </c:pt>
                <c:pt idx="3">
                  <c:v>48.825384615384614</c:v>
                </c:pt>
                <c:pt idx="4">
                  <c:v>62.15</c:v>
                </c:pt>
                <c:pt idx="5">
                  <c:v>80.875</c:v>
                </c:pt>
                <c:pt idx="6">
                  <c:v>55.56</c:v>
                </c:pt>
                <c:pt idx="7">
                  <c:v>47.684375000000003</c:v>
                </c:pt>
                <c:pt idx="8">
                  <c:v>47.471428571428575</c:v>
                </c:pt>
                <c:pt idx="9">
                  <c:v>26.9</c:v>
                </c:pt>
                <c:pt idx="10">
                  <c:v>43.83993827160495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9C-4D21-93BA-DD0D7CFE6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3504288"/>
        <c:axId val="1493495280"/>
      </c:barChart>
      <c:catAx>
        <c:axId val="149350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493495280"/>
        <c:crosses val="autoZero"/>
        <c:auto val="1"/>
        <c:lblAlgn val="ctr"/>
        <c:lblOffset val="100"/>
        <c:noMultiLvlLbl val="0"/>
      </c:catAx>
      <c:valAx>
        <c:axId val="149349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49350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'Results tables'!$M$17:$M$28</c:f>
                <c:numCache>
                  <c:formatCode>General</c:formatCode>
                  <c:ptCount val="12"/>
                  <c:pt idx="0">
                    <c:v>14.796140995952085</c:v>
                  </c:pt>
                  <c:pt idx="1">
                    <c:v>15.934897478844668</c:v>
                  </c:pt>
                  <c:pt idx="2">
                    <c:v>18.972569484841596</c:v>
                  </c:pt>
                  <c:pt idx="4">
                    <c:v>15.154757228892407</c:v>
                  </c:pt>
                  <c:pt idx="5">
                    <c:v>10.617194440047591</c:v>
                  </c:pt>
                  <c:pt idx="6">
                    <c:v>18.493790183797337</c:v>
                  </c:pt>
                  <c:pt idx="9">
                    <c:v>9.5459415460183443</c:v>
                  </c:pt>
                  <c:pt idx="10">
                    <c:v>27.520105796979113</c:v>
                  </c:pt>
                  <c:pt idx="11">
                    <c:v>18.951940017606319</c:v>
                  </c:pt>
                </c:numCache>
              </c:numRef>
            </c:plus>
            <c:minus>
              <c:numRef>
                <c:f>'Results tables'!$M$17:$M$28</c:f>
                <c:numCache>
                  <c:formatCode>General</c:formatCode>
                  <c:ptCount val="12"/>
                  <c:pt idx="0">
                    <c:v>14.796140995952085</c:v>
                  </c:pt>
                  <c:pt idx="1">
                    <c:v>15.934897478844668</c:v>
                  </c:pt>
                  <c:pt idx="2">
                    <c:v>18.972569484841596</c:v>
                  </c:pt>
                  <c:pt idx="4">
                    <c:v>15.154757228892407</c:v>
                  </c:pt>
                  <c:pt idx="5">
                    <c:v>10.617194440047591</c:v>
                  </c:pt>
                  <c:pt idx="6">
                    <c:v>18.493790183797337</c:v>
                  </c:pt>
                  <c:pt idx="9">
                    <c:v>9.5459415460183443</c:v>
                  </c:pt>
                  <c:pt idx="10">
                    <c:v>27.520105796979113</c:v>
                  </c:pt>
                  <c:pt idx="11">
                    <c:v>18.951940017606319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'Results tables'!$J$17:$J$28</c:f>
              <c:strCache>
                <c:ptCount val="12"/>
                <c:pt idx="0">
                  <c:v>Ntanz_Ken</c:v>
                </c:pt>
                <c:pt idx="1">
                  <c:v>NMoz_Stanz</c:v>
                </c:pt>
                <c:pt idx="2">
                  <c:v>Com</c:v>
                </c:pt>
                <c:pt idx="3">
                  <c:v>MadN</c:v>
                </c:pt>
                <c:pt idx="4">
                  <c:v>SeyS</c:v>
                </c:pt>
                <c:pt idx="5">
                  <c:v>SeyN</c:v>
                </c:pt>
                <c:pt idx="6">
                  <c:v>Masc</c:v>
                </c:pt>
                <c:pt idx="7">
                  <c:v>MadE</c:v>
                </c:pt>
                <c:pt idx="8">
                  <c:v>MadW</c:v>
                </c:pt>
                <c:pt idx="9">
                  <c:v>MadS</c:v>
                </c:pt>
                <c:pt idx="10">
                  <c:v>Dela</c:v>
                </c:pt>
                <c:pt idx="11">
                  <c:v>WIO</c:v>
                </c:pt>
              </c:strCache>
            </c:strRef>
          </c:cat>
          <c:val>
            <c:numRef>
              <c:f>'Results tables'!$L$17:$L$28</c:f>
              <c:numCache>
                <c:formatCode>0.0</c:formatCode>
                <c:ptCount val="12"/>
                <c:pt idx="0">
                  <c:v>37.504999999999988</c:v>
                </c:pt>
                <c:pt idx="1">
                  <c:v>44.203125</c:v>
                </c:pt>
                <c:pt idx="2">
                  <c:v>71.512500000000003</c:v>
                </c:pt>
                <c:pt idx="3">
                  <c:v>50.9</c:v>
                </c:pt>
                <c:pt idx="4">
                  <c:v>44.5</c:v>
                </c:pt>
                <c:pt idx="5">
                  <c:v>30.252000000000002</c:v>
                </c:pt>
                <c:pt idx="6">
                  <c:v>47.619565217391305</c:v>
                </c:pt>
                <c:pt idx="7">
                  <c:v>47.1</c:v>
                </c:pt>
                <c:pt idx="8">
                  <c:v>56.7</c:v>
                </c:pt>
                <c:pt idx="9">
                  <c:v>61.55</c:v>
                </c:pt>
                <c:pt idx="10">
                  <c:v>41.433076923076925</c:v>
                </c:pt>
                <c:pt idx="11">
                  <c:v>43.83993827160495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1E-46D2-A4D8-8198B2AE2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3504288"/>
        <c:axId val="1493495280"/>
      </c:barChart>
      <c:catAx>
        <c:axId val="149350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493495280"/>
        <c:crosses val="autoZero"/>
        <c:auto val="1"/>
        <c:lblAlgn val="ctr"/>
        <c:lblOffset val="100"/>
        <c:noMultiLvlLbl val="0"/>
      </c:catAx>
      <c:valAx>
        <c:axId val="149349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49350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18</xdr:row>
      <xdr:rowOff>25399</xdr:rowOff>
    </xdr:from>
    <xdr:to>
      <xdr:col>12</xdr:col>
      <xdr:colOff>622300</xdr:colOff>
      <xdr:row>32</xdr:row>
      <xdr:rowOff>42332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AE1E24-BFF1-764E-9E9B-72B5ECDBF1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30</xdr:row>
      <xdr:rowOff>0</xdr:rowOff>
    </xdr:from>
    <xdr:to>
      <xdr:col>11</xdr:col>
      <xdr:colOff>341745</xdr:colOff>
      <xdr:row>44</xdr:row>
      <xdr:rowOff>16933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82DAE1-632A-48D2-B1FD-165FC7B5FB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457200</xdr:colOff>
      <xdr:row>29</xdr:row>
      <xdr:rowOff>171450</xdr:rowOff>
    </xdr:from>
    <xdr:to>
      <xdr:col>19</xdr:col>
      <xdr:colOff>189345</xdr:colOff>
      <xdr:row>43</xdr:row>
      <xdr:rowOff>188383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46F5B4-4662-4866-9EF1-FC0A14162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4314.59309328704" createdVersion="6" refreshedVersion="7" minRefreshableVersion="3" recordCount="964" xr:uid="{C21F5250-8E2D-4085-8EB2-3420F7694D72}">
  <cacheSource type="worksheet">
    <worksheetSource ref="B1:U965" sheet="Regional"/>
  </cacheSource>
  <cacheFields count="20">
    <cacheField name="data source/owner" numFmtId="0">
      <sharedItems/>
    </cacheField>
    <cacheField name="Country" numFmtId="0">
      <sharedItems count="11">
        <s v="Kenya"/>
        <s v="Tanzania"/>
        <s v="Mozambique"/>
        <s v="Madagascar"/>
        <s v="Comoros"/>
        <s v="Sychelles"/>
        <s v="Reunion"/>
        <s v="Mauritius"/>
        <s v="Rodrigues"/>
        <s v="South Africa"/>
        <s v="Mayotte"/>
      </sharedItems>
    </cacheField>
    <cacheField name="Ecoregion" numFmtId="0">
      <sharedItems containsBlank="1" count="12">
        <s v="Ntanz_Ken"/>
        <m/>
        <s v="NMoz_Stanz"/>
        <s v="Dela"/>
        <s v="MadS"/>
        <s v="MadN"/>
        <s v="MadE"/>
        <s v="MadW"/>
        <s v="Com"/>
        <s v="SeyS"/>
        <s v="SeyN"/>
        <s v="Masc"/>
      </sharedItems>
    </cacheField>
    <cacheField name="Year" numFmtId="0">
      <sharedItems containsBlank="1" containsMixedTypes="1" containsNumber="1" containsInteger="1" minValue="1970" maxValue="2018"/>
    </cacheField>
    <cacheField name="Bleaching Period" numFmtId="0">
      <sharedItems containsBlank="1" longText="1"/>
    </cacheField>
    <cacheField name="Include/Exclude" numFmtId="0">
      <sharedItems containsBlank="1" count="11">
        <m/>
        <s v="no-degraded"/>
        <s v="yes"/>
        <s v="very specific habitat, can only use for comparison at a site level"/>
        <s v="degraded"/>
        <s v="?"/>
        <s v="subset of 'live coral'"/>
        <s v="no"/>
        <s v="add to RDC"/>
        <s v="add to LC"/>
        <s v="Mohéli island"/>
      </sharedItems>
    </cacheField>
    <cacheField name="Sector" numFmtId="0">
      <sharedItems containsBlank="1"/>
    </cacheField>
    <cacheField name="Site" numFmtId="0">
      <sharedItems containsBlank="1" longText="1"/>
    </cacheField>
    <cacheField name="Station" numFmtId="0">
      <sharedItems containsBlank="1"/>
    </cacheField>
    <cacheField name="Zone" numFmtId="0">
      <sharedItems containsBlank="1"/>
    </cacheField>
    <cacheField name="Depth (m)" numFmtId="0">
      <sharedItems containsBlank="1" containsMixedTypes="1" containsNumber="1" minValue="-12" maxValue="20"/>
    </cacheField>
    <cacheField name="Latitude" numFmtId="0">
      <sharedItems containsBlank="1" containsMixedTypes="1" containsNumber="1" minValue="-22345383000" maxValue="-3.1534"/>
    </cacheField>
    <cacheField name="Longitude" numFmtId="0">
      <sharedItems containsBlank="1" containsMixedTypes="1" containsNumber="1" minValue="32.902983329999998" maxValue="47291333000"/>
    </cacheField>
    <cacheField name="Benthic category" numFmtId="0">
      <sharedItems containsBlank="1"/>
    </cacheField>
    <cacheField name="Benthic code" numFmtId="0">
      <sharedItems containsBlank="1" count="13">
        <s v="HC"/>
        <m/>
        <s v="SC"/>
        <s v="Acr"/>
        <s v="SC "/>
        <s v="RDC"/>
        <s v="UNID"/>
        <s v="ALG"/>
        <s v="mtp"/>
        <s v="Sin"/>
        <s v="DC"/>
        <s v="AMAC"/>
        <s v="RUB"/>
      </sharedItems>
    </cacheField>
    <cacheField name="# samples" numFmtId="0">
      <sharedItems containsBlank="1" containsMixedTypes="1" containsNumber="1" containsInteger="1" minValue="1" maxValue="65"/>
    </cacheField>
    <cacheField name="No. of Site" numFmtId="0">
      <sharedItems containsString="0" containsBlank="1" containsNumber="1" containsInteger="1" minValue="1" maxValue="40"/>
    </cacheField>
    <cacheField name="mean cover (%)" numFmtId="0">
      <sharedItems containsBlank="1" containsMixedTypes="1" containsNumber="1" minValue="0" maxValue="484.6"/>
    </cacheField>
    <cacheField name="standard deviation" numFmtId="0">
      <sharedItems containsBlank="1" containsMixedTypes="1" containsNumber="1" minValue="0" maxValue="238.6"/>
    </cacheField>
    <cacheField name="standard error" numFmtId="0">
      <sharedItems containsString="0" containsBlank="1" containsNumber="1" minValue="0.2" maxValue="2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">
  <r>
    <s v="McClanahan &amp; Obura 1995"/>
    <x v="0"/>
    <x v="0"/>
    <s v="n.d"/>
    <s v="Before"/>
    <x v="0"/>
    <s v="Watamu"/>
    <m/>
    <m/>
    <s v="Shallow coral reef community"/>
    <m/>
    <m/>
    <m/>
    <s v="Coral  "/>
    <x v="0"/>
    <m/>
    <m/>
    <n v="24.73"/>
    <n v="8.66"/>
    <m/>
  </r>
  <r>
    <s v="McClanahan &amp; Obura 1995"/>
    <x v="0"/>
    <x v="0"/>
    <s v="n.d"/>
    <s v="Before"/>
    <x v="0"/>
    <s v="Watamu"/>
    <m/>
    <m/>
    <s v="Shallow coral reef community"/>
    <m/>
    <m/>
    <m/>
    <s v="Soft coral"/>
    <x v="1"/>
    <m/>
    <m/>
    <n v="1.4"/>
    <n v="0.8"/>
    <m/>
  </r>
  <r>
    <s v="McClanahan &amp; Obura 1995"/>
    <x v="0"/>
    <x v="0"/>
    <s v="n.d"/>
    <s v="Before"/>
    <x v="0"/>
    <s v="Watamu"/>
    <m/>
    <m/>
    <s v="Shallow coral reef community"/>
    <m/>
    <m/>
    <m/>
    <s v="Coralline algae"/>
    <x v="1"/>
    <m/>
    <m/>
    <n v="16.73"/>
    <n v="6.78"/>
    <m/>
  </r>
  <r>
    <s v="McClanahan &amp; Obura 1995"/>
    <x v="0"/>
    <x v="0"/>
    <s v="n.d"/>
    <s v="Before"/>
    <x v="0"/>
    <s v="Malindi"/>
    <m/>
    <m/>
    <s v="Shallow coral reef community"/>
    <m/>
    <m/>
    <m/>
    <s v="Coral  "/>
    <x v="0"/>
    <m/>
    <m/>
    <n v="40.770000000000003"/>
    <n v="6.73"/>
    <m/>
  </r>
  <r>
    <s v="McClanahan &amp; Obura 1995"/>
    <x v="0"/>
    <x v="0"/>
    <s v="n.d"/>
    <s v="Before"/>
    <x v="0"/>
    <s v="Malindi"/>
    <m/>
    <m/>
    <s v="Shallow coral reef community"/>
    <m/>
    <m/>
    <m/>
    <s v="Soft coral"/>
    <x v="1"/>
    <m/>
    <m/>
    <n v="10.69"/>
    <n v="4.55"/>
    <m/>
  </r>
  <r>
    <s v="McClanahan &amp; Obura 1995"/>
    <x v="0"/>
    <x v="0"/>
    <s v="n.d"/>
    <s v="Before"/>
    <x v="0"/>
    <s v="Malindi"/>
    <m/>
    <m/>
    <s v="Shallow coral reef community"/>
    <m/>
    <m/>
    <m/>
    <s v="Coralline algae"/>
    <x v="1"/>
    <m/>
    <m/>
    <n v="9.11"/>
    <n v="3.24"/>
    <m/>
  </r>
  <r>
    <s v="Uku et al. 2002"/>
    <x v="0"/>
    <x v="0"/>
    <s v="1999/2000"/>
    <s v="After"/>
    <x v="0"/>
    <s v="Mombasa marine park and reserve"/>
    <s v="Starfish"/>
    <m/>
    <m/>
    <m/>
    <m/>
    <m/>
    <s v="Hard Coral"/>
    <x v="0"/>
    <m/>
    <m/>
    <n v="30.03"/>
    <n v="12.8"/>
    <m/>
  </r>
  <r>
    <s v="Uku et al. 2002"/>
    <x v="0"/>
    <x v="0"/>
    <s v="1999/2000"/>
    <s v="After"/>
    <x v="0"/>
    <s v="Mombasa marine park and reserve"/>
    <s v="Starfish"/>
    <m/>
    <m/>
    <m/>
    <m/>
    <m/>
    <s v="Soft coral"/>
    <x v="2"/>
    <m/>
    <m/>
    <n v="0.11"/>
    <n v="0.18"/>
    <m/>
  </r>
  <r>
    <s v="Uku et al. 2002"/>
    <x v="0"/>
    <x v="0"/>
    <s v="1999/2000"/>
    <s v="After"/>
    <x v="0"/>
    <s v="Mombasa marine park and reserve"/>
    <s v="Ras Iwatine"/>
    <m/>
    <m/>
    <m/>
    <m/>
    <m/>
    <s v="Hard Coral"/>
    <x v="0"/>
    <m/>
    <m/>
    <n v="4.8099999999999996"/>
    <n v="2.2000000000000002"/>
    <m/>
  </r>
  <r>
    <s v="Uku et al. 2002"/>
    <x v="0"/>
    <x v="0"/>
    <s v="1999/2000"/>
    <s v="After"/>
    <x v="0"/>
    <s v="Mombasa marine park and reserve"/>
    <s v="Ras Iwatine"/>
    <m/>
    <m/>
    <m/>
    <m/>
    <m/>
    <s v="Soft coral"/>
    <x v="2"/>
    <m/>
    <m/>
    <n v="1.06"/>
    <n v="2.66"/>
    <m/>
  </r>
  <r>
    <s v="McClanahan et al. 2001"/>
    <x v="0"/>
    <x v="0"/>
    <n v="1998"/>
    <s v="Before"/>
    <x v="0"/>
    <s v="Malindi/Watamu/Mombasa/Kisite MNPs"/>
    <s v="Unspecified 9 sites (protected)"/>
    <m/>
    <s v="Shallow fringing reef back reef lagoon"/>
    <m/>
    <m/>
    <m/>
    <s v="Hard Coral"/>
    <x v="0"/>
    <m/>
    <n v="9"/>
    <n v="39.6"/>
    <m/>
    <n v="2.9"/>
  </r>
  <r>
    <s v="McClanahan et al. 2001"/>
    <x v="0"/>
    <x v="0"/>
    <n v="1998"/>
    <s v="Before"/>
    <x v="0"/>
    <s v="Malindi/Watamu/Mombasa/Kisite MNPs"/>
    <s v="Unspecified 9 sites (protected)"/>
    <m/>
    <s v="Shallow fringing reef back reef lagoon"/>
    <m/>
    <m/>
    <m/>
    <s v="Soft coral"/>
    <x v="2"/>
    <m/>
    <m/>
    <n v="3.8"/>
    <m/>
    <n v="1"/>
  </r>
  <r>
    <s v="McClanahan et al. 2001"/>
    <x v="0"/>
    <x v="0"/>
    <n v="1998"/>
    <s v="Before"/>
    <x v="0"/>
    <s v="Malindi/Watamu/Mombasa/Kisite MNPs"/>
    <s v="Unspecified 9 sites (protected)"/>
    <m/>
    <s v="Shallow fringing reef back reef lagoon"/>
    <m/>
    <m/>
    <m/>
    <s v="Corraline Algae"/>
    <x v="1"/>
    <m/>
    <m/>
    <n v="2.2000000000000002"/>
    <m/>
    <n v="0.6"/>
  </r>
  <r>
    <s v="McClanahan et al. 2001"/>
    <x v="0"/>
    <x v="0"/>
    <n v="1998"/>
    <s v="Before"/>
    <x v="1"/>
    <s v="Vipingo/Kanamai/Ras Iwatine/Diani non - park areas"/>
    <s v="Unspecified 7 sites (unprotected)"/>
    <m/>
    <s v="Shallow fringing reef back reef lagoon"/>
    <m/>
    <m/>
    <m/>
    <s v="Hard Coral"/>
    <x v="0"/>
    <m/>
    <m/>
    <n v="20.6"/>
    <m/>
    <n v="0.7"/>
  </r>
  <r>
    <s v="McClanahan et al. 2001"/>
    <x v="0"/>
    <x v="0"/>
    <n v="1998"/>
    <s v="Before"/>
    <x v="0"/>
    <s v="Vipingo/Kanamai/Ras Iwatine/Diani non - park areas"/>
    <s v="Unspecified 7 sites (unprotected)"/>
    <m/>
    <s v="Shallow fringing reef back reef lagoon"/>
    <m/>
    <m/>
    <m/>
    <s v="Soft coral"/>
    <x v="2"/>
    <m/>
    <m/>
    <n v="3.1"/>
    <m/>
    <n v="0.6"/>
  </r>
  <r>
    <s v="McClanahan et al. 2001"/>
    <x v="0"/>
    <x v="0"/>
    <n v="1998"/>
    <s v="Before"/>
    <x v="0"/>
    <s v="Vipingo/Kanamai/Ras Iwatine/Diani non - park areas"/>
    <s v="Unspecified 7 sites (unprotected)"/>
    <m/>
    <s v="Shallow fringing reef back reef lagoon"/>
    <m/>
    <m/>
    <m/>
    <s v="Corraline Algae"/>
    <x v="1"/>
    <m/>
    <m/>
    <n v="1.9"/>
    <m/>
    <n v="1"/>
  </r>
  <r>
    <s v="McClanahan et al. 2001"/>
    <x v="0"/>
    <x v="0"/>
    <n v="1998"/>
    <s v="After"/>
    <x v="0"/>
    <s v="Malindi/Watamu/Mombasa/Kisite MNPs"/>
    <s v="Unspecified 9 sites (protected)"/>
    <m/>
    <s v="Shallow fringing reef back reef lagoon"/>
    <m/>
    <m/>
    <m/>
    <s v="Hard Coral"/>
    <x v="0"/>
    <m/>
    <m/>
    <n v="11.4"/>
    <m/>
    <n v="1.4"/>
  </r>
  <r>
    <s v="McClanahan et al. 2001"/>
    <x v="0"/>
    <x v="0"/>
    <n v="1998"/>
    <s v="After"/>
    <x v="0"/>
    <s v="Malindi/Watamu/Mombasa/Kisite MNPs"/>
    <s v="Unspecified 9 sites (protected)"/>
    <m/>
    <s v="Shallow fringing reef back reef lagoon"/>
    <m/>
    <m/>
    <m/>
    <s v="Soft coral"/>
    <x v="2"/>
    <m/>
    <m/>
    <n v="1.3"/>
    <m/>
    <n v="0.3"/>
  </r>
  <r>
    <s v="McClanahan et al. 2001"/>
    <x v="0"/>
    <x v="0"/>
    <n v="1998"/>
    <s v="After"/>
    <x v="0"/>
    <s v="Malindi/Watamu/Mombasa/Kisite MNPs"/>
    <s v="Unspecified 9 sites (protected)"/>
    <m/>
    <s v="Shallow fringing reef back reef lagoon"/>
    <m/>
    <m/>
    <m/>
    <s v="Corraline Algae"/>
    <x v="1"/>
    <m/>
    <m/>
    <n v="2.6"/>
    <m/>
    <n v="0.4"/>
  </r>
  <r>
    <s v="McClanahan et al. 2001"/>
    <x v="0"/>
    <x v="0"/>
    <n v="1998"/>
    <s v="After"/>
    <x v="0"/>
    <s v="Vipingo/Kanamai/Ras Iwatine/Diani non - park areas"/>
    <s v="Unspecified 7 sites (unprotected)"/>
    <m/>
    <s v="Shallow fringing reef back reef lagoon"/>
    <m/>
    <m/>
    <m/>
    <s v="Hard Coral"/>
    <x v="0"/>
    <m/>
    <m/>
    <n v="11.4"/>
    <m/>
    <n v="2.2000000000000002"/>
  </r>
  <r>
    <s v="McClanahan et al. 2001"/>
    <x v="0"/>
    <x v="0"/>
    <n v="1998"/>
    <s v="After"/>
    <x v="0"/>
    <s v="Vipingo/Kanamai/Ras Iwatine/Diani non - park areas"/>
    <s v="Unspecified 7 sites (unprotected)"/>
    <m/>
    <s v="Shallow fringing reef back reef lagoon"/>
    <m/>
    <m/>
    <m/>
    <s v="Soft coral"/>
    <x v="2"/>
    <m/>
    <m/>
    <n v="0.4"/>
    <m/>
    <n v="0.2"/>
  </r>
  <r>
    <s v="McClanahan et al. 2001"/>
    <x v="0"/>
    <x v="0"/>
    <n v="1998"/>
    <s v="After"/>
    <x v="0"/>
    <s v="Vipingo/Kanamai/Ras Iwatine/Diani non - park areas"/>
    <s v="Unspecified 7 sites (unprotected)"/>
    <m/>
    <s v="Shallow fringing reef back reef lagoon"/>
    <m/>
    <m/>
    <m/>
    <s v="Corraline Algae"/>
    <x v="1"/>
    <m/>
    <m/>
    <n v="2.2000000000000002"/>
    <m/>
    <n v="0.9"/>
  </r>
  <r>
    <s v="McClanahan et al. 1997"/>
    <x v="0"/>
    <x v="0"/>
    <s v="n.d"/>
    <s v="Before"/>
    <x v="0"/>
    <s v="Kinondo"/>
    <s v="Mgwani "/>
    <s v="Makonde"/>
    <m/>
    <m/>
    <m/>
    <m/>
    <s v="Hard Coral"/>
    <x v="0"/>
    <m/>
    <m/>
    <n v="1.8"/>
    <n v="1.6"/>
    <m/>
  </r>
  <r>
    <s v="McClanahan et al. 1997"/>
    <x v="0"/>
    <x v="0"/>
    <s v="n.d"/>
    <s v="Before"/>
    <x v="0"/>
    <s v="Kinondo"/>
    <s v="Mgwani "/>
    <s v="Makonde"/>
    <m/>
    <m/>
    <m/>
    <m/>
    <s v="Soft coral"/>
    <x v="2"/>
    <m/>
    <m/>
    <n v="0.5"/>
    <n v="1.2"/>
    <m/>
  </r>
  <r>
    <s v="McClanahan et al. 1997"/>
    <x v="0"/>
    <x v="0"/>
    <s v="n.d"/>
    <s v="Before"/>
    <x v="0"/>
    <s v="Kinondo"/>
    <s v="Mgwani "/>
    <s v="Makonde"/>
    <m/>
    <m/>
    <m/>
    <m/>
    <s v="Corraline Algae"/>
    <x v="1"/>
    <m/>
    <m/>
    <n v="7.3"/>
    <n v="5"/>
    <m/>
  </r>
  <r>
    <s v="McClanahan et al. 1997"/>
    <x v="0"/>
    <x v="0"/>
    <s v="n.d"/>
    <s v="Before"/>
    <x v="0"/>
    <s v="Kinondo"/>
    <s v="Mgwani "/>
    <s v="Mwarombo"/>
    <m/>
    <m/>
    <m/>
    <m/>
    <s v="Hard Coral"/>
    <x v="0"/>
    <m/>
    <m/>
    <n v="3.7"/>
    <n v="2.6"/>
    <m/>
  </r>
  <r>
    <s v="McClanahan et al. 1997"/>
    <x v="0"/>
    <x v="0"/>
    <s v="n.d"/>
    <s v="Before"/>
    <x v="0"/>
    <s v="Kinondo"/>
    <s v="Mgwani "/>
    <s v="Mwarombo"/>
    <m/>
    <m/>
    <m/>
    <m/>
    <s v="Soft coral"/>
    <x v="2"/>
    <m/>
    <m/>
    <n v="1.2"/>
    <n v="0.8"/>
    <m/>
  </r>
  <r>
    <s v="McClanahan et al. 1997"/>
    <x v="0"/>
    <x v="0"/>
    <s v="n.d"/>
    <s v="Before"/>
    <x v="0"/>
    <s v="Kinondo"/>
    <s v="Mgwani "/>
    <s v="Mwarombo"/>
    <m/>
    <m/>
    <m/>
    <m/>
    <s v="Corraline Algae"/>
    <x v="1"/>
    <m/>
    <m/>
    <n v="6.9"/>
    <n v="3.6"/>
    <m/>
  </r>
  <r>
    <s v="McClanahan et al. 1997"/>
    <x v="0"/>
    <x v="0"/>
    <s v="n.d"/>
    <s v="Before"/>
    <x v="0"/>
    <s v="Kinondo"/>
    <s v="Mgwani "/>
    <s v="Moana"/>
    <m/>
    <m/>
    <m/>
    <m/>
    <s v="Hard Coral"/>
    <x v="0"/>
    <m/>
    <m/>
    <n v="12.8"/>
    <n v="9.6999999999999993"/>
    <m/>
  </r>
  <r>
    <s v="McClanahan et al. 1997"/>
    <x v="0"/>
    <x v="0"/>
    <s v="n.d"/>
    <s v="Before"/>
    <x v="0"/>
    <s v="Kinondo"/>
    <s v="Mgwani "/>
    <s v="Moana"/>
    <m/>
    <m/>
    <m/>
    <m/>
    <s v="Soft coral"/>
    <x v="2"/>
    <m/>
    <m/>
    <n v="1.9"/>
    <n v="2.2999999999999998"/>
    <m/>
  </r>
  <r>
    <s v="McClanahan et al. 1997"/>
    <x v="0"/>
    <x v="0"/>
    <s v="n.d"/>
    <s v="Before"/>
    <x v="0"/>
    <s v="Kinondo"/>
    <s v="Mgwani "/>
    <s v="Moana"/>
    <m/>
    <m/>
    <m/>
    <m/>
    <s v="Corraline Algae"/>
    <x v="1"/>
    <m/>
    <m/>
    <n v="0"/>
    <n v="0"/>
    <m/>
  </r>
  <r>
    <s v="McClanahan et al. 1997"/>
    <x v="0"/>
    <x v="0"/>
    <s v="n.d"/>
    <s v="Before"/>
    <x v="0"/>
    <s v="Galu"/>
    <s v="Mvuleni"/>
    <s v="Meca"/>
    <m/>
    <m/>
    <m/>
    <m/>
    <s v="Hard Coral"/>
    <x v="0"/>
    <m/>
    <m/>
    <n v="6.3"/>
    <n v="4.0999999999999996"/>
    <m/>
  </r>
  <r>
    <s v="McClanahan et al. 1997"/>
    <x v="0"/>
    <x v="0"/>
    <s v="n.d"/>
    <s v="Before"/>
    <x v="0"/>
    <s v="Galu"/>
    <s v="Mvuleni"/>
    <s v="Meca"/>
    <m/>
    <m/>
    <m/>
    <m/>
    <s v="Soft coral"/>
    <x v="2"/>
    <m/>
    <m/>
    <n v="0.9"/>
    <n v="1.4"/>
    <m/>
  </r>
  <r>
    <s v="McClanahan et al. 1997"/>
    <x v="0"/>
    <x v="0"/>
    <s v="n.d"/>
    <s v="Before"/>
    <x v="0"/>
    <s v="Galu"/>
    <s v="Mvuleni"/>
    <s v="Meca"/>
    <m/>
    <m/>
    <m/>
    <m/>
    <s v="Corraline Algae"/>
    <x v="1"/>
    <m/>
    <m/>
    <n v="3.3"/>
    <n v="3.1"/>
    <m/>
  </r>
  <r>
    <s v="McClanahan et al. 1997"/>
    <x v="0"/>
    <x v="0"/>
    <s v="n.d"/>
    <s v="Before"/>
    <x v="0"/>
    <s v="Galu"/>
    <s v="Mvuleni"/>
    <s v="Kijamba"/>
    <m/>
    <m/>
    <m/>
    <m/>
    <s v="Hard Coral"/>
    <x v="0"/>
    <m/>
    <m/>
    <n v="6.8"/>
    <n v="3.8"/>
    <m/>
  </r>
  <r>
    <s v="McClanahan et al. 1997"/>
    <x v="0"/>
    <x v="0"/>
    <s v="n.d"/>
    <s v="Before"/>
    <x v="0"/>
    <s v="Galu"/>
    <s v="Mvuleni"/>
    <s v="Kijamba"/>
    <m/>
    <m/>
    <m/>
    <m/>
    <s v="Soft coral"/>
    <x v="2"/>
    <m/>
    <m/>
    <n v="0.7"/>
    <n v="0.6"/>
    <m/>
  </r>
  <r>
    <s v="McClanahan et al. 1997"/>
    <x v="0"/>
    <x v="0"/>
    <s v="n.d"/>
    <s v="Before"/>
    <x v="0"/>
    <s v="Galu"/>
    <s v="Mvuleni"/>
    <s v="Kijamba"/>
    <m/>
    <m/>
    <m/>
    <m/>
    <s v="Corraline Algae"/>
    <x v="1"/>
    <m/>
    <m/>
    <n v="2.5"/>
    <n v="1.8"/>
    <m/>
  </r>
  <r>
    <s v="TRAINING IN CORAL REEF AND FISHERIES MONITORING FOR COMMUNITIES – PART 3 - WCS Report"/>
    <x v="0"/>
    <x v="0"/>
    <n v="1996"/>
    <s v="Before"/>
    <x v="2"/>
    <s v="Kilifi"/>
    <s v="Kuruwitu"/>
    <m/>
    <m/>
    <m/>
    <m/>
    <m/>
    <s v="Hard Coral"/>
    <x v="0"/>
    <m/>
    <m/>
    <n v="24.4"/>
    <m/>
    <m/>
  </r>
  <r>
    <s v="CORDIO Status report 1999"/>
    <x v="0"/>
    <x v="0"/>
    <n v="1994"/>
    <s v="Before"/>
    <x v="0"/>
    <s v="Kilifi"/>
    <s v="Malindi Marine National Park"/>
    <m/>
    <m/>
    <m/>
    <m/>
    <m/>
    <s v="Hard Coral"/>
    <x v="0"/>
    <m/>
    <m/>
    <n v="35.700000000000003"/>
    <m/>
    <n v="2.46"/>
  </r>
  <r>
    <s v="CORDIO Status report 1999"/>
    <x v="0"/>
    <x v="0"/>
    <n v="1999"/>
    <s v="After"/>
    <x v="0"/>
    <s v="Kilifi"/>
    <s v="Malindi Marine National Park"/>
    <m/>
    <m/>
    <m/>
    <m/>
    <m/>
    <s v="Hard Coral"/>
    <x v="0"/>
    <m/>
    <m/>
    <n v="14.7"/>
    <m/>
    <n v="4.63"/>
  </r>
  <r>
    <s v="Kenyan coral reef lagoon fish: effects of fishing, substrate complexity, and sea urchins (1994) (T McClanahan) "/>
    <x v="0"/>
    <x v="0"/>
    <n v="1991"/>
    <s v="Before"/>
    <x v="0"/>
    <s v="Mombasa"/>
    <s v="Mombasa "/>
    <m/>
    <m/>
    <m/>
    <m/>
    <m/>
    <s v="Hard Coral"/>
    <x v="0"/>
    <m/>
    <n v="1"/>
    <n v="31.75"/>
    <m/>
    <n v="0.74"/>
  </r>
  <r>
    <s v="Obura 2002"/>
    <x v="0"/>
    <x v="0"/>
    <s v="1997/98"/>
    <s v="Before"/>
    <x v="0"/>
    <s v="Lamu"/>
    <s v="Northern Kenya (&lt;3m)"/>
    <m/>
    <m/>
    <m/>
    <m/>
    <m/>
    <s v="Hard Coral"/>
    <x v="0"/>
    <m/>
    <m/>
    <n v="13.2"/>
    <m/>
    <m/>
  </r>
  <r>
    <s v="Obura 2002"/>
    <x v="0"/>
    <x v="0"/>
    <s v="1997/98"/>
    <s v="Before"/>
    <x v="0"/>
    <m/>
    <s v="Southern Kenya (protected)"/>
    <m/>
    <m/>
    <m/>
    <m/>
    <m/>
    <s v="Hard Coral"/>
    <x v="0"/>
    <m/>
    <m/>
    <n v="39.6"/>
    <m/>
    <m/>
  </r>
  <r>
    <s v="Obura 2002"/>
    <x v="0"/>
    <x v="0"/>
    <s v="1997/98"/>
    <s v="Before"/>
    <x v="0"/>
    <m/>
    <s v="Southern Kenya (unprotected)"/>
    <m/>
    <m/>
    <m/>
    <m/>
    <m/>
    <s v="Hard Coral"/>
    <x v="0"/>
    <m/>
    <m/>
    <n v="20.6"/>
    <m/>
    <m/>
  </r>
  <r>
    <s v="Obura 2002"/>
    <x v="0"/>
    <x v="0"/>
    <n v="1999"/>
    <s v="After"/>
    <x v="0"/>
    <s v="Lamu"/>
    <s v="Northern Kenya (&lt;3m)"/>
    <m/>
    <m/>
    <m/>
    <m/>
    <m/>
    <s v="Hard Coral"/>
    <x v="0"/>
    <m/>
    <m/>
    <n v="5.0999999999999996"/>
    <m/>
    <m/>
  </r>
  <r>
    <s v="Obura 2002"/>
    <x v="0"/>
    <x v="0"/>
    <n v="1999"/>
    <s v="After"/>
    <x v="0"/>
    <m/>
    <s v="Southern Kenya (protected)"/>
    <m/>
    <m/>
    <m/>
    <m/>
    <m/>
    <s v="Hard Coral"/>
    <x v="0"/>
    <m/>
    <m/>
    <n v="11.4"/>
    <m/>
    <m/>
  </r>
  <r>
    <s v="Obura 2002"/>
    <x v="0"/>
    <x v="0"/>
    <n v="1999"/>
    <s v="After"/>
    <x v="0"/>
    <m/>
    <s v="Southern Kenya (unprotected)"/>
    <m/>
    <m/>
    <m/>
    <m/>
    <m/>
    <s v="Hard Coral"/>
    <x v="0"/>
    <m/>
    <m/>
    <n v="11.4"/>
    <m/>
    <m/>
  </r>
  <r>
    <s v="Obura 2002"/>
    <x v="0"/>
    <x v="0"/>
    <s v="2001/2002"/>
    <s v="After"/>
    <x v="0"/>
    <s v="Lamu"/>
    <s v="Northern Kenya (&lt;3m)"/>
    <m/>
    <m/>
    <m/>
    <m/>
    <m/>
    <s v="Hard Coral"/>
    <x v="0"/>
    <m/>
    <m/>
    <n v="9.9"/>
    <m/>
    <m/>
  </r>
  <r>
    <s v="Obura 2002"/>
    <x v="0"/>
    <x v="0"/>
    <s v="2001/2002"/>
    <s v="After"/>
    <x v="0"/>
    <m/>
    <s v="Southern Kenya (protected)"/>
    <m/>
    <m/>
    <m/>
    <m/>
    <m/>
    <s v="Hard Coral"/>
    <x v="0"/>
    <m/>
    <m/>
    <n v="19.5"/>
    <m/>
    <m/>
  </r>
  <r>
    <s v="Obura 2002"/>
    <x v="0"/>
    <x v="0"/>
    <s v="2001/2002"/>
    <s v="After"/>
    <x v="0"/>
    <m/>
    <s v="Southern Kenya (unprotected)"/>
    <m/>
    <m/>
    <m/>
    <m/>
    <m/>
    <s v="Hard Coral"/>
    <x v="0"/>
    <m/>
    <m/>
    <n v="14.4"/>
    <m/>
    <m/>
  </r>
  <r>
    <s v="CORDIO 2002 Status Report: Obura, Status of Coral reefs in Kiunga Marine Reserve"/>
    <x v="0"/>
    <x v="0"/>
    <n v="1998"/>
    <s v="Before"/>
    <x v="2"/>
    <s v="Lamu"/>
    <s v="Kiunga Marine Reserve"/>
    <m/>
    <m/>
    <m/>
    <m/>
    <m/>
    <s v="Hard Coral"/>
    <x v="0"/>
    <m/>
    <m/>
    <n v="15"/>
    <m/>
    <m/>
  </r>
  <r>
    <s v="McClanahan &amp; Mutere 1994"/>
    <x v="0"/>
    <x v="0"/>
    <n v="1992"/>
    <s v="Before"/>
    <x v="0"/>
    <s v="Kilifi"/>
    <s v="Malindi Marine National Park"/>
    <m/>
    <m/>
    <m/>
    <m/>
    <m/>
    <s v="Hard Coral"/>
    <x v="0"/>
    <m/>
    <n v="2"/>
    <n v="20.8"/>
    <m/>
    <n v="4"/>
  </r>
  <r>
    <s v="McClanahan &amp; Mutere 1994"/>
    <x v="0"/>
    <x v="0"/>
    <n v="1992"/>
    <s v="Before"/>
    <x v="2"/>
    <s v="Kilifi"/>
    <s v="Watamu"/>
    <m/>
    <m/>
    <m/>
    <m/>
    <m/>
    <s v="Hard Coral"/>
    <x v="0"/>
    <m/>
    <n v="1"/>
    <n v="29.2"/>
    <m/>
    <n v="3.3"/>
  </r>
  <r>
    <s v="McClanahan &amp; Mutere 1994"/>
    <x v="0"/>
    <x v="0"/>
    <n v="1992"/>
    <s v="After"/>
    <x v="1"/>
    <s v="Kilifi"/>
    <s v="Vipingo"/>
    <m/>
    <m/>
    <m/>
    <m/>
    <m/>
    <s v="Hard Coral"/>
    <x v="0"/>
    <m/>
    <n v="3"/>
    <n v="22"/>
    <m/>
    <n v="2.5"/>
  </r>
  <r>
    <s v="McClanahan &amp; Mutere 1994"/>
    <x v="0"/>
    <x v="0"/>
    <n v="1992"/>
    <s v="After"/>
    <x v="1"/>
    <s v="Kilifi"/>
    <s v="Kanamai"/>
    <m/>
    <m/>
    <m/>
    <m/>
    <m/>
    <s v="Hard Coral"/>
    <x v="0"/>
    <m/>
    <n v="3"/>
    <n v="17.7"/>
    <m/>
    <n v="2.6"/>
  </r>
  <r>
    <s v="McClanahan &amp; Mutere 1994"/>
    <x v="0"/>
    <x v="0"/>
    <n v="1992"/>
    <s v="Before"/>
    <x v="2"/>
    <s v="Mombasa"/>
    <s v="Mombasa "/>
    <m/>
    <m/>
    <m/>
    <m/>
    <m/>
    <s v="Hard Coral"/>
    <x v="0"/>
    <m/>
    <n v="3"/>
    <n v="31.1"/>
    <m/>
    <n v="2.4"/>
  </r>
  <r>
    <s v="McClanahan &amp; Mutere 1994"/>
    <x v="0"/>
    <x v="0"/>
    <n v="1992"/>
    <s v="After"/>
    <x v="1"/>
    <s v="Kwale"/>
    <s v="Diani"/>
    <m/>
    <m/>
    <m/>
    <m/>
    <m/>
    <s v="Hard Coral"/>
    <x v="0"/>
    <m/>
    <n v="2"/>
    <n v="6.4"/>
    <m/>
    <n v="1.9"/>
  </r>
  <r>
    <s v="McClanahan &amp; Muthiga 1988"/>
    <x v="0"/>
    <x v="0"/>
    <n v="1986"/>
    <s v="Before"/>
    <x v="2"/>
    <s v="Kilifi"/>
    <s v="Malindi Marine National Park"/>
    <m/>
    <m/>
    <m/>
    <m/>
    <m/>
    <s v="Hard Coral"/>
    <x v="0"/>
    <m/>
    <m/>
    <n v="25.1"/>
    <m/>
    <n v="30"/>
  </r>
  <r>
    <s v="McClanahan &amp; Muthiga 1988"/>
    <x v="0"/>
    <x v="0"/>
    <n v="1985"/>
    <s v="Before"/>
    <x v="1"/>
    <s v="Kilifi"/>
    <s v="Kanamai"/>
    <m/>
    <m/>
    <m/>
    <m/>
    <m/>
    <s v="Hard Coral"/>
    <x v="0"/>
    <m/>
    <m/>
    <n v="5.5"/>
    <m/>
    <n v="13.6"/>
  </r>
  <r>
    <s v="McClanahan &amp; Muthiga 1988"/>
    <x v="0"/>
    <x v="0"/>
    <n v="1970"/>
    <s v="Before"/>
    <x v="1"/>
    <s v="Kwale"/>
    <s v="Diani"/>
    <m/>
    <m/>
    <m/>
    <m/>
    <m/>
    <s v="Hard Coral"/>
    <x v="0"/>
    <m/>
    <m/>
    <s v="&lt;1"/>
    <m/>
    <m/>
  </r>
  <r>
    <s v="McClanahan &amp; Obura 1997"/>
    <x v="0"/>
    <x v="0"/>
    <s v="1980s"/>
    <s v="Before"/>
    <x v="0"/>
    <s v="Kilifi"/>
    <s v="Watamu Marine Park (Coral Gardens and Lambis Reef)"/>
    <m/>
    <m/>
    <m/>
    <m/>
    <m/>
    <s v="Hard Coral"/>
    <x v="0"/>
    <m/>
    <n v="2"/>
    <n v="33"/>
    <m/>
    <m/>
  </r>
  <r>
    <s v="McClanahan &amp; Obura 1997"/>
    <x v="0"/>
    <x v="0"/>
    <s v="1990s (pre -1995)"/>
    <s v="Before"/>
    <x v="0"/>
    <s v="Kilifi"/>
    <s v="Watamu Marine Park (Coral Gardens and Lambis Reef)"/>
    <m/>
    <m/>
    <m/>
    <m/>
    <m/>
    <s v="Hard Coral"/>
    <x v="0"/>
    <m/>
    <n v="2"/>
    <n v="35"/>
    <m/>
    <m/>
  </r>
  <r>
    <s v="McClanahan &amp; Obura 1997"/>
    <x v="0"/>
    <x v="0"/>
    <s v="1980s"/>
    <s v="Before"/>
    <x v="0"/>
    <s v="Kilifi"/>
    <s v="Malindi Marine National Park - Coral Gardens"/>
    <m/>
    <m/>
    <m/>
    <m/>
    <m/>
    <s v="Hard Coral"/>
    <x v="0"/>
    <m/>
    <n v="1"/>
    <n v="20"/>
    <m/>
    <m/>
  </r>
  <r>
    <s v="McClanahan &amp; Obura 1997"/>
    <x v="0"/>
    <x v="0"/>
    <s v="1990s (pre -1995)"/>
    <s v="Before"/>
    <x v="0"/>
    <s v="Kilifi"/>
    <s v="Malindi Marine National Park - Coral Gardens"/>
    <m/>
    <m/>
    <m/>
    <m/>
    <m/>
    <s v="Hard Coral"/>
    <x v="0"/>
    <m/>
    <n v="1"/>
    <n v="38"/>
    <m/>
    <m/>
  </r>
  <r>
    <s v="McClanahan &amp; Obura 1997"/>
    <x v="0"/>
    <x v="0"/>
    <s v="1980s"/>
    <s v="Before"/>
    <x v="0"/>
    <s v="Kilifi"/>
    <s v="Malindi Marine National Park - North Reef Edge"/>
    <m/>
    <m/>
    <m/>
    <m/>
    <m/>
    <s v="Hard Coral"/>
    <x v="0"/>
    <m/>
    <m/>
    <n v="32"/>
    <m/>
    <m/>
  </r>
  <r>
    <s v="McClanahan &amp; Obura 1997"/>
    <x v="0"/>
    <x v="0"/>
    <s v="1990s (pre -1995)"/>
    <s v="Before"/>
    <x v="0"/>
    <s v="Kilifi"/>
    <s v="Malindi Marine National Park - North Reef Edge"/>
    <m/>
    <m/>
    <m/>
    <m/>
    <m/>
    <s v="Hard Coral"/>
    <x v="0"/>
    <m/>
    <m/>
    <n v="34"/>
    <m/>
    <m/>
  </r>
  <r>
    <s v="McClanahan et al. 2001"/>
    <x v="0"/>
    <x v="0"/>
    <n v="1998"/>
    <s v="Before"/>
    <x v="0"/>
    <m/>
    <s v="Protected (Malindi, Watamu, Mombasa, Kisite….) "/>
    <m/>
    <m/>
    <m/>
    <m/>
    <m/>
    <s v="Hard Coral"/>
    <x v="0"/>
    <m/>
    <n v="9"/>
    <n v="39.6"/>
    <m/>
    <n v="2.9"/>
  </r>
  <r>
    <s v="McClanahan et al. 2001"/>
    <x v="0"/>
    <x v="0"/>
    <n v="1998"/>
    <s v="Before"/>
    <x v="1"/>
    <m/>
    <s v="Unprotected (Vipingo, Kanamai, Ras iwatine, Diani….)"/>
    <m/>
    <m/>
    <m/>
    <m/>
    <m/>
    <s v="Hard Coral"/>
    <x v="0"/>
    <m/>
    <n v="7"/>
    <n v="20.6"/>
    <m/>
    <n v="0.7"/>
  </r>
  <r>
    <s v="McClanahan et al. 2001"/>
    <x v="0"/>
    <x v="0"/>
    <n v="1998"/>
    <s v="4 months After"/>
    <x v="0"/>
    <m/>
    <s v="Protected (Malindi, Watamu, Mombasa, Kisite….) "/>
    <m/>
    <m/>
    <m/>
    <m/>
    <m/>
    <s v="Hard Coral"/>
    <x v="0"/>
    <m/>
    <n v="9"/>
    <n v="11.4"/>
    <m/>
    <n v="1.4"/>
  </r>
  <r>
    <s v="McClanahan et al. 2001"/>
    <x v="0"/>
    <x v="0"/>
    <n v="1998"/>
    <s v="4 months After"/>
    <x v="0"/>
    <m/>
    <s v="Unprotected (Vipingo, Kanamai, Ras iwatine, Diani….)"/>
    <m/>
    <m/>
    <m/>
    <m/>
    <m/>
    <s v="Hard Coral"/>
    <x v="0"/>
    <m/>
    <n v="7"/>
    <n v="11.4"/>
    <m/>
    <n v="2.2000000000000002"/>
  </r>
  <r>
    <s v="Samoilys 1988"/>
    <x v="0"/>
    <x v="0"/>
    <s v="1987/1988"/>
    <s v="Before"/>
    <x v="0"/>
    <s v="Kilifi"/>
    <s v="Malindi "/>
    <m/>
    <m/>
    <m/>
    <m/>
    <m/>
    <s v="Hard Coral"/>
    <x v="0"/>
    <m/>
    <m/>
    <n v="44.3"/>
    <m/>
    <m/>
  </r>
  <r>
    <s v="Samoilys 1988"/>
    <x v="0"/>
    <x v="0"/>
    <s v="1987/1988"/>
    <s v="Before"/>
    <x v="0"/>
    <s v="Kilifi"/>
    <s v="Watamu"/>
    <m/>
    <m/>
    <m/>
    <m/>
    <m/>
    <s v="Hard Coral"/>
    <x v="0"/>
    <m/>
    <m/>
    <n v="10.4"/>
    <m/>
    <m/>
  </r>
  <r>
    <s v="Samoilys 1988"/>
    <x v="0"/>
    <x v="0"/>
    <s v="1987/1988"/>
    <s v="Before"/>
    <x v="0"/>
    <s v="Kwale"/>
    <s v="Kisite"/>
    <m/>
    <m/>
    <m/>
    <m/>
    <m/>
    <s v="Hard Coral"/>
    <x v="0"/>
    <m/>
    <m/>
    <n v="30.2"/>
    <m/>
    <m/>
  </r>
  <r>
    <s v="Samoilys 1988"/>
    <x v="0"/>
    <x v="0"/>
    <s v="1987/1988"/>
    <s v="Before"/>
    <x v="0"/>
    <s v="Kwale"/>
    <s v="Mako Kokwe"/>
    <m/>
    <m/>
    <m/>
    <m/>
    <m/>
    <s v="Hard Coral"/>
    <x v="0"/>
    <m/>
    <m/>
    <n v="17.899999999999999"/>
    <m/>
    <m/>
  </r>
  <r>
    <s v="Samoilys 1988"/>
    <x v="0"/>
    <x v="0"/>
    <s v="1987/1988"/>
    <s v="Before"/>
    <x v="3"/>
    <s v="Lamu"/>
    <s v="Simambya"/>
    <m/>
    <m/>
    <m/>
    <m/>
    <m/>
    <s v="Hard Coral"/>
    <x v="0"/>
    <m/>
    <m/>
    <n v="4.3"/>
    <m/>
    <m/>
  </r>
  <r>
    <s v="Samoilys 1988"/>
    <x v="0"/>
    <x v="0"/>
    <s v="1987/1988"/>
    <s v="Before"/>
    <x v="3"/>
    <s v="Lamu"/>
    <s v="Arletts"/>
    <m/>
    <m/>
    <m/>
    <m/>
    <m/>
    <s v="Hard Coral"/>
    <x v="0"/>
    <m/>
    <m/>
    <n v="3.8"/>
    <m/>
    <m/>
  </r>
  <r>
    <s v="Samoilys 1988"/>
    <x v="0"/>
    <x v="0"/>
    <s v="1987/1988"/>
    <s v="Before"/>
    <x v="3"/>
    <s v="Lamu"/>
    <s v="Kiwaiyu"/>
    <m/>
    <m/>
    <m/>
    <m/>
    <m/>
    <s v="Hard Coral"/>
    <x v="0"/>
    <m/>
    <m/>
    <n v="2.2000000000000002"/>
    <m/>
    <m/>
  </r>
  <r>
    <s v="Samoilys 1988"/>
    <x v="0"/>
    <x v="0"/>
    <s v="1987/1988"/>
    <s v="Before"/>
    <x v="0"/>
    <s v="Kilifi"/>
    <s v="Malindi / watamu marine reserve"/>
    <m/>
    <m/>
    <m/>
    <m/>
    <m/>
    <s v="Hard Coral"/>
    <x v="0"/>
    <m/>
    <m/>
    <n v="12.8"/>
    <m/>
    <m/>
  </r>
  <r>
    <s v="Samoilys 1988"/>
    <x v="0"/>
    <x v="0"/>
    <s v="1987/1988"/>
    <s v="Before"/>
    <x v="2"/>
    <s v="Kwale"/>
    <s v="Mpunguti"/>
    <m/>
    <m/>
    <m/>
    <m/>
    <m/>
    <s v="Hard Coral+DSC (dead standing coral)"/>
    <x v="0"/>
    <m/>
    <m/>
    <n v="28.7"/>
    <m/>
    <m/>
  </r>
  <r>
    <s v="Samoilys 1988"/>
    <x v="0"/>
    <x v="0"/>
    <s v="1987/1988"/>
    <s v="Before"/>
    <x v="3"/>
    <s v="Lamu"/>
    <s v="Kinyika"/>
    <m/>
    <m/>
    <m/>
    <m/>
    <m/>
    <s v="Hard Coral"/>
    <x v="0"/>
    <m/>
    <m/>
    <n v="17"/>
    <m/>
    <m/>
  </r>
  <r>
    <s v="Samoilys 1988"/>
    <x v="0"/>
    <x v="0"/>
    <s v="1987/1988"/>
    <s v="Before"/>
    <x v="2"/>
    <s v="Kilifi "/>
    <s v="Uyombo"/>
    <m/>
    <m/>
    <m/>
    <m/>
    <m/>
    <s v="Hard Coral+DSC (dead standing coral)"/>
    <x v="0"/>
    <m/>
    <m/>
    <n v="28.2"/>
    <m/>
    <m/>
  </r>
  <r>
    <s v="Samoilys 1988"/>
    <x v="0"/>
    <x v="0"/>
    <s v="1987/1988"/>
    <s v="Before"/>
    <x v="0"/>
    <s v="Kilifi"/>
    <s v="Kilifi"/>
    <m/>
    <m/>
    <m/>
    <m/>
    <m/>
    <s v="Hard Coral"/>
    <x v="0"/>
    <m/>
    <m/>
    <n v="9.4"/>
    <m/>
    <m/>
  </r>
  <r>
    <s v="Samoilys 1988"/>
    <x v="0"/>
    <x v="0"/>
    <s v="1987/1988"/>
    <s v="Before"/>
    <x v="0"/>
    <s v="Kilifi"/>
    <s v="Mtwapa"/>
    <m/>
    <m/>
    <m/>
    <m/>
    <m/>
    <s v="Hard Coral"/>
    <x v="0"/>
    <m/>
    <m/>
    <n v="18.8"/>
    <m/>
    <m/>
  </r>
  <r>
    <s v="Samoilys 1988"/>
    <x v="0"/>
    <x v="0"/>
    <s v="1987/1988"/>
    <s v="Before"/>
    <x v="2"/>
    <s v="Mombasa"/>
    <s v="Bamburi"/>
    <m/>
    <m/>
    <m/>
    <m/>
    <m/>
    <s v="Hard Coral+DSC (dead standing coral)"/>
    <x v="0"/>
    <m/>
    <m/>
    <n v="17.3"/>
    <m/>
    <m/>
  </r>
  <r>
    <s v="Samoilys 1988"/>
    <x v="0"/>
    <x v="0"/>
    <s v="1987/1988"/>
    <s v="Before"/>
    <x v="2"/>
    <s v="Mombasa"/>
    <s v="Leven"/>
    <m/>
    <m/>
    <m/>
    <m/>
    <m/>
    <s v="Hard Coral+DSC (dead standing coral)"/>
    <x v="0"/>
    <m/>
    <m/>
    <n v="47.599999999999994"/>
    <m/>
    <m/>
  </r>
  <r>
    <s v="Samoilys 1988"/>
    <x v="0"/>
    <x v="0"/>
    <s v="1987/1988"/>
    <s v="Before"/>
    <x v="0"/>
    <s v="Mombasa"/>
    <s v="Andromache"/>
    <m/>
    <m/>
    <m/>
    <m/>
    <m/>
    <s v="Hard Coral"/>
    <x v="0"/>
    <m/>
    <m/>
    <n v="10.9"/>
    <m/>
    <m/>
  </r>
  <r>
    <s v="Samoilys 1988"/>
    <x v="0"/>
    <x v="0"/>
    <s v="1987/1988"/>
    <s v="Before"/>
    <x v="0"/>
    <s v="Kwale"/>
    <s v="Diani"/>
    <m/>
    <m/>
    <m/>
    <m/>
    <m/>
    <s v="Hard Coral"/>
    <x v="0"/>
    <m/>
    <m/>
    <n v="3.1"/>
    <m/>
    <m/>
  </r>
  <r>
    <s v="Samoilys 1988"/>
    <x v="0"/>
    <x v="0"/>
    <s v="1987/1988"/>
    <s v="Before"/>
    <x v="0"/>
    <s v="Kwale"/>
    <s v="Mwipwa"/>
    <m/>
    <m/>
    <m/>
    <m/>
    <m/>
    <s v="Hard Coral"/>
    <x v="0"/>
    <m/>
    <m/>
    <n v="10.199999999999999"/>
    <m/>
    <m/>
  </r>
  <r>
    <s v="Samoilys 1988"/>
    <x v="0"/>
    <x v="0"/>
    <s v="1987/1988"/>
    <s v="Before"/>
    <x v="0"/>
    <s v="Kwale"/>
    <s v="Midjira"/>
    <m/>
    <m/>
    <m/>
    <m/>
    <m/>
    <s v="Hard Coral"/>
    <x v="0"/>
    <m/>
    <m/>
    <n v="1.9"/>
    <m/>
    <m/>
  </r>
  <r>
    <s v="Muthiga &amp; McClanahan 1997"/>
    <x v="0"/>
    <x v="0"/>
    <n v="1993"/>
    <s v="Before"/>
    <x v="2"/>
    <s v="Kwale"/>
    <s v="Kisite Marine National Park - Control "/>
    <m/>
    <m/>
    <m/>
    <m/>
    <m/>
    <s v="Hard Coral"/>
    <x v="0"/>
    <m/>
    <n v="4"/>
    <n v="22.85"/>
    <m/>
    <n v="1.17"/>
  </r>
  <r>
    <s v="Muthiga &amp; McClanahan 1997"/>
    <x v="0"/>
    <x v="0"/>
    <n v="1993"/>
    <s v="Before"/>
    <x v="2"/>
    <s v="Kwale"/>
    <s v="Kisite Marine National Park - Experiment "/>
    <m/>
    <m/>
    <m/>
    <m/>
    <m/>
    <s v="Hard Coral"/>
    <x v="0"/>
    <m/>
    <n v="4"/>
    <n v="25.33"/>
    <m/>
    <n v="5.38"/>
  </r>
  <r>
    <s v="Muthiga &amp; McClanahan 1997"/>
    <x v="0"/>
    <x v="0"/>
    <n v="1994"/>
    <s v="Before"/>
    <x v="0"/>
    <s v="Kwale"/>
    <s v="Kisite Marine National Park - Control "/>
    <m/>
    <m/>
    <m/>
    <m/>
    <m/>
    <s v="Hard Coral"/>
    <x v="0"/>
    <m/>
    <n v="4"/>
    <n v="20.75"/>
    <m/>
    <n v="2.97"/>
  </r>
  <r>
    <s v="Muthiga &amp; McClanahan 1997"/>
    <x v="0"/>
    <x v="0"/>
    <n v="1994"/>
    <s v="Before"/>
    <x v="0"/>
    <s v="Kwale"/>
    <s v="Kisite Marine National Park - Experiment "/>
    <m/>
    <m/>
    <m/>
    <m/>
    <m/>
    <s v="Hard Coral"/>
    <x v="0"/>
    <m/>
    <n v="4"/>
    <n v="24.2"/>
    <m/>
    <n v="8.73"/>
  </r>
  <r>
    <s v="McClanahan &amp; Shafir 1990"/>
    <x v="0"/>
    <x v="0"/>
    <s v="1988/89"/>
    <s v="Before"/>
    <x v="0"/>
    <s v="Kilifi"/>
    <s v="Malindi"/>
    <m/>
    <m/>
    <m/>
    <m/>
    <m/>
    <s v="Hard Coral"/>
    <x v="0"/>
    <m/>
    <n v="2"/>
    <n v="17.600000000000001"/>
    <m/>
    <n v="12.8"/>
  </r>
  <r>
    <s v="McClanahan &amp; Shafir 1990"/>
    <x v="0"/>
    <x v="0"/>
    <s v="1988/89"/>
    <s v="Before"/>
    <x v="0"/>
    <s v="Kilifi"/>
    <s v="Watamu"/>
    <m/>
    <m/>
    <m/>
    <m/>
    <m/>
    <s v="Hard Coral"/>
    <x v="0"/>
    <m/>
    <n v="1"/>
    <n v="30"/>
    <m/>
    <n v="24.7"/>
  </r>
  <r>
    <s v="McClanahan &amp; Shafir 1990"/>
    <x v="0"/>
    <x v="0"/>
    <s v="1988/89"/>
    <s v="Before"/>
    <x v="0"/>
    <s v="Kilifi"/>
    <s v="Vipingo"/>
    <m/>
    <m/>
    <m/>
    <m/>
    <m/>
    <s v="Hard Coral"/>
    <x v="0"/>
    <m/>
    <n v="3"/>
    <n v="18.100000000000001"/>
    <m/>
    <n v="13.6"/>
  </r>
  <r>
    <s v="McClanahan &amp; Shafir 1990"/>
    <x v="0"/>
    <x v="0"/>
    <s v="1988/89"/>
    <s v="Before"/>
    <x v="0"/>
    <s v="Kilifi"/>
    <s v="Kanamai"/>
    <m/>
    <m/>
    <m/>
    <m/>
    <m/>
    <s v="Hard Coral"/>
    <x v="0"/>
    <m/>
    <n v="3"/>
    <n v="12.7"/>
    <m/>
    <n v="9.5"/>
  </r>
  <r>
    <s v="McClanahan &amp; Shafir 1990"/>
    <x v="0"/>
    <x v="0"/>
    <s v="1988/89"/>
    <s v="Before"/>
    <x v="0"/>
    <s v="Mombasa"/>
    <s v="Bamburi"/>
    <m/>
    <m/>
    <m/>
    <m/>
    <m/>
    <s v="Hard Coral"/>
    <x v="0"/>
    <m/>
    <n v="3"/>
    <n v="8.9"/>
    <m/>
    <n v="6.9"/>
  </r>
  <r>
    <s v="McClanahan &amp; Shafir 1990"/>
    <x v="0"/>
    <x v="0"/>
    <s v="1988/89"/>
    <s v="Before"/>
    <x v="0"/>
    <s v="Kwale"/>
    <s v="Diani"/>
    <m/>
    <m/>
    <m/>
    <m/>
    <m/>
    <s v="Hard Coral"/>
    <x v="0"/>
    <m/>
    <n v="2"/>
    <n v="4.5999999999999996"/>
    <m/>
    <n v="4.5999999999999996"/>
  </r>
  <r>
    <s v="McClanahan et al. 2009"/>
    <x v="0"/>
    <x v="0"/>
    <s v="Before Bleaching"/>
    <s v="Before"/>
    <x v="0"/>
    <s v="Kisite Marine National Park"/>
    <s v="Kisite"/>
    <m/>
    <m/>
    <m/>
    <m/>
    <m/>
    <s v="Hard Coral"/>
    <x v="0"/>
    <m/>
    <n v="3"/>
    <n v="21.9"/>
    <m/>
    <m/>
  </r>
  <r>
    <s v="McClanahan et al. 2009"/>
    <x v="0"/>
    <x v="0"/>
    <s v="Before Bleaching"/>
    <s v="Before"/>
    <x v="0"/>
    <s v="Kisite Marine National Park"/>
    <s v="Kisite"/>
    <m/>
    <m/>
    <m/>
    <m/>
    <m/>
    <s v="Coralline algae"/>
    <x v="1"/>
    <m/>
    <n v="3"/>
    <n v="0"/>
    <m/>
    <m/>
  </r>
  <r>
    <s v="McClanahan et al. 2009"/>
    <x v="0"/>
    <x v="0"/>
    <s v="After Bleaching"/>
    <s v="After"/>
    <x v="0"/>
    <s v="Kisite Marine National Park"/>
    <s v="Kisite"/>
    <m/>
    <m/>
    <m/>
    <m/>
    <m/>
    <s v="Hard Coral"/>
    <x v="0"/>
    <m/>
    <n v="3"/>
    <n v="43"/>
    <m/>
    <m/>
  </r>
  <r>
    <s v="McClanahan et al. 2009"/>
    <x v="0"/>
    <x v="0"/>
    <s v="After Bleaching"/>
    <s v="After"/>
    <x v="0"/>
    <s v="Kisite Marine National Park"/>
    <s v="Kisite"/>
    <m/>
    <m/>
    <m/>
    <m/>
    <m/>
    <s v="Coralline algae"/>
    <x v="1"/>
    <m/>
    <n v="3"/>
    <n v="9.6999999999999993"/>
    <m/>
    <m/>
  </r>
  <r>
    <s v="McClanahan et al. 2007"/>
    <x v="0"/>
    <x v="0"/>
    <n v="1997"/>
    <s v="Before"/>
    <x v="4"/>
    <m/>
    <s v="Diani"/>
    <m/>
    <m/>
    <m/>
    <n v="-4.2117000000000004"/>
    <n v="39.346899999999998"/>
    <s v="Hard Coral"/>
    <x v="0"/>
    <m/>
    <m/>
    <n v="21.21"/>
    <m/>
    <m/>
  </r>
  <r>
    <s v="McClanahan et al. 2007"/>
    <x v="0"/>
    <x v="0"/>
    <n v="1997"/>
    <s v="Before"/>
    <x v="4"/>
    <m/>
    <s v="Ras Iwatine "/>
    <m/>
    <m/>
    <m/>
    <n v="-4.0117000000000003"/>
    <n v="39.435699999999997"/>
    <s v="Hard Coral"/>
    <x v="0"/>
    <m/>
    <m/>
    <n v="17.78"/>
    <m/>
    <m/>
  </r>
  <r>
    <s v="McClanahan et al. 2007"/>
    <x v="0"/>
    <x v="0"/>
    <n v="1997"/>
    <s v="Before"/>
    <x v="0"/>
    <m/>
    <s v="Mombasa"/>
    <m/>
    <m/>
    <m/>
    <n v="-3.593"/>
    <n v="39.450200000000002"/>
    <s v="Hard Coral"/>
    <x v="0"/>
    <m/>
    <m/>
    <n v="41.98"/>
    <m/>
    <m/>
  </r>
  <r>
    <s v="McClanahan et al. 2007"/>
    <x v="0"/>
    <x v="0"/>
    <n v="1997"/>
    <s v="Before"/>
    <x v="4"/>
    <m/>
    <s v="Kanamai"/>
    <m/>
    <m/>
    <m/>
    <n v="-3.5524"/>
    <n v="39.472099999999998"/>
    <s v="Hard Coral"/>
    <x v="0"/>
    <m/>
    <m/>
    <n v="22.03"/>
    <m/>
    <m/>
  </r>
  <r>
    <s v="McClanahan et al. 2007"/>
    <x v="0"/>
    <x v="0"/>
    <n v="1997"/>
    <s v="Before"/>
    <x v="4"/>
    <m/>
    <s v="Vipingo"/>
    <m/>
    <m/>
    <m/>
    <n v="-3.4796"/>
    <n v="39.5017"/>
    <s v="Hard Coral"/>
    <x v="0"/>
    <m/>
    <m/>
    <n v="19.809999999999999"/>
    <m/>
    <m/>
  </r>
  <r>
    <s v="McClanahan et al. 2007"/>
    <x v="0"/>
    <x v="0"/>
    <n v="1997"/>
    <s v="Before"/>
    <x v="0"/>
    <m/>
    <s v="Watamu"/>
    <m/>
    <m/>
    <m/>
    <n v="-3.2259000000000002"/>
    <n v="39.593299999999999"/>
    <s v="Hard Coral"/>
    <x v="0"/>
    <m/>
    <m/>
    <n v="37.67"/>
    <m/>
    <m/>
  </r>
  <r>
    <s v="McClanahan et al. 2007"/>
    <x v="0"/>
    <x v="0"/>
    <n v="1997"/>
    <s v="Before"/>
    <x v="0"/>
    <m/>
    <s v="Malindi"/>
    <m/>
    <m/>
    <m/>
    <n v="-3.1534"/>
    <n v="40.084400000000002"/>
    <s v="Hard Coral"/>
    <x v="0"/>
    <m/>
    <m/>
    <n v="44.22"/>
    <m/>
    <m/>
  </r>
  <r>
    <s v="McClanahan et al. 2007"/>
    <x v="0"/>
    <x v="0"/>
    <n v="1997"/>
    <s v="Before"/>
    <x v="2"/>
    <m/>
    <s v="Kisite"/>
    <m/>
    <m/>
    <m/>
    <n v="-4.7089999999999996"/>
    <n v="39.3703"/>
    <s v="Hard Coral"/>
    <x v="0"/>
    <m/>
    <m/>
    <n v="22.23"/>
    <m/>
    <m/>
  </r>
  <r>
    <s v="McClanahan et al. 2007"/>
    <x v="0"/>
    <x v="0"/>
    <n v="1999"/>
    <s v="After"/>
    <x v="0"/>
    <m/>
    <s v="Diani"/>
    <m/>
    <m/>
    <m/>
    <n v="-4.2117000000000004"/>
    <n v="39.346899999999998"/>
    <s v="Hard Coral"/>
    <x v="0"/>
    <m/>
    <m/>
    <n v="8.34"/>
    <m/>
    <m/>
  </r>
  <r>
    <s v="McClanahan et al. 2007"/>
    <x v="0"/>
    <x v="0"/>
    <n v="1999"/>
    <s v="After"/>
    <x v="0"/>
    <m/>
    <s v="Ras Iwatine "/>
    <m/>
    <m/>
    <m/>
    <n v="-4.0117000000000003"/>
    <n v="39.435699999999997"/>
    <s v="Hard Coral"/>
    <x v="0"/>
    <m/>
    <m/>
    <n v="5.26"/>
    <m/>
    <m/>
  </r>
  <r>
    <s v="McClanahan et al. 2007"/>
    <x v="0"/>
    <x v="0"/>
    <n v="1999"/>
    <s v="After"/>
    <x v="0"/>
    <m/>
    <s v="Mombasa"/>
    <m/>
    <m/>
    <m/>
    <n v="-3.593"/>
    <n v="39.450200000000002"/>
    <s v="Hard Coral"/>
    <x v="0"/>
    <m/>
    <m/>
    <n v="18.75"/>
    <m/>
    <m/>
  </r>
  <r>
    <s v="McClanahan et al. 2007"/>
    <x v="0"/>
    <x v="0"/>
    <n v="1999"/>
    <s v="After"/>
    <x v="0"/>
    <m/>
    <s v="Kanamai"/>
    <m/>
    <m/>
    <m/>
    <n v="-3.5524"/>
    <n v="39.472099999999998"/>
    <s v="Hard Coral"/>
    <x v="0"/>
    <m/>
    <m/>
    <n v="21.51"/>
    <m/>
    <m/>
  </r>
  <r>
    <s v="McClanahan et al. 2007"/>
    <x v="0"/>
    <x v="0"/>
    <n v="1999"/>
    <s v="After"/>
    <x v="0"/>
    <m/>
    <s v="Vipingo"/>
    <m/>
    <m/>
    <m/>
    <n v="-3.4796"/>
    <n v="39.5017"/>
    <s v="Hard Coral"/>
    <x v="0"/>
    <m/>
    <m/>
    <n v="7.86"/>
    <m/>
    <m/>
  </r>
  <r>
    <s v="McClanahan et al. 2007"/>
    <x v="0"/>
    <x v="0"/>
    <n v="1999"/>
    <s v="After"/>
    <x v="0"/>
    <m/>
    <s v="Watamu"/>
    <m/>
    <m/>
    <m/>
    <n v="-3.2259000000000002"/>
    <n v="39.593299999999999"/>
    <s v="Hard Coral"/>
    <x v="0"/>
    <m/>
    <m/>
    <n v="8.99"/>
    <m/>
    <m/>
  </r>
  <r>
    <s v="McClanahan et al. 2007"/>
    <x v="0"/>
    <x v="0"/>
    <n v="1999"/>
    <s v="After"/>
    <x v="0"/>
    <m/>
    <s v="Malindi"/>
    <m/>
    <m/>
    <m/>
    <n v="-3.1534"/>
    <n v="40.084400000000002"/>
    <s v="Hard Coral"/>
    <x v="0"/>
    <m/>
    <m/>
    <n v="11.09"/>
    <m/>
    <m/>
  </r>
  <r>
    <s v="McClanahan et al. 2007"/>
    <x v="0"/>
    <x v="0"/>
    <n v="1999"/>
    <s v="After"/>
    <x v="0"/>
    <m/>
    <s v="Kisite"/>
    <m/>
    <m/>
    <m/>
    <n v="-4.7089999999999996"/>
    <n v="39.3703"/>
    <s v="Hard Coral"/>
    <x v="0"/>
    <m/>
    <m/>
    <n v="9.98"/>
    <m/>
    <m/>
  </r>
  <r>
    <s v="Graham et al. (2008)"/>
    <x v="0"/>
    <x v="0"/>
    <s v="mid - 1990s"/>
    <s v="Before"/>
    <x v="0"/>
    <m/>
    <s v="Fished Areas"/>
    <m/>
    <m/>
    <m/>
    <m/>
    <m/>
    <s v="Hard Coral"/>
    <x v="0"/>
    <m/>
    <n v="4"/>
    <n v="18.899999999999999"/>
    <m/>
    <n v="5.2"/>
  </r>
  <r>
    <s v="Graham et al. (2008)"/>
    <x v="0"/>
    <x v="0"/>
    <s v="mid - 1990s"/>
    <s v="Before"/>
    <x v="0"/>
    <m/>
    <s v="Protected Areas"/>
    <m/>
    <m/>
    <m/>
    <m/>
    <m/>
    <s v="Hard Coral"/>
    <x v="0"/>
    <m/>
    <n v="4"/>
    <n v="34.799999999999997"/>
    <m/>
    <n v="4.5"/>
  </r>
  <r>
    <s v="Graham et al. (2008)"/>
    <x v="0"/>
    <x v="0"/>
    <n v="2005"/>
    <s v="After"/>
    <x v="0"/>
    <m/>
    <s v="Fished Areas"/>
    <m/>
    <m/>
    <m/>
    <m/>
    <m/>
    <s v="Hard Coral"/>
    <x v="0"/>
    <m/>
    <n v="4"/>
    <n v="20"/>
    <m/>
    <n v="4"/>
  </r>
  <r>
    <s v="Graham et al. (2008)"/>
    <x v="0"/>
    <x v="0"/>
    <n v="2005"/>
    <s v="After"/>
    <x v="0"/>
    <m/>
    <s v="Protected Areas"/>
    <m/>
    <m/>
    <m/>
    <m/>
    <m/>
    <s v="Hard Coral"/>
    <x v="0"/>
    <m/>
    <n v="4"/>
    <n v="26.8"/>
    <m/>
    <n v="8.1"/>
  </r>
  <r>
    <s v="McClanahan &amp; Arthur 2001"/>
    <x v="0"/>
    <x v="0"/>
    <s v="n.d"/>
    <m/>
    <x v="0"/>
    <s v="Fishing Areas"/>
    <m/>
    <m/>
    <s v="fringing reef"/>
    <s v="0.5–3.0 m"/>
    <m/>
    <m/>
    <s v="Hard Coral"/>
    <x v="0"/>
    <m/>
    <n v="7"/>
    <n v="8.1"/>
    <n v="4.9000000000000004"/>
    <m/>
  </r>
  <r>
    <s v="McClanahan 1994"/>
    <x v="0"/>
    <x v="0"/>
    <s v="1991/1992"/>
    <s v="Before"/>
    <x v="0"/>
    <s v="Malindi/Watamu/Mombasa/Kisite MNPs"/>
    <m/>
    <m/>
    <s v=" shallow lagoonal areas "/>
    <m/>
    <m/>
    <m/>
    <s v="Hard Coral"/>
    <x v="0"/>
    <m/>
    <n v="3"/>
    <n v="21.4"/>
    <m/>
    <n v="4.3499999999999996"/>
  </r>
  <r>
    <s v="McClanahan 1994"/>
    <x v="0"/>
    <x v="0"/>
    <s v="1991/1992"/>
    <s v="Before"/>
    <x v="0"/>
    <s v="Mombasa marine national park"/>
    <m/>
    <m/>
    <s v=" shallow lagoonal areas "/>
    <m/>
    <m/>
    <m/>
    <s v="Hard Coral"/>
    <x v="0"/>
    <m/>
    <n v="1"/>
    <n v="31.75"/>
    <m/>
    <n v="0.74"/>
  </r>
  <r>
    <s v="McClanahan 1994"/>
    <x v="0"/>
    <x v="0"/>
    <s v="1991/1992"/>
    <s v="Before"/>
    <x v="0"/>
    <s v="Vipingo/Kanamai/Ras Iwatine/Diani"/>
    <m/>
    <m/>
    <s v=" shallow lagoonal areas "/>
    <m/>
    <m/>
    <m/>
    <s v="Hard Coral"/>
    <x v="0"/>
    <m/>
    <n v="4"/>
    <n v="13.3"/>
    <m/>
    <n v="2.7"/>
  </r>
  <r>
    <s v="McClanahan et al. 1996"/>
    <x v="0"/>
    <x v="0"/>
    <s v="1993/1994"/>
    <s v="Before"/>
    <x v="0"/>
    <s v="Diani - control"/>
    <m/>
    <m/>
    <m/>
    <m/>
    <m/>
    <m/>
    <s v="Hard Coral"/>
    <x v="0"/>
    <m/>
    <m/>
    <n v="16"/>
    <m/>
    <n v="1.6"/>
  </r>
  <r>
    <s v="McClanahan et al. 1996"/>
    <x v="0"/>
    <x v="0"/>
    <s v="1993/1994"/>
    <s v="Before"/>
    <x v="0"/>
    <s v="Diani - SUR experiment"/>
    <m/>
    <m/>
    <m/>
    <m/>
    <m/>
    <m/>
    <s v="Hard Coral"/>
    <x v="0"/>
    <m/>
    <m/>
    <n v="11"/>
    <m/>
    <n v="1.2"/>
  </r>
  <r>
    <s v="McClanahan et al. 1996"/>
    <x v="0"/>
    <x v="0"/>
    <s v="1993/1994"/>
    <s v="Before"/>
    <x v="0"/>
    <s v="Vipingo - control"/>
    <m/>
    <m/>
    <m/>
    <m/>
    <m/>
    <m/>
    <s v="Hard Coral"/>
    <x v="0"/>
    <m/>
    <m/>
    <n v="28.5"/>
    <m/>
    <n v="1.1000000000000001"/>
  </r>
  <r>
    <s v="McClanahan et al. 1996"/>
    <x v="0"/>
    <x v="0"/>
    <s v="1993/1994"/>
    <s v="Before"/>
    <x v="0"/>
    <s v="Vipingo - SUR experiment"/>
    <m/>
    <m/>
    <m/>
    <m/>
    <m/>
    <m/>
    <s v="Hard Coral"/>
    <x v="0"/>
    <m/>
    <m/>
    <n v="21.7"/>
    <m/>
    <n v="0.9"/>
  </r>
  <r>
    <s v="McClanahan et al. 1996"/>
    <x v="0"/>
    <x v="0"/>
    <s v="1993/1994"/>
    <s v="Before"/>
    <x v="0"/>
    <s v="Mombasa - control"/>
    <m/>
    <m/>
    <m/>
    <m/>
    <m/>
    <m/>
    <s v="Hard Coral"/>
    <x v="0"/>
    <m/>
    <m/>
    <n v="27.5"/>
    <m/>
    <n v="1.5"/>
  </r>
  <r>
    <s v="McClanahan et al. 1996"/>
    <x v="0"/>
    <x v="0"/>
    <s v="1993/1994"/>
    <s v="Before"/>
    <x v="0"/>
    <s v="Mombasa - SUR experiment"/>
    <m/>
    <m/>
    <m/>
    <m/>
    <m/>
    <m/>
    <s v="Hard Coral"/>
    <x v="0"/>
    <m/>
    <m/>
    <n v="23.9"/>
    <m/>
    <n v="1.3"/>
  </r>
  <r>
    <s v="McClanahan et al. 2007"/>
    <x v="1"/>
    <x v="1"/>
    <n v="1999"/>
    <s v="After"/>
    <x v="0"/>
    <s v="Mnazi Bay "/>
    <s v="Cha Kati "/>
    <m/>
    <m/>
    <m/>
    <n v="-10.185370000000001"/>
    <n v="40.220799999999997"/>
    <s v="Hard Coral"/>
    <x v="0"/>
    <m/>
    <m/>
    <n v="20"/>
    <m/>
    <m/>
  </r>
  <r>
    <s v="McClanahan et al. 2007"/>
    <x v="1"/>
    <x v="0"/>
    <n v="1999"/>
    <s v="After"/>
    <x v="0"/>
    <s v="Pemba"/>
    <s v="Misali 3"/>
    <m/>
    <m/>
    <m/>
    <n v="-5.1512700000000002"/>
    <n v="39.350659999999998"/>
    <s v="Hard Coral"/>
    <x v="0"/>
    <m/>
    <m/>
    <n v="5"/>
    <m/>
    <m/>
  </r>
  <r>
    <s v="McClanahan et al. 2007"/>
    <x v="1"/>
    <x v="0"/>
    <n v="1999"/>
    <s v="After"/>
    <x v="0"/>
    <s v="Pemba"/>
    <s v="Misali 1"/>
    <m/>
    <m/>
    <m/>
    <n v="-5.1413700000000002"/>
    <n v="39.353960000000001"/>
    <s v="Hard Coral"/>
    <x v="0"/>
    <m/>
    <m/>
    <n v="17"/>
    <m/>
    <m/>
  </r>
  <r>
    <s v="McClanahan et al. 2007"/>
    <x v="1"/>
    <x v="0"/>
    <n v="1999"/>
    <s v="After"/>
    <x v="0"/>
    <s v="Pemba"/>
    <s v="Misali 2"/>
    <m/>
    <m/>
    <m/>
    <n v="-5.1401199999999996"/>
    <n v="39.354529999999997"/>
    <s v="Hard Coral"/>
    <x v="0"/>
    <m/>
    <m/>
    <n v="7"/>
    <m/>
    <m/>
  </r>
  <r>
    <s v="McClanahan et al. 2007"/>
    <x v="1"/>
    <x v="1"/>
    <n v="1999"/>
    <s v="After"/>
    <x v="0"/>
    <s v="Songo songo "/>
    <s v="Amana"/>
    <m/>
    <m/>
    <m/>
    <n v="-8.4218700000000002"/>
    <n v="39.2622"/>
    <s v="Hard Coral"/>
    <x v="0"/>
    <m/>
    <m/>
    <n v="30"/>
    <m/>
    <m/>
  </r>
  <r>
    <s v="McClanahan et al. 2007"/>
    <x v="1"/>
    <x v="1"/>
    <n v="1999"/>
    <s v="After"/>
    <x v="0"/>
    <s v="Songo songo "/>
    <s v="Jewe"/>
    <m/>
    <m/>
    <m/>
    <n v="-8.3805899999999998"/>
    <n v="39.261510000000001"/>
    <s v="Hard Coral"/>
    <x v="0"/>
    <m/>
    <m/>
    <n v="30"/>
    <m/>
    <m/>
  </r>
  <r>
    <s v="McClanahan et al. 2007"/>
    <x v="1"/>
    <x v="0"/>
    <n v="1999"/>
    <s v="After"/>
    <x v="0"/>
    <s v="Tanga"/>
    <s v="Upangu"/>
    <m/>
    <m/>
    <m/>
    <n v="-5.1856999999999998"/>
    <n v="39.044440000000002"/>
    <s v="Hard Coral"/>
    <x v="0"/>
    <m/>
    <m/>
    <n v="42"/>
    <m/>
    <m/>
  </r>
  <r>
    <s v="McClanahan et al. 2007"/>
    <x v="1"/>
    <x v="0"/>
    <n v="1999"/>
    <s v="After"/>
    <x v="0"/>
    <s v="Tanga"/>
    <s v="Chanjale"/>
    <m/>
    <m/>
    <m/>
    <n v="-5.1830800000000004"/>
    <n v="39.035290000000003"/>
    <s v="Hard Coral"/>
    <x v="0"/>
    <m/>
    <m/>
    <n v="30"/>
    <m/>
    <m/>
  </r>
  <r>
    <s v="McClanahan et al. 2007"/>
    <x v="1"/>
    <x v="0"/>
    <n v="1999"/>
    <s v="After"/>
    <x v="0"/>
    <s v="Tanga"/>
    <s v="Taa"/>
    <m/>
    <m/>
    <m/>
    <n v="-5.1735699999999998"/>
    <n v="39.054609999999997"/>
    <s v="Hard Coral"/>
    <x v="0"/>
    <m/>
    <m/>
    <n v="16"/>
    <m/>
    <m/>
  </r>
  <r>
    <s v="McClanahan et al. 2007"/>
    <x v="1"/>
    <x v="0"/>
    <n v="1999"/>
    <s v="After"/>
    <x v="0"/>
    <s v="Tanga"/>
    <s v="Kitanga"/>
    <m/>
    <m/>
    <m/>
    <n v="-5.1712999999999996"/>
    <n v="39.043039999999998"/>
    <s v="Hard Coral"/>
    <x v="0"/>
    <m/>
    <m/>
    <n v="45"/>
    <m/>
    <m/>
  </r>
  <r>
    <s v="McClanahan et al. 2007"/>
    <x v="1"/>
    <x v="0"/>
    <n v="1999"/>
    <s v="After"/>
    <x v="0"/>
    <s v="Unguja "/>
    <s v="Kwale"/>
    <m/>
    <m/>
    <m/>
    <n v="-6.2251899999999996"/>
    <n v="39.165689999999998"/>
    <s v="Hard Coral"/>
    <x v="0"/>
    <m/>
    <m/>
    <n v="15"/>
    <m/>
    <m/>
  </r>
  <r>
    <s v="McClanahan et al. 2007"/>
    <x v="1"/>
    <x v="0"/>
    <n v="1999"/>
    <s v="After"/>
    <x v="0"/>
    <s v="Unguja "/>
    <s v="Chumbe"/>
    <m/>
    <m/>
    <m/>
    <n v="-6.1629100000000001"/>
    <n v="39.102499999999999"/>
    <s v="Hard Coral"/>
    <x v="0"/>
    <m/>
    <m/>
    <n v="42"/>
    <m/>
    <m/>
  </r>
  <r>
    <s v="McClanahan et al. 2007"/>
    <x v="1"/>
    <x v="0"/>
    <n v="1999"/>
    <s v="After"/>
    <x v="0"/>
    <s v="Unguja "/>
    <s v="Bawe"/>
    <m/>
    <m/>
    <m/>
    <n v="-6.0832600000000001"/>
    <n v="39.080509999999997"/>
    <s v="Hard Coral"/>
    <x v="0"/>
    <m/>
    <m/>
    <n v="45"/>
    <m/>
    <m/>
  </r>
  <r>
    <s v="McClanahan et al. 2007"/>
    <x v="1"/>
    <x v="0"/>
    <n v="1999"/>
    <s v="After"/>
    <x v="0"/>
    <s v="Unguja "/>
    <s v="Chapwani"/>
    <m/>
    <m/>
    <m/>
    <n v="-6.0717400000000001"/>
    <n v="39.113509999999998"/>
    <s v="Hard Coral"/>
    <x v="0"/>
    <m/>
    <m/>
    <n v="25"/>
    <m/>
    <m/>
  </r>
  <r>
    <s v="McClanahan et al. 2007"/>
    <x v="1"/>
    <x v="0"/>
    <n v="1999"/>
    <s v="After"/>
    <x v="0"/>
    <s v="Unguja "/>
    <s v="Changuu"/>
    <m/>
    <m/>
    <m/>
    <n v="-6.0652200000000001"/>
    <n v="39.100529999999999"/>
    <s v="Hard Coral"/>
    <x v="0"/>
    <m/>
    <m/>
    <n v="33"/>
    <m/>
    <m/>
  </r>
  <r>
    <s v="Graham et al. (2008)"/>
    <x v="1"/>
    <x v="0"/>
    <s v="mid - 1990s"/>
    <s v="Before"/>
    <x v="0"/>
    <m/>
    <s v="Dar"/>
    <m/>
    <m/>
    <m/>
    <m/>
    <m/>
    <s v="Hard Coral"/>
    <x v="0"/>
    <m/>
    <n v="4"/>
    <n v="42.6"/>
    <m/>
    <n v="11.9"/>
  </r>
  <r>
    <s v="Graham et al. (2008)"/>
    <x v="1"/>
    <x v="0"/>
    <s v="mid - 1990s"/>
    <s v="Before"/>
    <x v="2"/>
    <m/>
    <s v="Tanga"/>
    <m/>
    <m/>
    <m/>
    <m/>
    <m/>
    <s v="Hard Coral"/>
    <x v="0"/>
    <m/>
    <n v="4"/>
    <n v="23.9"/>
    <m/>
    <n v="7.5"/>
  </r>
  <r>
    <s v="Graham et al. (2008)"/>
    <x v="1"/>
    <x v="0"/>
    <s v="mid - 1990s"/>
    <s v="Before"/>
    <x v="0"/>
    <m/>
    <s v="Zanzibar"/>
    <m/>
    <m/>
    <m/>
    <m/>
    <m/>
    <s v="Hard Coral"/>
    <x v="0"/>
    <m/>
    <n v="2"/>
    <n v="48.5"/>
    <m/>
    <n v="3.8"/>
  </r>
  <r>
    <s v="Graham et al. (2008)"/>
    <x v="1"/>
    <x v="0"/>
    <s v="mid - 1990s"/>
    <s v="Before"/>
    <x v="0"/>
    <m/>
    <s v="Zanzibar Protected"/>
    <m/>
    <m/>
    <m/>
    <m/>
    <m/>
    <s v="Hard Coral"/>
    <x v="0"/>
    <m/>
    <n v="2"/>
    <n v="62.7"/>
    <m/>
    <n v="11.1"/>
  </r>
  <r>
    <s v="Graham et al. (2008)"/>
    <x v="1"/>
    <x v="0"/>
    <s v="mid - 1990s"/>
    <s v="Before"/>
    <x v="2"/>
    <m/>
    <s v="Mafia island protected"/>
    <m/>
    <m/>
    <m/>
    <m/>
    <m/>
    <s v="Hard Coral"/>
    <x v="0"/>
    <m/>
    <n v="2"/>
    <n v="33"/>
    <m/>
    <m/>
  </r>
  <r>
    <s v="Graham et al. (2008)"/>
    <x v="1"/>
    <x v="1"/>
    <n v="2005"/>
    <s v="After"/>
    <x v="0"/>
    <m/>
    <s v="Dar"/>
    <m/>
    <m/>
    <m/>
    <m/>
    <m/>
    <s v="Hard Coral"/>
    <x v="0"/>
    <m/>
    <n v="4"/>
    <n v="70"/>
    <m/>
    <n v="3.2"/>
  </r>
  <r>
    <s v="Graham et al. (2008)"/>
    <x v="1"/>
    <x v="1"/>
    <n v="2005"/>
    <s v="After"/>
    <x v="0"/>
    <m/>
    <s v="Tanga"/>
    <m/>
    <m/>
    <m/>
    <m/>
    <m/>
    <s v="Hard Coral"/>
    <x v="0"/>
    <m/>
    <n v="4"/>
    <n v="27.8"/>
    <m/>
    <n v="6.8"/>
  </r>
  <r>
    <s v="Graham et al. (2008)"/>
    <x v="1"/>
    <x v="1"/>
    <n v="2005"/>
    <s v="After"/>
    <x v="0"/>
    <m/>
    <s v="Zanzibar"/>
    <m/>
    <m/>
    <m/>
    <m/>
    <m/>
    <s v="Hard Coral"/>
    <x v="0"/>
    <m/>
    <n v="2"/>
    <n v="48.3"/>
    <m/>
    <n v="3.3"/>
  </r>
  <r>
    <s v="Graham et al. (2008)"/>
    <x v="1"/>
    <x v="1"/>
    <n v="2005"/>
    <s v="After"/>
    <x v="0"/>
    <m/>
    <s v="Zanzibar Protected"/>
    <m/>
    <m/>
    <m/>
    <m/>
    <m/>
    <s v="Hard Coral"/>
    <x v="0"/>
    <m/>
    <n v="2"/>
    <n v="61.5"/>
    <m/>
    <n v="2.4"/>
  </r>
  <r>
    <s v="Graham et al. (2008)"/>
    <x v="1"/>
    <x v="1"/>
    <n v="2005"/>
    <s v="After"/>
    <x v="0"/>
    <m/>
    <s v="Mafia island protected"/>
    <m/>
    <m/>
    <m/>
    <m/>
    <m/>
    <s v="Hard Coral"/>
    <x v="0"/>
    <m/>
    <n v="2"/>
    <n v="0.1"/>
    <m/>
    <m/>
  </r>
  <r>
    <s v="McClanahan &amp; Arthur 2001"/>
    <x v="1"/>
    <x v="1"/>
    <s v="n.d"/>
    <m/>
    <x v="0"/>
    <s v="Fishing Areas"/>
    <m/>
    <m/>
    <s v="patch or rock island reefs"/>
    <s v="0.5–3.0 m"/>
    <m/>
    <m/>
    <s v="Hard Coral"/>
    <x v="0"/>
    <m/>
    <n v="7"/>
    <n v="36.68"/>
    <n v="18.96"/>
    <m/>
  </r>
  <r>
    <s v="Muhando 2009"/>
    <x v="1"/>
    <x v="0"/>
    <n v="1999"/>
    <s v="After"/>
    <x v="0"/>
    <s v="Zanzibar"/>
    <s v="Chumbe"/>
    <m/>
    <m/>
    <m/>
    <m/>
    <m/>
    <s v="Hard Coral"/>
    <x v="0"/>
    <m/>
    <n v="12"/>
    <n v="27.5"/>
    <n v="14.4"/>
    <m/>
  </r>
  <r>
    <s v="Muhando 2009"/>
    <x v="1"/>
    <x v="0"/>
    <n v="2003"/>
    <s v="After"/>
    <x v="0"/>
    <s v="Zanzibar"/>
    <s v="Kitutia/Mafia"/>
    <m/>
    <m/>
    <m/>
    <m/>
    <m/>
    <s v="Hard Coral"/>
    <x v="0"/>
    <m/>
    <n v="16"/>
    <n v="17.600000000000001"/>
    <n v="6.9"/>
    <m/>
  </r>
  <r>
    <s v="Muhando 2009"/>
    <x v="1"/>
    <x v="0"/>
    <n v="2007"/>
    <s v="After"/>
    <x v="0"/>
    <s v="Zanzibar"/>
    <s v="Mnemba"/>
    <m/>
    <m/>
    <m/>
    <m/>
    <m/>
    <s v="Acropora"/>
    <x v="3"/>
    <m/>
    <n v="11"/>
    <n v="6.2"/>
    <n v="3.1"/>
    <m/>
  </r>
  <r>
    <s v="Wagner 2000"/>
    <x v="1"/>
    <x v="2"/>
    <n v="1998"/>
    <s v="After"/>
    <x v="2"/>
    <s v="Songo Songo Archipelago"/>
    <s v="Jewe"/>
    <m/>
    <s v="Slope"/>
    <m/>
    <m/>
    <m/>
    <s v="Hard Coral"/>
    <x v="0"/>
    <m/>
    <m/>
    <n v="33.799999999999997"/>
    <m/>
    <m/>
  </r>
  <r>
    <s v="Wagner 2000"/>
    <x v="1"/>
    <x v="2"/>
    <n v="1998"/>
    <s v="After"/>
    <x v="2"/>
    <s v="Songo Songo Archipelago"/>
    <s v="Jewe"/>
    <m/>
    <s v="Subtidal flat"/>
    <m/>
    <m/>
    <m/>
    <s v="Hard Coral"/>
    <x v="0"/>
    <m/>
    <m/>
    <n v="36.700000000000003"/>
    <m/>
    <m/>
  </r>
  <r>
    <s v="Wagner 2000"/>
    <x v="1"/>
    <x v="2"/>
    <n v="1998"/>
    <s v="After"/>
    <x v="2"/>
    <s v="Songo Songo Archipelago"/>
    <s v="Luala"/>
    <m/>
    <s v="Slope"/>
    <m/>
    <m/>
    <m/>
    <s v="Hard Coral"/>
    <x v="0"/>
    <m/>
    <m/>
    <n v="38.299999999999997"/>
    <m/>
    <m/>
  </r>
  <r>
    <s v="Wagner 2000"/>
    <x v="1"/>
    <x v="2"/>
    <n v="1998"/>
    <s v="After"/>
    <x v="2"/>
    <s v="Songo Songo Archipelago"/>
    <s v="Pweza"/>
    <m/>
    <s v="Slope"/>
    <m/>
    <m/>
    <m/>
    <s v="Hard Coral"/>
    <x v="0"/>
    <m/>
    <m/>
    <n v="47.5"/>
    <m/>
    <m/>
  </r>
  <r>
    <s v="Wagner 2000"/>
    <x v="1"/>
    <x v="2"/>
    <n v="1998"/>
    <s v="After"/>
    <x v="2"/>
    <s v="Songo Songo Archipelago"/>
    <s v="Pwajuu"/>
    <m/>
    <s v="Subtidal flat"/>
    <m/>
    <m/>
    <m/>
    <s v="Hard Coral"/>
    <x v="0"/>
    <m/>
    <m/>
    <n v="55"/>
    <m/>
    <m/>
  </r>
  <r>
    <s v="Wagner 2000"/>
    <x v="1"/>
    <x v="2"/>
    <n v="1998"/>
    <s v="After"/>
    <x v="2"/>
    <s v="Songo Songo Archipelago"/>
    <s v="Pwajuu"/>
    <m/>
    <s v="Upper slope"/>
    <m/>
    <m/>
    <m/>
    <s v="Hard Coral"/>
    <x v="0"/>
    <m/>
    <m/>
    <n v="31"/>
    <m/>
    <m/>
  </r>
  <r>
    <s v="Wagner 2000"/>
    <x v="1"/>
    <x v="2"/>
    <n v="1998"/>
    <s v="After"/>
    <x v="2"/>
    <s v="Songo Songo Archipelago"/>
    <s v="Pwajuu"/>
    <m/>
    <s v="Lower slope"/>
    <m/>
    <m/>
    <m/>
    <s v="Hard Coral"/>
    <x v="0"/>
    <m/>
    <m/>
    <n v="32.5"/>
    <m/>
    <m/>
  </r>
  <r>
    <s v="Wagner 2000"/>
    <x v="1"/>
    <x v="2"/>
    <n v="1998"/>
    <s v="After"/>
    <x v="2"/>
    <s v="Songo Songo Archipelago"/>
    <s v="Poiasi"/>
    <m/>
    <s v="Subtidal flat &amp; upper slope"/>
    <m/>
    <m/>
    <m/>
    <s v="Hard Coral"/>
    <x v="0"/>
    <m/>
    <m/>
    <n v="25"/>
    <m/>
    <m/>
  </r>
  <r>
    <s v="Wagner 2000"/>
    <x v="1"/>
    <x v="2"/>
    <n v="1998"/>
    <s v="After"/>
    <x v="2"/>
    <s v="Songo Songo Archipelago"/>
    <s v="Poiasi"/>
    <m/>
    <s v="Lower slope"/>
    <m/>
    <m/>
    <m/>
    <s v="Hard Coral"/>
    <x v="0"/>
    <m/>
    <m/>
    <n v="31"/>
    <m/>
    <m/>
  </r>
  <r>
    <s v="Wagner 2000"/>
    <x v="1"/>
    <x v="2"/>
    <n v="1998"/>
    <s v="After"/>
    <x v="2"/>
    <s v="Songo Songo Archipelago"/>
    <s v="Machangi"/>
    <m/>
    <s v="Slope"/>
    <m/>
    <m/>
    <m/>
    <s v="Hard Coral"/>
    <x v="0"/>
    <m/>
    <m/>
    <n v="35"/>
    <m/>
    <m/>
  </r>
  <r>
    <s v="Wagner 2000"/>
    <x v="1"/>
    <x v="2"/>
    <n v="1998"/>
    <s v="After"/>
    <x v="2"/>
    <s v="Songo Songo Archipelago"/>
    <s v="Chocha"/>
    <m/>
    <s v="Upper slope"/>
    <m/>
    <m/>
    <m/>
    <s v="Hard Coral"/>
    <x v="0"/>
    <m/>
    <m/>
    <n v="55"/>
    <m/>
    <m/>
  </r>
  <r>
    <s v="Wagner 2000"/>
    <x v="1"/>
    <x v="2"/>
    <n v="1998"/>
    <s v="After"/>
    <x v="2"/>
    <s v="Songo Songo Archipelago"/>
    <s v="Chocha"/>
    <m/>
    <s v="Lower slope"/>
    <m/>
    <m/>
    <m/>
    <s v="Hard Coral"/>
    <x v="0"/>
    <m/>
    <m/>
    <n v="40"/>
    <m/>
    <m/>
  </r>
  <r>
    <s v="Wagner 2000"/>
    <x v="1"/>
    <x v="2"/>
    <n v="1998"/>
    <s v="After"/>
    <x v="2"/>
    <s v="Songo Songo Archipelago"/>
    <s v="Miza"/>
    <m/>
    <s v="Subtidal flat"/>
    <m/>
    <m/>
    <m/>
    <s v="Hard Coral"/>
    <x v="0"/>
    <m/>
    <m/>
    <n v="50"/>
    <m/>
    <m/>
  </r>
  <r>
    <s v="Wagner 2000"/>
    <x v="1"/>
    <x v="2"/>
    <n v="1998"/>
    <s v="After"/>
    <x v="2"/>
    <s v="Songo Songo Archipelago"/>
    <s v="Miza"/>
    <m/>
    <s v="Slope"/>
    <m/>
    <m/>
    <m/>
    <s v="Hard Coral"/>
    <x v="0"/>
    <m/>
    <m/>
    <n v="35"/>
    <m/>
    <m/>
  </r>
  <r>
    <s v="Wagner 2000"/>
    <x v="1"/>
    <x v="2"/>
    <n v="1998"/>
    <s v="After"/>
    <x v="2"/>
    <s v="Songo Songo Archipelago"/>
    <s v="Miza Kidogo"/>
    <m/>
    <s v="Slope"/>
    <m/>
    <m/>
    <m/>
    <s v="Hard Coral"/>
    <x v="0"/>
    <m/>
    <m/>
    <n v="40"/>
    <m/>
    <m/>
  </r>
  <r>
    <s v="Wagner 2000"/>
    <x v="1"/>
    <x v="2"/>
    <n v="1998"/>
    <s v="After"/>
    <x v="2"/>
    <s v="Songo Songo Archipelago"/>
    <s v="Membeuso"/>
    <m/>
    <s v="Northern, subtidal flat &amp; Slope"/>
    <m/>
    <m/>
    <m/>
    <s v="Hard Coral"/>
    <x v="0"/>
    <m/>
    <m/>
    <n v="55"/>
    <m/>
    <m/>
  </r>
  <r>
    <s v="Wagner 2000"/>
    <x v="1"/>
    <x v="2"/>
    <n v="1998"/>
    <s v="After"/>
    <x v="2"/>
    <s v="Songo Songo Archipelago"/>
    <s v="Membeuso"/>
    <m/>
    <s v="Eastern, slope"/>
    <m/>
    <m/>
    <m/>
    <s v="Hard Coral"/>
    <x v="0"/>
    <m/>
    <m/>
    <n v="55"/>
    <m/>
    <m/>
  </r>
  <r>
    <s v="Wagner 2000"/>
    <x v="1"/>
    <x v="2"/>
    <n v="1998"/>
    <s v="After"/>
    <x v="2"/>
    <s v="Songo Songo Archipelago"/>
    <s v="Membeuso"/>
    <m/>
    <s v="Southeast &amp; northwest, slope"/>
    <m/>
    <m/>
    <m/>
    <s v="Hard Coral"/>
    <x v="0"/>
    <m/>
    <m/>
    <n v="25"/>
    <m/>
    <m/>
  </r>
  <r>
    <s v="Wagner 2000"/>
    <x v="1"/>
    <x v="2"/>
    <n v="1998"/>
    <s v="After"/>
    <x v="2"/>
    <s v="Songo Songo Archipelago"/>
    <s v="Membeuso Kidogo"/>
    <m/>
    <s v="Slope"/>
    <m/>
    <m/>
    <m/>
    <s v="Hard Coral"/>
    <x v="0"/>
    <m/>
    <m/>
    <n v="40"/>
    <m/>
    <m/>
  </r>
  <r>
    <s v="Wagner 2000"/>
    <x v="1"/>
    <x v="2"/>
    <n v="1998"/>
    <s v="After"/>
    <x v="2"/>
    <s v="Songo Songo Archipelago"/>
    <s v="Banda"/>
    <m/>
    <s v="Subtidal flat"/>
    <m/>
    <m/>
    <m/>
    <s v="Hard Coral"/>
    <x v="0"/>
    <m/>
    <m/>
    <n v="25"/>
    <m/>
    <m/>
  </r>
  <r>
    <s v="Wagner 2000"/>
    <x v="1"/>
    <x v="2"/>
    <n v="1998"/>
    <s v="After"/>
    <x v="2"/>
    <s v="Songo Songo Archipelago"/>
    <s v="Banda"/>
    <m/>
    <s v="Slope"/>
    <m/>
    <m/>
    <m/>
    <s v="Hard Coral"/>
    <x v="0"/>
    <m/>
    <m/>
    <n v="30"/>
    <m/>
    <m/>
  </r>
  <r>
    <s v="Wagner 2000"/>
    <x v="1"/>
    <x v="2"/>
    <n v="1998"/>
    <s v="After"/>
    <x v="2"/>
    <s v="Songo Songo Archipelago"/>
    <s v="Songo Songo"/>
    <m/>
    <s v="Western, Slope"/>
    <m/>
    <m/>
    <m/>
    <s v="Hard Coral"/>
    <x v="0"/>
    <m/>
    <m/>
    <n v="20"/>
    <m/>
    <m/>
  </r>
  <r>
    <s v="Wagner 2000"/>
    <x v="1"/>
    <x v="0"/>
    <n v="1987"/>
    <s v="Before"/>
    <x v="2"/>
    <s v="Tanga"/>
    <m/>
    <m/>
    <m/>
    <m/>
    <m/>
    <m/>
    <s v="Live Coral"/>
    <x v="0"/>
    <m/>
    <m/>
    <n v="20"/>
    <m/>
    <m/>
  </r>
  <r>
    <s v="Wagner 2000"/>
    <x v="1"/>
    <x v="0"/>
    <s v="In Kamukuru (1997)"/>
    <s v="Before "/>
    <x v="0"/>
    <s v="Dar es Salaam"/>
    <s v="southwest side of Bongoyo"/>
    <m/>
    <m/>
    <m/>
    <m/>
    <m/>
    <s v="Hard Coral"/>
    <x v="0"/>
    <m/>
    <m/>
    <n v="34.700000000000003"/>
    <m/>
    <m/>
  </r>
  <r>
    <s v="Wagner 2000"/>
    <x v="1"/>
    <x v="0"/>
    <s v="In Kamukuru (1997)"/>
    <s v="Before "/>
    <x v="0"/>
    <s v="Dar es Salaam"/>
    <s v="southwest side of Mbudya"/>
    <m/>
    <m/>
    <m/>
    <m/>
    <m/>
    <s v="Hard Coral"/>
    <x v="0"/>
    <m/>
    <m/>
    <n v="81.2"/>
    <m/>
    <m/>
  </r>
  <r>
    <s v="Wagner 2000"/>
    <x v="1"/>
    <x v="0"/>
    <s v="Before 1998"/>
    <s v="Before "/>
    <x v="0"/>
    <s v="Zanzibar"/>
    <s v="Mnemba"/>
    <s v="northeastern coast"/>
    <m/>
    <m/>
    <m/>
    <m/>
    <s v="Hard Coral"/>
    <x v="0"/>
    <m/>
    <m/>
    <n v="13.9"/>
    <m/>
    <m/>
  </r>
  <r>
    <s v="Wagner 2000"/>
    <x v="1"/>
    <x v="0"/>
    <s v="Before 1999"/>
    <s v="After"/>
    <x v="0"/>
    <s v="Zanzibar"/>
    <s v="Bawe"/>
    <s v="western coast"/>
    <m/>
    <m/>
    <m/>
    <m/>
    <s v="Hard Coral"/>
    <x v="0"/>
    <m/>
    <m/>
    <n v="53.1"/>
    <m/>
    <m/>
  </r>
  <r>
    <s v="Wagner 2000"/>
    <x v="1"/>
    <x v="0"/>
    <s v="In Horrill et al. (2000)"/>
    <s v="After"/>
    <x v="0"/>
    <s v="Western coast of Pemba Island"/>
    <s v="Misali Island"/>
    <s v="Northern side"/>
    <m/>
    <m/>
    <m/>
    <m/>
    <s v="Live Coral"/>
    <x v="0"/>
    <m/>
    <m/>
    <n v="75"/>
    <m/>
    <m/>
  </r>
  <r>
    <s v="Wagner 2000"/>
    <x v="1"/>
    <x v="0"/>
    <s v="In Horrill et al. (2000)"/>
    <s v="After"/>
    <x v="0"/>
    <s v="Western coast of Pemba Island"/>
    <s v="Misali Island"/>
    <s v="Eastern side"/>
    <m/>
    <m/>
    <m/>
    <m/>
    <s v="Live Coral"/>
    <x v="0"/>
    <m/>
    <m/>
    <n v="53"/>
    <m/>
    <m/>
  </r>
  <r>
    <s v=" Chabanet et al. 2015"/>
    <x v="2"/>
    <x v="1"/>
    <n v="2011"/>
    <s v="After"/>
    <x v="0"/>
    <s v="Mozambique Channel"/>
    <s v="Iles Eparses"/>
    <s v="Europa"/>
    <s v="Outer reef slope and reef flat"/>
    <m/>
    <n v="-22345383000"/>
    <n v="40327700000"/>
    <s v="Hard Coral"/>
    <x v="0"/>
    <n v="7"/>
    <m/>
    <n v="72.099999999999994"/>
    <n v="7.4"/>
    <m/>
  </r>
  <r>
    <s v=" Chabanet et al. 2015"/>
    <x v="2"/>
    <x v="1"/>
    <n v="2011"/>
    <s v="After"/>
    <x v="0"/>
    <s v="Mozambique Channel"/>
    <s v="Iles Eparses"/>
    <s v="Europa"/>
    <s v="Outer reef slope and reef flat"/>
    <m/>
    <n v="-22345383000"/>
    <n v="40327700000"/>
    <s v="Soft coral"/>
    <x v="2"/>
    <n v="7"/>
    <m/>
    <n v="10.8"/>
    <n v="6.6"/>
    <m/>
  </r>
  <r>
    <s v=" Chabanet et al. 2015"/>
    <x v="2"/>
    <x v="1"/>
    <n v="2011"/>
    <s v="After"/>
    <x v="0"/>
    <s v="Mozambique Channel"/>
    <s v="Iles Eparses"/>
    <s v="Europa"/>
    <s v="Outer reef slope and reef flat"/>
    <m/>
    <n v="-22345383000"/>
    <n v="40327700000"/>
    <s v="Calcareous alga"/>
    <x v="1"/>
    <n v="7"/>
    <m/>
    <n v="7.8"/>
    <n v="3.5"/>
    <m/>
  </r>
  <r>
    <s v=" Chabanet et al. 2015"/>
    <x v="2"/>
    <x v="1"/>
    <n v="2011"/>
    <s v="After"/>
    <x v="0"/>
    <s v="Mozambique Channel"/>
    <s v="Iles Eparses"/>
    <s v="Europa"/>
    <s v="Outer reef slope and reef flat"/>
    <m/>
    <n v="-22345383000"/>
    <n v="40327700000"/>
    <s v="Fish Biomass without shark"/>
    <x v="1"/>
    <n v="7"/>
    <m/>
    <n v="276.3"/>
    <n v="156.6"/>
    <m/>
  </r>
  <r>
    <s v=" Chabanet et al. 2015"/>
    <x v="2"/>
    <x v="1"/>
    <n v="2012"/>
    <s v="After"/>
    <x v="0"/>
    <s v="Mozambique Channel"/>
    <s v="Iles Eparses"/>
    <s v="Glorieuses"/>
    <s v="Outer reef slope, forereef and deep terrace"/>
    <m/>
    <n v="-11561300000"/>
    <n v="47291333000"/>
    <s v="Hard Coral"/>
    <x v="0"/>
    <n v="7"/>
    <m/>
    <n v="28.4"/>
    <n v="7.6"/>
    <m/>
  </r>
  <r>
    <s v=" Chabanet et al. 2015"/>
    <x v="2"/>
    <x v="1"/>
    <n v="2012"/>
    <s v="After"/>
    <x v="0"/>
    <s v="Mozambique Channel"/>
    <s v="Iles Eparses"/>
    <s v="Glorieuses"/>
    <s v="Outer reef slope, forereef and deep terrace"/>
    <m/>
    <n v="-11561300000"/>
    <n v="47291333000"/>
    <s v="Soft coral"/>
    <x v="2"/>
    <n v="7"/>
    <m/>
    <n v="9.1"/>
    <n v="4"/>
    <m/>
  </r>
  <r>
    <s v=" Chabanet et al. 2015"/>
    <x v="2"/>
    <x v="1"/>
    <n v="2012"/>
    <s v="After"/>
    <x v="0"/>
    <s v="Mozambique Channel"/>
    <s v="Iles Eparses"/>
    <s v="Glorieuses"/>
    <s v="Outer reef slope, forereef and deep terrace"/>
    <m/>
    <n v="-11561300000"/>
    <n v="47291333000"/>
    <s v="Calcareous alga"/>
    <x v="1"/>
    <n v="7"/>
    <m/>
    <n v="17.3"/>
    <n v="3.3"/>
    <m/>
  </r>
  <r>
    <s v=" Chabanet et al. 2015"/>
    <x v="2"/>
    <x v="1"/>
    <n v="2012"/>
    <s v="After"/>
    <x v="0"/>
    <s v="Mozambique Channel"/>
    <s v="Iles Eparses"/>
    <s v="Glorieuses"/>
    <s v="Outer reef slope, forereef and deep terrace"/>
    <m/>
    <n v="-11561300000"/>
    <n v="47291333000"/>
    <s v="Fish Biomass without shark"/>
    <x v="1"/>
    <n v="7"/>
    <m/>
    <n v="247.9"/>
    <n v="221.9"/>
    <m/>
  </r>
  <r>
    <s v=" Chabanet et al. 2015"/>
    <x v="2"/>
    <x v="1"/>
    <n v="2013"/>
    <s v="After"/>
    <x v="0"/>
    <s v="Mozambique Channel"/>
    <s v="Iles Eparses"/>
    <s v="Juan de Nova"/>
    <s v="Outer reef slopes &amp; shallow lagoonal terraces"/>
    <m/>
    <n v="-17019600000"/>
    <n v="42681266667"/>
    <s v="Hard Coral"/>
    <x v="0"/>
    <n v="7"/>
    <m/>
    <n v="47.5"/>
    <n v="12.9"/>
    <m/>
  </r>
  <r>
    <s v=" Chabanet et al. 2015"/>
    <x v="2"/>
    <x v="1"/>
    <n v="2013"/>
    <s v="After"/>
    <x v="0"/>
    <s v="Mozambique Channel"/>
    <s v="Iles Eparses"/>
    <s v="Juan de Nova"/>
    <s v="Outer reef slopes &amp; shallow lagoonal terraces"/>
    <m/>
    <n v="-17019600000"/>
    <n v="42681266667"/>
    <s v="Soft coral"/>
    <x v="2"/>
    <n v="7"/>
    <m/>
    <n v="8.8000000000000007"/>
    <n v="0.6"/>
    <m/>
  </r>
  <r>
    <s v=" Chabanet et al. 2015"/>
    <x v="2"/>
    <x v="1"/>
    <n v="2013"/>
    <s v="After"/>
    <x v="0"/>
    <s v="Mozambique Channel"/>
    <s v="Iles Eparses"/>
    <s v="Juan de Nova"/>
    <s v="Outer reef slopes &amp; shallow lagoonal terraces"/>
    <m/>
    <n v="-17019600000"/>
    <n v="42681266667"/>
    <s v="Calcareous alga"/>
    <x v="1"/>
    <n v="7"/>
    <m/>
    <n v="24.9"/>
    <n v="6.2"/>
    <m/>
  </r>
  <r>
    <s v=" Chabanet et al. 2015"/>
    <x v="2"/>
    <x v="1"/>
    <n v="2013"/>
    <s v="After"/>
    <x v="0"/>
    <s v="Mozambique Channel"/>
    <s v="Iles Eparses"/>
    <s v="Juan de Nova"/>
    <s v="Outer reef slopes &amp; shallow lagoonal terraces"/>
    <m/>
    <n v="-17019600000"/>
    <n v="42681266667"/>
    <s v="Fish Biomass without shark"/>
    <x v="1"/>
    <n v="7"/>
    <m/>
    <n v="484.6"/>
    <n v="150"/>
    <m/>
  </r>
  <r>
    <s v=" Chabanet et al. 2015"/>
    <x v="2"/>
    <x v="1"/>
    <n v="2011"/>
    <s v="After"/>
    <x v="0"/>
    <s v="Mozambique Channel"/>
    <s v="Iles Eparses"/>
    <s v="Bassas de India"/>
    <s v="Outer reef slope and reef flat"/>
    <m/>
    <n v="-21444117000"/>
    <n v="39691583000"/>
    <s v="Hard Coral"/>
    <x v="0"/>
    <n v="7"/>
    <m/>
    <n v="62.9"/>
    <n v="7.8"/>
    <m/>
  </r>
  <r>
    <s v=" Chabanet et al. 2015"/>
    <x v="2"/>
    <x v="1"/>
    <n v="2011"/>
    <s v="After"/>
    <x v="0"/>
    <s v="Mozambique Channel"/>
    <s v="Iles Eparses"/>
    <s v="Bassas de India"/>
    <s v="Outer reef slope and reef flat"/>
    <m/>
    <n v="-21444117000"/>
    <n v="39691583000"/>
    <s v="Soft coral"/>
    <x v="2"/>
    <n v="7"/>
    <m/>
    <n v="13.7"/>
    <n v="6.6"/>
    <m/>
  </r>
  <r>
    <s v=" Chabanet et al. 2015"/>
    <x v="2"/>
    <x v="1"/>
    <n v="2011"/>
    <s v="After"/>
    <x v="0"/>
    <s v="Mozambique Channel"/>
    <s v="Iles Eparses"/>
    <s v="Bassas de India"/>
    <s v="Outer reef slope and reef flat"/>
    <m/>
    <n v="-21444117000"/>
    <n v="39691583000"/>
    <s v="Calcareous alga"/>
    <x v="1"/>
    <n v="7"/>
    <m/>
    <n v="29.9"/>
    <n v="9.6"/>
    <m/>
  </r>
  <r>
    <s v=" Chabanet et al. 2015"/>
    <x v="2"/>
    <x v="1"/>
    <n v="2011"/>
    <s v="After"/>
    <x v="0"/>
    <s v="Mozambique Channel"/>
    <s v="Iles Eparses"/>
    <s v="Bassas de India"/>
    <s v="Outer reef slope and reef flat"/>
    <m/>
    <n v="-21444117000"/>
    <n v="39691583000"/>
    <s v="Fish Biomass without shark"/>
    <x v="1"/>
    <n v="7"/>
    <m/>
    <n v="451.1"/>
    <n v="238.6"/>
    <m/>
  </r>
  <r>
    <s v="Pereira, Louro and Fernandes 2018"/>
    <x v="2"/>
    <x v="1"/>
    <n v="2018"/>
    <s v="After"/>
    <x v="0"/>
    <s v="Ponta do Ouro Partial Marine Reserve"/>
    <s v="Ponta do Ouro Partial Marine Reserve"/>
    <s v="Creche"/>
    <s v="Offshore, subtidal patch reef"/>
    <s v="10 - 14"/>
    <s v="S26° 48.371"/>
    <s v="E32° 53.622"/>
    <s v="Hard Coral"/>
    <x v="0"/>
    <n v="5"/>
    <m/>
    <n v="5.2"/>
    <n v="1.9"/>
    <m/>
  </r>
  <r>
    <s v="Pereira, Louro and Fernandes 2018"/>
    <x v="2"/>
    <x v="1"/>
    <n v="2018"/>
    <s v="After"/>
    <x v="0"/>
    <s v="Ponta do Ouro Partial Marine Reserve"/>
    <s v="Ponta do Ouro Partial Marine Reserve"/>
    <s v="Creche"/>
    <s v="Offshore, subtidal patch reef"/>
    <s v="10 - 14"/>
    <s v="S26° 48.371"/>
    <s v="E32° 53.622"/>
    <s v="Soft coral"/>
    <x v="4"/>
    <n v="5"/>
    <m/>
    <n v="32.799999999999997"/>
    <n v="3.9"/>
    <m/>
  </r>
  <r>
    <s v="Pereira, Louro and Fernandes 2018"/>
    <x v="2"/>
    <x v="1"/>
    <n v="2018"/>
    <s v="After"/>
    <x v="0"/>
    <s v="Ponta do Ouro Partial Marine Reserve"/>
    <s v="Ponta do Ouro Partial Marine Reserve"/>
    <s v="Creche"/>
    <s v="Offshore, subtidal patch reef"/>
    <s v="10 - 14"/>
    <s v="S26° 48.371"/>
    <s v="E32° 53.622"/>
    <s v="Dead coral with algae"/>
    <x v="1"/>
    <n v="5"/>
    <m/>
    <n v="0"/>
    <n v="0"/>
    <m/>
  </r>
  <r>
    <s v="Pereira, Louro and Fernandes 2018"/>
    <x v="2"/>
    <x v="1"/>
    <n v="2018"/>
    <s v="After"/>
    <x v="0"/>
    <s v="Ponta do Ouro Partial Marine Reserve"/>
    <s v="Ponta do Ouro Partial Marine Reserve"/>
    <s v="Creche"/>
    <s v="Offshore, subtidal patch reef"/>
    <s v="10 - 14"/>
    <s v="S26° 48.371"/>
    <s v="E32° 53.622"/>
    <s v="Recently dead coral"/>
    <x v="5"/>
    <n v="5"/>
    <m/>
    <n v="0"/>
    <n v="0"/>
    <m/>
  </r>
  <r>
    <s v="Pereira, Louro and Fernandes 2018"/>
    <x v="2"/>
    <x v="1"/>
    <n v="2018"/>
    <s v="After"/>
    <x v="0"/>
    <s v="Ponta do Ouro Partial Marine Reserve"/>
    <s v="Ponta do Ouro Partial Marine Reserve"/>
    <s v="Kev’s Ledge"/>
    <s v="Offshore, subtidal patch reef"/>
    <s v="18 - 24"/>
    <s v="S26° 46.673"/>
    <s v="E32° 54.268"/>
    <s v="Hard Coral"/>
    <x v="0"/>
    <n v="4"/>
    <m/>
    <n v="14.6"/>
    <n v="5"/>
    <m/>
  </r>
  <r>
    <s v="Pereira, Louro and Fernandes 2018"/>
    <x v="2"/>
    <x v="1"/>
    <n v="2018"/>
    <s v="After"/>
    <x v="0"/>
    <s v="Ponta do Ouro Partial Marine Reserve"/>
    <s v="Ponta do Ouro Partial Marine Reserve"/>
    <s v="Kev’s Ledge"/>
    <s v="Offshore, subtidal patch reef"/>
    <s v="18 - 24"/>
    <s v="S26° 46.673"/>
    <s v="E32° 54.268"/>
    <s v="Soft coral"/>
    <x v="4"/>
    <n v="4"/>
    <m/>
    <n v="23.8"/>
    <n v="7.5"/>
    <m/>
  </r>
  <r>
    <s v="Pereira, Louro and Fernandes 2018"/>
    <x v="2"/>
    <x v="1"/>
    <n v="2018"/>
    <s v="After"/>
    <x v="0"/>
    <s v="Ponta do Ouro Partial Marine Reserve"/>
    <s v="Ponta do Ouro Partial Marine Reserve"/>
    <s v="Kev’s Ledge"/>
    <s v="Offshore, subtidal patch reef"/>
    <s v="18 - 24"/>
    <s v="S26° 46.673"/>
    <s v="E32° 54.268"/>
    <s v="Dead coral with algae"/>
    <x v="1"/>
    <n v="4"/>
    <m/>
    <n v="0.2"/>
    <n v="0.3"/>
    <m/>
  </r>
  <r>
    <s v="Pereira, Louro and Fernandes 2018"/>
    <x v="2"/>
    <x v="1"/>
    <n v="2018"/>
    <s v="After"/>
    <x v="0"/>
    <s v="Ponta do Ouro Partial Marine Reserve"/>
    <s v="Ponta do Ouro Partial Marine Reserve"/>
    <s v="Kev’s Ledge"/>
    <s v="Offshore, subtidal patch reef"/>
    <s v="18 - 24"/>
    <s v="S26° 46.673"/>
    <s v="E32° 54.268"/>
    <s v="Recently dead coral"/>
    <x v="5"/>
    <n v="4"/>
    <m/>
    <n v="0"/>
    <n v="0"/>
    <m/>
  </r>
  <r>
    <s v="Pereira, Louro and Fernandes 2018"/>
    <x v="2"/>
    <x v="1"/>
    <n v="2018"/>
    <s v="After"/>
    <x v="0"/>
    <s v="Ponta do Ouro Partial Marine Reserve"/>
    <s v="Ponta do Ouro Partial Marine Reserve"/>
    <s v="Techobanine 1"/>
    <s v="Offshore, subtidal patch reef"/>
    <s v="16 - 20"/>
    <s v="S26° 37.770"/>
    <s v="E32° 54.736"/>
    <s v="Hard Coral"/>
    <x v="0"/>
    <n v="5"/>
    <m/>
    <n v="4.0999999999999996"/>
    <n v="4.0999999999999996"/>
    <m/>
  </r>
  <r>
    <s v="Pereira, Louro and Fernandes 2018"/>
    <x v="2"/>
    <x v="1"/>
    <n v="2018"/>
    <s v="After"/>
    <x v="0"/>
    <s v="Ponta do Ouro Partial Marine Reserve"/>
    <s v="Ponta do Ouro Partial Marine Reserve"/>
    <s v="Techobanine 1"/>
    <s v="Offshore, subtidal patch reef"/>
    <s v="16 - 20"/>
    <s v="S26° 37.770"/>
    <s v="E32° 54.736"/>
    <s v="Soft coral"/>
    <x v="4"/>
    <n v="5"/>
    <m/>
    <n v="27.5"/>
    <n v="13.6"/>
    <m/>
  </r>
  <r>
    <s v="Pereira, Louro and Fernandes 2018"/>
    <x v="2"/>
    <x v="1"/>
    <n v="2018"/>
    <s v="After"/>
    <x v="0"/>
    <s v="Ponta do Ouro Partial Marine Reserve"/>
    <s v="Ponta do Ouro Partial Marine Reserve"/>
    <s v="Techobanine 1"/>
    <s v="Offshore, subtidal patch reef"/>
    <s v="16 - 20"/>
    <s v="S26° 37.770"/>
    <s v="E32° 54.736"/>
    <s v="Dead coral with algae"/>
    <x v="1"/>
    <n v="5"/>
    <m/>
    <n v="0.2"/>
    <n v="0.2"/>
    <m/>
  </r>
  <r>
    <s v="Pereira, Louro and Fernandes 2018"/>
    <x v="2"/>
    <x v="1"/>
    <n v="2018"/>
    <s v="After"/>
    <x v="0"/>
    <s v="Ponta do Ouro Partial Marine Reserve"/>
    <s v="Ponta do Ouro Partial Marine Reserve"/>
    <s v="Techobanine 1"/>
    <s v="Offshore, subtidal patch reef"/>
    <s v="16 - 20"/>
    <s v="S26° 37.770"/>
    <s v="E32° 54.736"/>
    <s v="Recently dead coral"/>
    <x v="5"/>
    <n v="5"/>
    <m/>
    <n v="0.1"/>
    <n v="0.2"/>
    <m/>
  </r>
  <r>
    <s v="Pereira, Louro and Fernandes 2018"/>
    <x v="2"/>
    <x v="1"/>
    <n v="2018"/>
    <s v="After"/>
    <x v="0"/>
    <s v="Ponta do Ouro Partial Marine Reserve"/>
    <s v="Ponta do Ouro Partial Marine Reserve"/>
    <s v="Techobanine 2"/>
    <s v="Offshore, subtidal patch reef"/>
    <s v="18 - 22"/>
    <s v="S26° 37.806"/>
    <s v="E32° 54.873"/>
    <s v="Hard Coral"/>
    <x v="0"/>
    <n v="6"/>
    <m/>
    <n v="10"/>
    <n v="16"/>
    <m/>
  </r>
  <r>
    <s v="Pereira, Louro and Fernandes 2018"/>
    <x v="2"/>
    <x v="1"/>
    <n v="2018"/>
    <s v="After"/>
    <x v="0"/>
    <s v="Ponta do Ouro Partial Marine Reserve"/>
    <s v="Ponta do Ouro Partial Marine Reserve"/>
    <s v="Techobanine 2"/>
    <s v="Offshore, subtidal patch reef"/>
    <s v="18 - 22"/>
    <s v="S26° 37.806"/>
    <s v="E32° 54.873"/>
    <s v="Soft coral"/>
    <x v="4"/>
    <n v="6"/>
    <m/>
    <n v="14.1"/>
    <n v="11"/>
    <m/>
  </r>
  <r>
    <s v="Pereira, Louro and Fernandes 2018"/>
    <x v="2"/>
    <x v="1"/>
    <n v="2018"/>
    <s v="After"/>
    <x v="0"/>
    <s v="Ponta do Ouro Partial Marine Reserve"/>
    <s v="Ponta do Ouro Partial Marine Reserve"/>
    <s v="Techobanine 2"/>
    <s v="Offshore, subtidal patch reef"/>
    <s v="18 - 22"/>
    <s v="S26° 37.806"/>
    <s v="E32° 54.873"/>
    <s v="Dead coral with algae"/>
    <x v="1"/>
    <n v="6"/>
    <m/>
    <n v="1.2"/>
    <n v="2.2999999999999998"/>
    <m/>
  </r>
  <r>
    <s v="Pereira, Louro and Fernandes 2018"/>
    <x v="2"/>
    <x v="1"/>
    <n v="2018"/>
    <s v="After"/>
    <x v="0"/>
    <s v="Ponta do Ouro Partial Marine Reserve"/>
    <s v="Ponta do Ouro Partial Marine Reserve"/>
    <s v="Techobanine 2"/>
    <s v="Offshore, subtidal patch reef"/>
    <s v="18 - 22"/>
    <s v="S26° 37.806"/>
    <s v="E32° 54.873"/>
    <s v="Recently dead coral"/>
    <x v="5"/>
    <n v="6"/>
    <m/>
    <n v="0"/>
    <n v="0"/>
    <m/>
  </r>
  <r>
    <s v="Pereira, Louro and Fernandes 2018"/>
    <x v="2"/>
    <x v="1"/>
    <n v="2018"/>
    <s v="After"/>
    <x v="0"/>
    <s v="Ponta do Ouro Partial Marine Reserve"/>
    <s v="Ponta do Ouro Partial Marine Reserve"/>
    <s v="Texas"/>
    <s v="Offshore, subtidal patch reef"/>
    <s v="12 - 18"/>
    <s v="S26° 46.275"/>
    <s v="E32° 54.105"/>
    <s v="Hard Coral"/>
    <x v="0"/>
    <n v="5"/>
    <m/>
    <n v="5.8"/>
    <n v="1.8"/>
    <m/>
  </r>
  <r>
    <s v="Pereira, Louro and Fernandes 2018"/>
    <x v="2"/>
    <x v="1"/>
    <n v="2018"/>
    <s v="After"/>
    <x v="0"/>
    <s v="Ponta do Ouro Partial Marine Reserve"/>
    <s v="Ponta do Ouro Partial Marine Reserve"/>
    <s v="Texas"/>
    <s v="Offshore, subtidal patch reef"/>
    <s v="12 - 18"/>
    <s v="S26° 46.275"/>
    <s v="E32° 54.105"/>
    <s v="Soft coral"/>
    <x v="4"/>
    <n v="5"/>
    <m/>
    <n v="37"/>
    <n v="8.6999999999999993"/>
    <m/>
  </r>
  <r>
    <s v="Pereira, Louro and Fernandes 2018"/>
    <x v="2"/>
    <x v="1"/>
    <n v="2018"/>
    <s v="After"/>
    <x v="0"/>
    <s v="Ponta do Ouro Partial Marine Reserve"/>
    <s v="Ponta do Ouro Partial Marine Reserve"/>
    <s v="Texas"/>
    <s v="Offshore, subtidal patch reef"/>
    <s v="12 - 18"/>
    <s v="S26° 46.275"/>
    <s v="E32° 54.105"/>
    <s v="Dead coral with algae"/>
    <x v="1"/>
    <n v="5"/>
    <m/>
    <n v="0.1"/>
    <n v="0.1"/>
    <m/>
  </r>
  <r>
    <s v="Pereira, Louro and Fernandes 2018"/>
    <x v="2"/>
    <x v="1"/>
    <n v="2018"/>
    <s v="After"/>
    <x v="0"/>
    <s v="Ponta do Ouro Partial Marine Reserve"/>
    <s v="Ponta do Ouro Partial Marine Reserve"/>
    <s v="Texas"/>
    <s v="Offshore, subtidal patch reef"/>
    <s v="12 - 18"/>
    <s v="S26° 46.275"/>
    <s v="E32° 54.105"/>
    <s v="Recently dead coral"/>
    <x v="5"/>
    <n v="5"/>
    <m/>
    <n v="0"/>
    <n v="0"/>
    <m/>
  </r>
  <r>
    <s v="Centro Terra Viva (CTV)"/>
    <x v="2"/>
    <x v="1"/>
    <n v="2017"/>
    <s v="After"/>
    <x v="0"/>
    <s v="Quirimbas National Park"/>
    <s v="Quirimbas National Park"/>
    <s v="Rolas"/>
    <s v="fringing reef"/>
    <s v="6-8"/>
    <s v="S12 09.167"/>
    <s v="E40 33.402"/>
    <s v="Hard Coral"/>
    <x v="0"/>
    <m/>
    <m/>
    <n v="46.1"/>
    <n v="18.899999999999999"/>
    <m/>
  </r>
  <r>
    <s v="Centro Terra Viva (CTV)"/>
    <x v="2"/>
    <x v="1"/>
    <n v="2017"/>
    <s v="After"/>
    <x v="0"/>
    <s v="Quirimbas National Park"/>
    <s v="Quirimbas National Park"/>
    <s v="Rolas"/>
    <s v="fringing reef"/>
    <s v="6-8"/>
    <s v="S12 09.167"/>
    <s v="E40 33.402"/>
    <s v="Soft coral"/>
    <x v="4"/>
    <m/>
    <m/>
    <n v="0.5"/>
    <n v="0.5"/>
    <m/>
  </r>
  <r>
    <s v="Centro Terra Viva (CTV)"/>
    <x v="2"/>
    <x v="1"/>
    <n v="2017"/>
    <s v="After"/>
    <x v="0"/>
    <s v="Quirimbas National Park"/>
    <s v="Quirimbas National Park"/>
    <s v="Rolas"/>
    <s v="fringing reef"/>
    <s v="6-8"/>
    <s v="S12 09.167"/>
    <s v="E40 33.402"/>
    <s v="Unidentify coral"/>
    <x v="6"/>
    <m/>
    <m/>
    <n v="0.1"/>
    <n v="0.1"/>
    <m/>
  </r>
  <r>
    <s v="Centro Terra Viva (CTV)"/>
    <x v="2"/>
    <x v="1"/>
    <n v="2017"/>
    <s v="After"/>
    <x v="0"/>
    <s v="Quirimbas National Park"/>
    <s v="Quirimbas National Park"/>
    <s v="Ibo inner"/>
    <s v="Sheltered Fringing Reef"/>
    <s v="3-5"/>
    <s v="S12 18.606"/>
    <s v="E40 35.758"/>
    <s v="Hard Coral"/>
    <x v="0"/>
    <m/>
    <m/>
    <n v="31.3"/>
    <n v="8.6"/>
    <m/>
  </r>
  <r>
    <s v="Centro Terra Viva (CTV)"/>
    <x v="2"/>
    <x v="1"/>
    <n v="2017"/>
    <s v="After"/>
    <x v="0"/>
    <s v="Quirimbas National Park"/>
    <s v="Quirimbas National Park"/>
    <s v="Ibo inner"/>
    <s v="Sheltered Fringing Reef"/>
    <s v="3-5"/>
    <s v="S12 18.606"/>
    <s v="E40 35.758"/>
    <s v="Soft coral"/>
    <x v="4"/>
    <m/>
    <m/>
    <n v="2"/>
    <n v="1.9"/>
    <m/>
  </r>
  <r>
    <s v="Centro Terra Viva (CTV)"/>
    <x v="2"/>
    <x v="1"/>
    <n v="2017"/>
    <s v="After"/>
    <x v="0"/>
    <s v="Quirimbas National Park"/>
    <s v="Quirimbas National Park"/>
    <s v="Ibo inner"/>
    <s v="Sheltered Fringing Reef"/>
    <s v="3-5"/>
    <s v="S12 18.606"/>
    <s v="E40 35.758"/>
    <s v="Unidentify coral"/>
    <x v="6"/>
    <m/>
    <m/>
    <n v="0.1"/>
    <n v="0.1"/>
    <m/>
  </r>
  <r>
    <s v="Centro Terra Viva (CTV)"/>
    <x v="2"/>
    <x v="1"/>
    <n v="2017"/>
    <s v="After"/>
    <x v="0"/>
    <s v="Quirimbas National Park"/>
    <s v="Quirimbas National Park"/>
    <s v="Canal de Sencar"/>
    <s v="Fringing Reef to Long channel between Sencar and Quilálea"/>
    <s v="4-6"/>
    <s v="S12 29.318"/>
    <s v="E40 37.246"/>
    <s v="Hard Coral"/>
    <x v="0"/>
    <m/>
    <m/>
    <n v="15.5"/>
    <n v="12"/>
    <m/>
  </r>
  <r>
    <s v="Centro Terra Viva (CTV)"/>
    <x v="2"/>
    <x v="1"/>
    <n v="2017"/>
    <s v="After"/>
    <x v="0"/>
    <s v="Quirimbas National Park"/>
    <s v="Quirimbas National Park"/>
    <s v="Canal de Sencar"/>
    <s v="Fringing Reef to Long channel between Sencar and Quilálea"/>
    <s v="4-6"/>
    <s v="S12 29.318"/>
    <s v="E40 37.246"/>
    <s v="Soft coral"/>
    <x v="4"/>
    <m/>
    <m/>
    <n v="18.5"/>
    <n v="5.3"/>
    <m/>
  </r>
  <r>
    <s v="Centro Terra Viva (CTV)"/>
    <x v="2"/>
    <x v="1"/>
    <n v="2017"/>
    <s v="After"/>
    <x v="0"/>
    <s v="Quirimbas National Park"/>
    <s v="Quirimbas National Park"/>
    <s v="Canal de Sencar"/>
    <s v="Fringing Reef to Long channel between Sencar and Quilálea"/>
    <s v="4-6"/>
    <s v="S12 29.318"/>
    <s v="E40 37.246"/>
    <s v="Unidentify coral"/>
    <x v="6"/>
    <m/>
    <m/>
    <n v="0.2"/>
    <n v="0.3"/>
    <m/>
  </r>
  <r>
    <s v="Centro Terra Viva (CTV)"/>
    <x v="2"/>
    <x v="1"/>
    <n v="2017"/>
    <s v="After"/>
    <x v="0"/>
    <s v="Quirimbas National Park"/>
    <s v="Quirimbas National Park"/>
    <s v="Mefunvo 4"/>
    <s v="Full Sheltered Fringing Reef"/>
    <s v="1-4"/>
    <s v="S12 33.938"/>
    <s v="E40 34.662"/>
    <s v="Hard Coral"/>
    <x v="0"/>
    <m/>
    <m/>
    <n v="26.2"/>
    <n v="5.4"/>
    <m/>
  </r>
  <r>
    <s v="Centro Terra Viva (CTV)"/>
    <x v="2"/>
    <x v="1"/>
    <n v="2017"/>
    <s v="After"/>
    <x v="0"/>
    <s v="Quirimbas National Park"/>
    <s v="Quirimbas National Park"/>
    <s v="Mefunvo 4"/>
    <s v="Full Sheltered Fringing Reef"/>
    <s v="1-4"/>
    <s v="S12 33.938"/>
    <s v="E40 34.662"/>
    <s v="Soft coral"/>
    <x v="4"/>
    <m/>
    <m/>
    <n v="1.1000000000000001"/>
    <n v="0.9"/>
    <m/>
  </r>
  <r>
    <s v="Centro Terra Viva (CTV)"/>
    <x v="2"/>
    <x v="1"/>
    <n v="2017"/>
    <s v="After"/>
    <x v="0"/>
    <s v="Quirimbas National Park"/>
    <s v="Quirimbas National Park"/>
    <s v="Mefunvo 4"/>
    <s v="Full Sheltered Fringing Reef"/>
    <s v="1-4"/>
    <s v="S12 33.938"/>
    <s v="E40 34.662"/>
    <s v="Unidentify coral"/>
    <x v="6"/>
    <m/>
    <m/>
    <n v="0.3"/>
    <n v="0.3"/>
    <m/>
  </r>
  <r>
    <s v="Centro Terra Viva (CTV)"/>
    <x v="2"/>
    <x v="1"/>
    <n v="2017"/>
    <s v="After"/>
    <x v="0"/>
    <m/>
    <s v="Pomene National Reserve"/>
    <m/>
    <s v="Eastern slope"/>
    <s v="7-15"/>
    <s v="S22 45.873"/>
    <s v="E35 34.885"/>
    <s v="Hard Coral"/>
    <x v="0"/>
    <m/>
    <m/>
    <n v="34.9"/>
    <m/>
    <m/>
  </r>
  <r>
    <s v="Centro Terra Viva (CTV)"/>
    <x v="2"/>
    <x v="1"/>
    <n v="2017"/>
    <s v="After"/>
    <x v="0"/>
    <m/>
    <s v="Pomene National Reserve"/>
    <m/>
    <s v="Eastern slope"/>
    <s v="7-15"/>
    <s v="S22 45.873"/>
    <s v="E35 34.885"/>
    <s v="Soft coral"/>
    <x v="4"/>
    <m/>
    <m/>
    <n v="9.4"/>
    <m/>
    <m/>
  </r>
  <r>
    <s v="Centro Terra Viva (CTV)"/>
    <x v="2"/>
    <x v="1"/>
    <n v="2017"/>
    <s v="After"/>
    <x v="0"/>
    <m/>
    <s v="Pomene National Reserve"/>
    <m/>
    <s v="Eastern slope"/>
    <s v="7-15"/>
    <s v="S22 45.873"/>
    <s v="E35 34.885"/>
    <s v="Unidentify coral"/>
    <x v="6"/>
    <m/>
    <m/>
    <n v="0.5"/>
    <m/>
    <m/>
  </r>
  <r>
    <s v="Centro Terra Viva (CTV)"/>
    <x v="2"/>
    <x v="1"/>
    <n v="2017"/>
    <s v="After"/>
    <x v="0"/>
    <m/>
    <s v="Pomene National Reserve"/>
    <m/>
    <s v="Flat reef"/>
    <s v="7-9"/>
    <s v="S22 45.964"/>
    <s v="E35 34.866"/>
    <s v="Hard Coral"/>
    <x v="0"/>
    <m/>
    <m/>
    <n v="27.6"/>
    <m/>
    <m/>
  </r>
  <r>
    <s v="Centro Terra Viva (CTV)"/>
    <x v="2"/>
    <x v="1"/>
    <n v="2017"/>
    <s v="After"/>
    <x v="0"/>
    <m/>
    <s v="Pomene National Reserve"/>
    <m/>
    <s v="Flat reef"/>
    <s v="7-9"/>
    <s v="S22 45.964"/>
    <s v="E35 34.866"/>
    <s v="Soft coral"/>
    <x v="4"/>
    <m/>
    <m/>
    <n v="1.1000000000000001"/>
    <m/>
    <m/>
  </r>
  <r>
    <s v="Centro Terra Viva (CTV)"/>
    <x v="2"/>
    <x v="1"/>
    <n v="2017"/>
    <s v="After"/>
    <x v="0"/>
    <m/>
    <s v="Pomene National Reserve"/>
    <m/>
    <s v="Flat reef"/>
    <s v="7-9"/>
    <s v="S22 45.964"/>
    <s v="E35 34.866"/>
    <s v="Unidentify coral"/>
    <x v="6"/>
    <m/>
    <m/>
    <n v="0.4"/>
    <m/>
    <m/>
  </r>
  <r>
    <s v="Centro Terra Viva (CTV)"/>
    <x v="2"/>
    <x v="1"/>
    <n v="2017"/>
    <s v="After"/>
    <x v="0"/>
    <m/>
    <s v="Pomene National Reserve"/>
    <m/>
    <s v="Spur and groove"/>
    <s v="8-12"/>
    <s v="S22 46.038"/>
    <s v="E35 34.900"/>
    <s v="Hard Coral"/>
    <x v="0"/>
    <m/>
    <m/>
    <n v="31.3"/>
    <m/>
    <m/>
  </r>
  <r>
    <s v="Centro Terra Viva (CTV)"/>
    <x v="2"/>
    <x v="1"/>
    <n v="2017"/>
    <s v="After"/>
    <x v="0"/>
    <m/>
    <s v="Pomene National Reserve"/>
    <m/>
    <s v="Spur and groove"/>
    <s v="8-12"/>
    <s v="S22 46.038"/>
    <s v="E35 34.900"/>
    <s v="Soft coral"/>
    <x v="4"/>
    <m/>
    <m/>
    <n v="5.9"/>
    <m/>
    <m/>
  </r>
  <r>
    <s v="Centro Terra Viva (CTV)"/>
    <x v="2"/>
    <x v="1"/>
    <n v="2017"/>
    <s v="After"/>
    <x v="0"/>
    <m/>
    <s v="Pomene National Reserve"/>
    <m/>
    <s v="Spur and groove"/>
    <s v="8-12"/>
    <s v="S22 46.038"/>
    <s v="E35 34.900"/>
    <s v="Unidentify coral"/>
    <x v="6"/>
    <m/>
    <m/>
    <n v="0.2"/>
    <m/>
    <m/>
  </r>
  <r>
    <s v="Centro Terra Viva (CTV)"/>
    <x v="2"/>
    <x v="1"/>
    <n v="2017"/>
    <s v="After"/>
    <x v="0"/>
    <m/>
    <s v="Pomene National Reserve"/>
    <m/>
    <s v="Top of the Reef"/>
    <s v="6-8"/>
    <s v="S22 45.929"/>
    <s v="E35 34.877"/>
    <s v="Hard Coral"/>
    <x v="0"/>
    <m/>
    <m/>
    <n v="25"/>
    <m/>
    <m/>
  </r>
  <r>
    <s v="Centro Terra Viva (CTV)"/>
    <x v="2"/>
    <x v="1"/>
    <n v="2017"/>
    <s v="After"/>
    <x v="0"/>
    <m/>
    <s v="Pomene National Reserve"/>
    <m/>
    <s v="Top of the Reef"/>
    <s v="6-8"/>
    <s v="S22 45.929"/>
    <s v="E35 34.877"/>
    <s v="Soft coral"/>
    <x v="4"/>
    <m/>
    <m/>
    <n v="4.5999999999999996"/>
    <m/>
    <m/>
  </r>
  <r>
    <s v="Centro Terra Viva (CTV)"/>
    <x v="2"/>
    <x v="1"/>
    <n v="2017"/>
    <s v="After"/>
    <x v="0"/>
    <m/>
    <s v="Pomene National Reserve"/>
    <m/>
    <s v="Top of the Reef"/>
    <s v="6-8"/>
    <s v="S22 45.929"/>
    <s v="E35 34.877"/>
    <s v="Unidentify coral"/>
    <x v="6"/>
    <m/>
    <m/>
    <n v="0.4"/>
    <m/>
    <m/>
  </r>
  <r>
    <s v="A preliminary assessment of coral bleaching in Mozambique (Schleyer et al)"/>
    <x v="2"/>
    <x v="1"/>
    <n v="1999"/>
    <s v="After"/>
    <x v="0"/>
    <s v="Pemba"/>
    <s v="Wimbe beach"/>
    <m/>
    <m/>
    <m/>
    <s v="12 57'42&quot;"/>
    <s v="40 33'10&quot;"/>
    <s v="Hard Coral"/>
    <x v="0"/>
    <m/>
    <m/>
    <s v="&lt;60"/>
    <m/>
    <m/>
  </r>
  <r>
    <s v="A preliminary assessment of coral bleaching in Mozambique (Schleyer et al)"/>
    <x v="2"/>
    <x v="1"/>
    <n v="1999"/>
    <s v="After"/>
    <x v="0"/>
    <s v="Pemba"/>
    <s v="Quilalulia channel"/>
    <m/>
    <m/>
    <m/>
    <s v="12 29'00&quot;"/>
    <s v="40 34'44&quot;"/>
    <s v="Hard Coral"/>
    <x v="0"/>
    <m/>
    <m/>
    <s v="&lt;1"/>
    <m/>
    <m/>
  </r>
  <r>
    <s v="A preliminary assessment of coral bleaching in Mozambique (Schleyer et al)"/>
    <x v="2"/>
    <x v="1"/>
    <n v="1999"/>
    <s v="After"/>
    <x v="0"/>
    <s v="Pemba"/>
    <s v="Sencar"/>
    <m/>
    <m/>
    <m/>
    <m/>
    <m/>
    <s v="Hard Coral"/>
    <x v="0"/>
    <m/>
    <m/>
    <s v="&lt;"/>
    <m/>
    <m/>
  </r>
  <r>
    <s v="A preliminary assessment of coral bleaching in Mozambique (Schleyer et al)"/>
    <x v="2"/>
    <x v="1"/>
    <n v="1999"/>
    <s v="After"/>
    <x v="0"/>
    <s v="Pemba"/>
    <s v="Pemba bay"/>
    <m/>
    <m/>
    <m/>
    <s v="12 55'31&quot;"/>
    <s v="40 30'04&quot;"/>
    <s v="Hard Coral"/>
    <x v="0"/>
    <m/>
    <m/>
    <m/>
    <m/>
    <m/>
  </r>
  <r>
    <s v="A preliminary assessment of coral bleaching in Mozambique (Schleyer et al)"/>
    <x v="2"/>
    <x v="1"/>
    <n v="1999"/>
    <s v="After"/>
    <x v="0"/>
    <s v="Nacala"/>
    <s v="Fernao Veloso bay"/>
    <m/>
    <m/>
    <m/>
    <s v="±14 26'56&quot;"/>
    <s v="±40 42'04&quot;"/>
    <s v="Hard Coral"/>
    <x v="0"/>
    <m/>
    <m/>
    <s v="&lt;90"/>
    <m/>
    <m/>
  </r>
  <r>
    <s v="A preliminary assessment of coral bleaching in Mozambique (Schleyer et al)"/>
    <x v="2"/>
    <x v="1"/>
    <n v="1999"/>
    <s v="After"/>
    <x v="0"/>
    <s v="Angoche"/>
    <s v="Baixo St Antonia"/>
    <m/>
    <m/>
    <m/>
    <s v="16 12'46&quot;"/>
    <s v="40 08'05&quot;"/>
    <s v="Hard Coral"/>
    <x v="0"/>
    <m/>
    <m/>
    <s v="&lt;10"/>
    <m/>
    <m/>
  </r>
  <r>
    <s v="A preliminary assessment of coral bleaching in Mozambique (Schleyer et al)"/>
    <x v="2"/>
    <x v="1"/>
    <n v="1999"/>
    <s v="After"/>
    <x v="0"/>
    <s v="Angoche"/>
    <s v="Mafamede Island"/>
    <m/>
    <m/>
    <m/>
    <s v="16 20'57&quot;"/>
    <s v="40 03'19&quot;"/>
    <s v="Hard Coral"/>
    <x v="0"/>
    <m/>
    <m/>
    <n v="20"/>
    <m/>
    <m/>
  </r>
  <r>
    <s v="A preliminary assessment of coral bleaching in Mozambique (Schleyer et al)"/>
    <x v="2"/>
    <x v="1"/>
    <n v="1999"/>
    <s v="After"/>
    <x v="0"/>
    <s v="Bazaruto Island"/>
    <s v="Inner Two-Mile Reef"/>
    <m/>
    <m/>
    <m/>
    <s v="21 48'32&quot;"/>
    <s v="33 30'05&quot;"/>
    <s v="Hard Coral"/>
    <x v="0"/>
    <m/>
    <m/>
    <n v="20"/>
    <m/>
    <m/>
  </r>
  <r>
    <s v="A preliminary assessment of coral bleaching in Mozambique (Schleyer et al)"/>
    <x v="2"/>
    <x v="1"/>
    <n v="1999"/>
    <s v="After"/>
    <x v="0"/>
    <s v="Bazaruto Island"/>
    <s v="Coral Garden"/>
    <m/>
    <m/>
    <m/>
    <s v="±21 48'"/>
    <s v="±35 33'"/>
    <s v="Hard Coral"/>
    <x v="0"/>
    <m/>
    <m/>
    <s v="&lt;90"/>
    <m/>
    <m/>
  </r>
  <r>
    <s v="A preliminary assessment of coral bleaching in Mozambique (Schleyer et al)"/>
    <x v="2"/>
    <x v="1"/>
    <n v="1999"/>
    <s v="After"/>
    <x v="0"/>
    <s v="Bazaruto Island"/>
    <s v="Lighthouse Reef"/>
    <m/>
    <m/>
    <m/>
    <s v="21 31'22&quot;"/>
    <s v="35 29'44&quot;"/>
    <s v="Hard Coral"/>
    <x v="0"/>
    <m/>
    <m/>
    <s v="&lt;90"/>
    <m/>
    <m/>
  </r>
  <r>
    <s v="A preliminary assessment of coral bleaching in Mozambique (Schleyer et al)"/>
    <x v="2"/>
    <x v="1"/>
    <n v="1999"/>
    <s v="After"/>
    <x v="0"/>
    <s v="Inhambane"/>
    <s v="Mike's Cupboard"/>
    <m/>
    <m/>
    <m/>
    <s v="23 48'44&quot;"/>
    <s v="35 32'30&quot;"/>
    <s v="Hard Coral"/>
    <x v="0"/>
    <m/>
    <m/>
    <n v="10"/>
    <m/>
    <m/>
  </r>
  <r>
    <s v="A preliminary assessment of coral bleaching in Mozambique (Schleyer et al)"/>
    <x v="2"/>
    <x v="1"/>
    <n v="1999"/>
    <s v="After"/>
    <x v="0"/>
    <s v="Inhambane"/>
    <s v="Coral Garden"/>
    <m/>
    <m/>
    <m/>
    <s v="23 47'13&quot;"/>
    <s v="35 31'27&quot;"/>
    <s v="Hard Coral"/>
    <x v="0"/>
    <m/>
    <m/>
    <s v="&lt;60"/>
    <m/>
    <m/>
  </r>
  <r>
    <s v="A preliminary assessment of coral bleaching in Mozambique (Schleyer et al)"/>
    <x v="2"/>
    <x v="1"/>
    <n v="1999"/>
    <s v="After"/>
    <x v="0"/>
    <s v="Inhambane"/>
    <s v="Anchor bay"/>
    <m/>
    <m/>
    <m/>
    <s v="23 46'37&quot;"/>
    <s v="35 30'38&quot;"/>
    <s v="Hard Coral"/>
    <x v="0"/>
    <m/>
    <m/>
    <n v="5"/>
    <m/>
    <m/>
  </r>
  <r>
    <s v="A preliminary assessment of coral bleaching in Mozambique (Schleyer et al)"/>
    <x v="2"/>
    <x v="3"/>
    <n v="1999"/>
    <s v="After"/>
    <x v="2"/>
    <s v="Inhambane"/>
    <s v="Cabo das Correntes (Paindane)"/>
    <m/>
    <m/>
    <m/>
    <s v="21 31'21&quot;"/>
    <s v="35 21'44&quot;"/>
    <s v="Hard Coral"/>
    <x v="0"/>
    <m/>
    <m/>
    <n v="60"/>
    <m/>
    <m/>
  </r>
  <r>
    <s v="A preliminary assessment of coral bleaching in Mozambique (Schleyer et al)"/>
    <x v="2"/>
    <x v="1"/>
    <n v="1999"/>
    <s v="After"/>
    <x v="0"/>
    <s v="Inhaca Island "/>
    <s v="Pta Torres Channel"/>
    <m/>
    <m/>
    <m/>
    <s v="26 03'51&quot;"/>
    <s v="32 57'12&quot;"/>
    <s v="Hard Coral"/>
    <x v="0"/>
    <m/>
    <m/>
    <m/>
    <m/>
    <m/>
  </r>
  <r>
    <s v="A preliminary assessment of coral bleaching in Mozambique (Schleyer et al)"/>
    <x v="2"/>
    <x v="1"/>
    <n v="1999"/>
    <s v="After"/>
    <x v="0"/>
    <s v="Inhaca Island "/>
    <s v="Pta Torres"/>
    <m/>
    <m/>
    <m/>
    <s v="26 04'27&quot;"/>
    <s v="32 57'07&quot;"/>
    <s v="Hard Coral"/>
    <x v="0"/>
    <m/>
    <m/>
    <n v="5"/>
    <m/>
    <m/>
  </r>
  <r>
    <s v="A preliminary assessment of coral bleaching in Mozambique (Schleyer et al)"/>
    <x v="2"/>
    <x v="1"/>
    <n v="1999"/>
    <s v="After"/>
    <x v="0"/>
    <s v="Inhaca Island "/>
    <s v="Barreira Vermelha"/>
    <m/>
    <m/>
    <m/>
    <s v="32 53'59&quot;"/>
    <s v="26 01'19&quot;"/>
    <s v="Hard Coral"/>
    <x v="0"/>
    <m/>
    <m/>
    <m/>
    <m/>
    <m/>
  </r>
  <r>
    <s v="Status of coral reefs in Eastern Africa, Kenya, Tanzania, Mozambique and South Africa"/>
    <x v="2"/>
    <x v="1"/>
    <n v="1999"/>
    <s v="After"/>
    <x v="0"/>
    <s v="Quirimbas"/>
    <m/>
    <m/>
    <m/>
    <m/>
    <m/>
    <m/>
    <s v="Hard Coral"/>
    <x v="0"/>
    <m/>
    <m/>
    <n v="48.4"/>
    <m/>
    <m/>
  </r>
  <r>
    <s v="Status of coral reefs in Eastern Africa, Kenya, Tanzania, Mozambique and South Africa"/>
    <x v="2"/>
    <x v="1"/>
    <n v="1999"/>
    <s v="After"/>
    <x v="0"/>
    <s v="Mozambique I."/>
    <m/>
    <m/>
    <m/>
    <m/>
    <m/>
    <m/>
    <s v="Hard Coral"/>
    <x v="0"/>
    <m/>
    <m/>
    <n v="32.5"/>
    <m/>
    <m/>
  </r>
  <r>
    <s v="Status of coral reefs in Eastern Africa, Kenya, Tanzania, Mozambique and South Africa"/>
    <x v="2"/>
    <x v="3"/>
    <n v="1999"/>
    <s v="After"/>
    <x v="0"/>
    <s v="Bazaruto Island"/>
    <m/>
    <m/>
    <m/>
    <m/>
    <m/>
    <m/>
    <s v="Hard Coral"/>
    <x v="0"/>
    <m/>
    <m/>
    <n v="69.5"/>
    <m/>
    <m/>
  </r>
  <r>
    <s v="Status of coral reefs in Eastern Africa, Kenya, Tanzania, Mozambique and South Africa"/>
    <x v="2"/>
    <x v="1"/>
    <n v="1999"/>
    <s v="After"/>
    <x v="0"/>
    <s v="Inhambane"/>
    <m/>
    <m/>
    <m/>
    <m/>
    <m/>
    <m/>
    <s v="Hard Coral"/>
    <x v="0"/>
    <m/>
    <m/>
    <n v="13.8"/>
    <m/>
    <m/>
  </r>
  <r>
    <s v="Status of coral reefs in Eastern Africa, Kenya, Tanzania, Mozambique and South Africa"/>
    <x v="2"/>
    <x v="1"/>
    <n v="1999"/>
    <s v="After"/>
    <x v="0"/>
    <s v="Inhaca Island "/>
    <m/>
    <m/>
    <m/>
    <m/>
    <m/>
    <m/>
    <s v="Hard Coral"/>
    <x v="0"/>
    <m/>
    <m/>
    <n v="50"/>
    <m/>
    <m/>
  </r>
  <r>
    <s v="Status of coral reefs in Eastern Africa, Kenya, Tanzania, Mozambique and South Africa"/>
    <x v="2"/>
    <x v="1"/>
    <s v="2001/02"/>
    <s v="After"/>
    <x v="0"/>
    <s v="Quirimbas"/>
    <m/>
    <m/>
    <m/>
    <m/>
    <m/>
    <m/>
    <s v="Hard Coral"/>
    <x v="0"/>
    <m/>
    <m/>
    <n v="35"/>
    <m/>
    <m/>
  </r>
  <r>
    <s v="Status of coral reefs in Eastern Africa, Kenya, Tanzania, Mozambique and South Africa"/>
    <x v="2"/>
    <x v="1"/>
    <s v="2001/02"/>
    <s v="After"/>
    <x v="0"/>
    <s v="Mozambique I."/>
    <m/>
    <m/>
    <m/>
    <m/>
    <m/>
    <m/>
    <s v="Hard Coral"/>
    <x v="0"/>
    <m/>
    <m/>
    <n v="30"/>
    <m/>
    <m/>
  </r>
  <r>
    <s v="Status of coral reefs in Eastern Africa, Kenya, Tanzania, Mozambique and South Africa"/>
    <x v="2"/>
    <x v="1"/>
    <s v="2001/02"/>
    <s v="After"/>
    <x v="0"/>
    <s v="Bazaruto Island"/>
    <m/>
    <m/>
    <m/>
    <m/>
    <m/>
    <m/>
    <s v="Hard Coral"/>
    <x v="0"/>
    <m/>
    <m/>
    <n v="65"/>
    <m/>
    <m/>
  </r>
  <r>
    <s v="Status of coral reefs in Eastern Africa, Kenya, Tanzania, Mozambique and South Africa"/>
    <x v="2"/>
    <x v="1"/>
    <s v="2001/02"/>
    <s v="After"/>
    <x v="0"/>
    <s v="Inhambane"/>
    <m/>
    <m/>
    <m/>
    <m/>
    <m/>
    <m/>
    <s v="Hard Coral"/>
    <x v="0"/>
    <m/>
    <m/>
    <n v="7"/>
    <m/>
    <m/>
  </r>
  <r>
    <s v="Status of coral reefs in Eastern Africa, Kenya, Tanzania, Mozambique and South Africa"/>
    <x v="2"/>
    <x v="1"/>
    <s v="2001/02"/>
    <s v="After"/>
    <x v="0"/>
    <s v="Inhaca Island "/>
    <m/>
    <m/>
    <m/>
    <m/>
    <m/>
    <m/>
    <s v="Hard Coral"/>
    <x v="0"/>
    <m/>
    <m/>
    <n v="40"/>
    <m/>
    <m/>
  </r>
  <r>
    <s v="Update on Coral Reef Activities in Mozambique (Pereira, Videira &amp; Costa)"/>
    <x v="2"/>
    <x v="1"/>
    <n v="2005"/>
    <s v="After (After 2005 bleaching)"/>
    <x v="0"/>
    <s v="Primeira and Segundas"/>
    <s v="Fogo"/>
    <m/>
    <m/>
    <m/>
    <m/>
    <m/>
    <s v="Hard Coral"/>
    <x v="0"/>
    <n v="7"/>
    <m/>
    <n v="29.8"/>
    <m/>
    <n v="4.4000000000000004"/>
  </r>
  <r>
    <s v="Update on Coral Reef Activities in Mozambique (Pereira, Videira &amp; Costa)"/>
    <x v="2"/>
    <x v="1"/>
    <n v="2005"/>
    <s v="After (After 2005 bleaching)"/>
    <x v="0"/>
    <s v="Primeira and Segundas"/>
    <s v="Epidendron"/>
    <m/>
    <m/>
    <m/>
    <m/>
    <m/>
    <s v="Hard Coral"/>
    <x v="0"/>
    <n v="7"/>
    <m/>
    <n v="48"/>
    <m/>
    <n v="5.2"/>
  </r>
  <r>
    <s v="Update on Coral Reef Activities in Mozambique (Pereira, Videira &amp; Costa)"/>
    <x v="2"/>
    <x v="1"/>
    <n v="2005"/>
    <s v="After (After 2005 bleaching)"/>
    <x v="0"/>
    <s v="Primeira and Segundas"/>
    <s v="Ndjovo"/>
    <m/>
    <m/>
    <m/>
    <m/>
    <m/>
    <s v="Hard Coral"/>
    <x v="0"/>
    <n v="7"/>
    <m/>
    <n v="30.4"/>
    <m/>
    <n v="1.9"/>
  </r>
  <r>
    <s v="Update on Coral Reef Activities in Mozambique (Pereira, Videira &amp; Costa)"/>
    <x v="2"/>
    <x v="1"/>
    <n v="2005"/>
    <s v="After (After 2005 bleaching)"/>
    <x v="0"/>
    <s v="Primeira and Segundas"/>
    <s v="Puga-Puga"/>
    <m/>
    <m/>
    <m/>
    <m/>
    <m/>
    <s v="Hard Coral"/>
    <x v="0"/>
    <n v="7"/>
    <m/>
    <n v="32.200000000000003"/>
    <m/>
    <n v="2.6"/>
  </r>
  <r>
    <s v="Update on Coral Reef Activities in Mozambique (Pereira, Videira &amp; Costa)"/>
    <x v="2"/>
    <x v="1"/>
    <n v="2005"/>
    <s v="After (After 2005 bleaching)"/>
    <x v="0"/>
    <s v="Primeira and Segundas"/>
    <s v="Mafamede Island"/>
    <m/>
    <m/>
    <m/>
    <m/>
    <m/>
    <s v="Hard Coral"/>
    <x v="0"/>
    <n v="7"/>
    <m/>
    <n v="50.5"/>
    <m/>
    <n v="5.7"/>
  </r>
  <r>
    <s v="Update on Coral Reef Activities in Mozambique (Pereira, Videira &amp; Costa)"/>
    <x v="2"/>
    <x v="1"/>
    <n v="2005"/>
    <s v="After (After 2005 bleaching)"/>
    <x v="0"/>
    <s v="Bazaruto Island"/>
    <s v="Coral Garden"/>
    <m/>
    <m/>
    <m/>
    <m/>
    <m/>
    <s v="Hard Coral"/>
    <x v="0"/>
    <n v="8"/>
    <m/>
    <n v="35.9"/>
    <m/>
    <n v="12.7"/>
  </r>
  <r>
    <s v="Update on Coral Reef Activities in Mozambique (Pereira, Videira &amp; Costa)"/>
    <x v="2"/>
    <x v="1"/>
    <n v="2005"/>
    <s v="After (After 2005 bleaching)"/>
    <x v="0"/>
    <s v="Bazaruto Island"/>
    <s v="Two-Mile Reef"/>
    <m/>
    <m/>
    <m/>
    <m/>
    <m/>
    <s v="Hard Coral"/>
    <x v="0"/>
    <n v="5"/>
    <m/>
    <n v="39.5"/>
    <m/>
    <n v="13.6"/>
  </r>
  <r>
    <s v="Coral Reef Degradation in the Indian Ocean, Status Report 2005"/>
    <x v="2"/>
    <x v="2"/>
    <n v="1999"/>
    <s v="After"/>
    <x v="0"/>
    <s v="Pemba"/>
    <s v="Ponta maunhane"/>
    <m/>
    <m/>
    <m/>
    <m/>
    <m/>
    <s v="Hard Coral"/>
    <x v="0"/>
    <m/>
    <m/>
    <n v="69.7"/>
    <m/>
    <n v="14.5"/>
  </r>
  <r>
    <s v="Coral Reef Degradation in the Indian Ocean, Status Report 2005"/>
    <x v="2"/>
    <x v="1"/>
    <n v="2004"/>
    <s v="After"/>
    <x v="0"/>
    <s v="Pemba"/>
    <s v="Ponta maunhane"/>
    <m/>
    <m/>
    <m/>
    <m/>
    <m/>
    <s v="Hard Coral"/>
    <x v="0"/>
    <m/>
    <m/>
    <n v="80"/>
    <m/>
    <n v="4.4000000000000004"/>
  </r>
  <r>
    <s v="Coral Reef Degradation in the Indian Ocean, Status Report 2005"/>
    <x v="2"/>
    <x v="1"/>
    <n v="1999"/>
    <s v="After"/>
    <x v="0"/>
    <s v="Mozambique I."/>
    <s v="Goa Island "/>
    <m/>
    <m/>
    <m/>
    <m/>
    <m/>
    <s v="Hard Coral"/>
    <x v="0"/>
    <m/>
    <m/>
    <n v="27.7"/>
    <m/>
    <n v="25.5"/>
  </r>
  <r>
    <s v="Coral Reef Degradation in the Indian Ocean, Status Report 2005"/>
    <x v="2"/>
    <x v="1"/>
    <n v="2002"/>
    <s v="After"/>
    <x v="0"/>
    <s v="Mozambique I."/>
    <s v="Goa Island "/>
    <m/>
    <m/>
    <m/>
    <m/>
    <m/>
    <s v="Hard Coral"/>
    <x v="0"/>
    <m/>
    <m/>
    <n v="13.2"/>
    <m/>
    <n v="9.5"/>
  </r>
  <r>
    <s v="Coral Reef Degradation in the Indian Ocean, Status Report 2005"/>
    <x v="2"/>
    <x v="1"/>
    <n v="2002"/>
    <s v="After"/>
    <x v="0"/>
    <s v="Bazaruto Island"/>
    <s v="Lighthouse Reef"/>
    <m/>
    <m/>
    <m/>
    <m/>
    <m/>
    <s v="Hard Coral"/>
    <x v="0"/>
    <m/>
    <m/>
    <s v="&lt;30"/>
    <m/>
    <m/>
  </r>
  <r>
    <s v="Coral Reef Degradation in the Indian Ocean, Status Report 2005"/>
    <x v="2"/>
    <x v="1"/>
    <n v="1999"/>
    <s v="After"/>
    <x v="0"/>
    <s v="Tofo, Inhambane"/>
    <s v="Mike's Cupboard"/>
    <m/>
    <m/>
    <m/>
    <m/>
    <m/>
    <s v="Hard Coral"/>
    <x v="0"/>
    <m/>
    <m/>
    <n v="11.9"/>
    <m/>
    <n v="5.3"/>
  </r>
  <r>
    <s v="Coral Reef Degradation in the Indian Ocean, Status Report 2005"/>
    <x v="2"/>
    <x v="1"/>
    <n v="2002"/>
    <s v="After"/>
    <x v="0"/>
    <s v="Tofo, Inhambane"/>
    <s v="Mike's Cupboard"/>
    <m/>
    <m/>
    <m/>
    <m/>
    <m/>
    <s v="Hard Coral"/>
    <x v="0"/>
    <m/>
    <m/>
    <n v="11"/>
    <m/>
    <n v="5.8"/>
  </r>
  <r>
    <s v="Coral Reef Degradation in the Indian Ocean, Status Report 2005"/>
    <x v="2"/>
    <x v="3"/>
    <n v="1999"/>
    <s v="After"/>
    <x v="0"/>
    <s v="Inhaca Island "/>
    <s v="Barreira Vermelha"/>
    <m/>
    <m/>
    <m/>
    <m/>
    <m/>
    <s v="Hard Coral"/>
    <x v="0"/>
    <m/>
    <m/>
    <n v="60.5"/>
    <m/>
    <n v="7.3"/>
  </r>
  <r>
    <s v="Coral Reef Degradation in the Indian Ocean, Status Report 2005"/>
    <x v="2"/>
    <x v="1"/>
    <n v="2000"/>
    <s v="After"/>
    <x v="0"/>
    <s v="Inhaca Island "/>
    <s v="Barreira Vermelha"/>
    <m/>
    <m/>
    <m/>
    <m/>
    <m/>
    <s v="Hard Coral"/>
    <x v="0"/>
    <m/>
    <m/>
    <n v="41.9"/>
    <m/>
    <n v="14.9"/>
  </r>
  <r>
    <s v="Coral Reef Degradation in the Indian Ocean, Status Report 2005"/>
    <x v="2"/>
    <x v="1"/>
    <n v="2002"/>
    <s v="After"/>
    <x v="0"/>
    <s v="Inhaca Island "/>
    <s v="Barreira Vermelha"/>
    <m/>
    <m/>
    <m/>
    <m/>
    <m/>
    <s v="Hard Coral"/>
    <x v="0"/>
    <m/>
    <m/>
    <n v="37.799999999999997"/>
    <m/>
    <n v="14.2"/>
  </r>
  <r>
    <s v=" QUOD and BIGOT 2000"/>
    <x v="3"/>
    <x v="1"/>
    <n v="1999"/>
    <s v="After"/>
    <x v="0"/>
    <m/>
    <s v=" south-western region of Toliara"/>
    <s v="Ifaty"/>
    <s v="Barrier outer slope"/>
    <s v="8 outer"/>
    <s v="23°09’41’’ S"/>
    <s v="43°34’66’’ E "/>
    <s v="Live Coral"/>
    <x v="0"/>
    <m/>
    <m/>
    <n v="40.700000000000003"/>
    <m/>
    <m/>
  </r>
  <r>
    <s v=" QUOD and BIGOT 2000"/>
    <x v="3"/>
    <x v="1"/>
    <n v="1999"/>
    <s v="After"/>
    <x v="0"/>
    <m/>
    <s v=" south-western region of Toliara"/>
    <s v="Ifaty"/>
    <s v="Barrier outer slope"/>
    <s v="8 outer"/>
    <s v="23°09’41’’ S"/>
    <s v="43°34’66’’ E "/>
    <s v="Bleached coral"/>
    <x v="1"/>
    <m/>
    <m/>
    <n v="1"/>
    <m/>
    <m/>
  </r>
  <r>
    <s v=" QUOD and BIGOT 2000"/>
    <x v="3"/>
    <x v="1"/>
    <n v="1999"/>
    <s v="After"/>
    <x v="0"/>
    <m/>
    <s v=" south-western region of Toliara"/>
    <s v="Ifaty"/>
    <s v="Barrier outer slope"/>
    <s v="8 outer"/>
    <s v="23°09’41’’ S"/>
    <s v="43°34’66’’ E "/>
    <s v="Algae "/>
    <x v="1"/>
    <m/>
    <m/>
    <n v="54.8"/>
    <m/>
    <m/>
  </r>
  <r>
    <s v=" QUOD and BIGOT 2000"/>
    <x v="3"/>
    <x v="1"/>
    <n v="1999"/>
    <s v="After"/>
    <x v="0"/>
    <m/>
    <s v=" south-western region of Toliara"/>
    <s v="Ifaty"/>
    <s v="Barrier outer slope"/>
    <s v="8 outer"/>
    <s v="23°09’41’’ S"/>
    <s v="43°34’66’’ E "/>
    <s v="Recently dead coral"/>
    <x v="5"/>
    <m/>
    <m/>
    <n v="14.1"/>
    <m/>
    <m/>
  </r>
  <r>
    <s v=" QUOD and BIGOT 2000"/>
    <x v="3"/>
    <x v="4"/>
    <n v="1999"/>
    <s v="After"/>
    <x v="2"/>
    <m/>
    <s v=" south-western region of Toliara"/>
    <s v="Nosy Ve"/>
    <s v="Outer slope"/>
    <m/>
    <s v="23°38’35’’ S "/>
    <s v=" 43°36’16’’ E "/>
    <s v="Live coral+RDC"/>
    <x v="0"/>
    <m/>
    <m/>
    <n v="68.3"/>
    <m/>
    <m/>
  </r>
  <r>
    <s v=" QUOD and BIGOT 2000"/>
    <x v="3"/>
    <x v="1"/>
    <n v="1999"/>
    <s v="After"/>
    <x v="0"/>
    <m/>
    <s v=" south-western region of Toliara"/>
    <s v="Nosy Ve"/>
    <s v="Outer slope"/>
    <m/>
    <s v="23°38’35’’ S "/>
    <s v=" 43°36’16’’ E "/>
    <s v="Bleached coral"/>
    <x v="1"/>
    <m/>
    <m/>
    <n v="10"/>
    <m/>
    <m/>
  </r>
  <r>
    <s v=" QUOD and BIGOT 2000"/>
    <x v="3"/>
    <x v="1"/>
    <n v="1999"/>
    <s v="After"/>
    <x v="0"/>
    <m/>
    <s v=" south-western region of Toliara"/>
    <s v="Nosy Ve"/>
    <s v="Outer slope"/>
    <m/>
    <s v="23°38’35’’ S "/>
    <s v=" 43°36’16’’ E "/>
    <s v="Algae "/>
    <x v="1"/>
    <m/>
    <m/>
    <n v="36.200000000000003"/>
    <m/>
    <m/>
  </r>
  <r>
    <s v=" QUOD and BIGOT 2000"/>
    <x v="3"/>
    <x v="1"/>
    <n v="1999"/>
    <s v="After"/>
    <x v="0"/>
    <m/>
    <s v=" south-western region of Toliara"/>
    <s v="Nosy Ve"/>
    <s v="Outer slope"/>
    <m/>
    <s v="23°38’35’’ S "/>
    <s v=" 43°36’16’’ E "/>
    <s v="Recently dead coral"/>
    <x v="5"/>
    <m/>
    <m/>
    <n v="26"/>
    <m/>
    <m/>
  </r>
  <r>
    <s v="Harding &amp; Randriamanantsoa 2008"/>
    <x v="3"/>
    <x v="1"/>
    <s v="2005/2006"/>
    <s v="After"/>
    <x v="0"/>
    <s v="Sahamalaza National Park"/>
    <m/>
    <s v="Sahamalaza"/>
    <s v="offshore submerged barrier reefs"/>
    <s v="11-13"/>
    <m/>
    <m/>
    <s v="Hard Coral"/>
    <x v="0"/>
    <n v="12"/>
    <m/>
    <n v="16.399999999999999"/>
    <m/>
    <n v="2.5"/>
  </r>
  <r>
    <s v="Harding &amp; Randriamanantsoa 2008"/>
    <x v="3"/>
    <x v="1"/>
    <s v="2005/2006"/>
    <s v="After"/>
    <x v="0"/>
    <s v="Sahamalaza National Park"/>
    <m/>
    <s v="Sahamalaza"/>
    <s v="offshore submerged barrier reefs"/>
    <s v="11-13"/>
    <m/>
    <m/>
    <s v="Soft coral"/>
    <x v="2"/>
    <n v="12"/>
    <m/>
    <n v="14.1"/>
    <m/>
    <n v="2.2000000000000002"/>
  </r>
  <r>
    <s v="Harding &amp; Randriamanantsoa 2008"/>
    <x v="3"/>
    <x v="1"/>
    <s v="2005/2006"/>
    <s v="After"/>
    <x v="0"/>
    <s v="National Marine Parks at Masoala"/>
    <m/>
    <s v="Tanjona"/>
    <s v="seaward spur and groove and fringing and patch reef"/>
    <s v="5 - 10"/>
    <m/>
    <m/>
    <s v="Hard Coral"/>
    <x v="0"/>
    <s v="4 - 5"/>
    <m/>
    <n v="12.1"/>
    <m/>
    <n v="1.1000000000000001"/>
  </r>
  <r>
    <s v="Harding &amp; Randriamanantsoa 2008"/>
    <x v="3"/>
    <x v="1"/>
    <s v="2005/2006"/>
    <s v="After"/>
    <x v="0"/>
    <s v="National Marine Parks at Masoala"/>
    <m/>
    <s v="Tanjona"/>
    <s v="seaward spur and groove and fringing and patch reef"/>
    <s v="5 - 10"/>
    <m/>
    <m/>
    <s v="Soft coral"/>
    <x v="2"/>
    <s v="4 - 5"/>
    <m/>
    <n v="23"/>
    <m/>
    <n v="2.7"/>
  </r>
  <r>
    <s v="Harding &amp; Randriamanantsoa 2008"/>
    <x v="3"/>
    <x v="1"/>
    <s v="2005/2006"/>
    <s v="After"/>
    <x v="0"/>
    <s v="National Marine Parks at Masoala"/>
    <m/>
    <s v="Cap Masoala"/>
    <s v="seaward spur and groove and fringing and patch reef"/>
    <s v="5 - 10"/>
    <m/>
    <m/>
    <s v="Hard Coral"/>
    <x v="0"/>
    <s v="4 - 5"/>
    <m/>
    <n v="13"/>
    <m/>
    <n v="1.6"/>
  </r>
  <r>
    <s v="Harding &amp; Randriamanantsoa 2008"/>
    <x v="3"/>
    <x v="1"/>
    <s v="2005/2006"/>
    <s v="After"/>
    <x v="0"/>
    <s v="National Marine Parks at Masoala"/>
    <m/>
    <s v="Cap Masoala"/>
    <s v="seaward spur and groove and fringing and patch reef"/>
    <s v="5 - 10"/>
    <m/>
    <m/>
    <s v="Soft coral"/>
    <x v="2"/>
    <s v="4 - 5"/>
    <m/>
    <n v="10.8"/>
    <m/>
    <n v="1.1000000000000001"/>
  </r>
  <r>
    <s v="Harding &amp; Randriamanantsoa 2008"/>
    <x v="3"/>
    <x v="1"/>
    <s v="2005/2006"/>
    <s v="After"/>
    <x v="0"/>
    <s v="National Marine Parks at Masoala"/>
    <m/>
    <s v="Tampolo"/>
    <s v="seaward spur and groove and fringing and patch reef"/>
    <s v="5 - 10"/>
    <m/>
    <m/>
    <s v="Hard Coral"/>
    <x v="0"/>
    <s v="4 - 5"/>
    <m/>
    <n v="24.3"/>
    <m/>
    <n v="3.5"/>
  </r>
  <r>
    <s v="Harding &amp; Randriamanantsoa 2008"/>
    <x v="3"/>
    <x v="1"/>
    <s v="2005/2006"/>
    <s v="After"/>
    <x v="0"/>
    <s v="National Marine Parks at Masoala"/>
    <m/>
    <s v="Tampolo"/>
    <s v="seaward spur and groove and fringing and patch reef"/>
    <s v="5 - 10"/>
    <m/>
    <m/>
    <s v="Soft coral"/>
    <x v="2"/>
    <s v="4 - 5"/>
    <m/>
    <n v="7.8"/>
    <m/>
    <n v="2.2999999999999998"/>
  </r>
  <r>
    <s v="Harding &amp; Randriamanantsoa 2008"/>
    <x v="3"/>
    <x v="1"/>
    <s v="2005/2006"/>
    <s v="After"/>
    <x v="0"/>
    <s v="National Marine Parks at Mananara"/>
    <m/>
    <s v="Mananara"/>
    <s v="Fringing reef "/>
    <s v="8 - 12"/>
    <m/>
    <m/>
    <s v="Hard Coral"/>
    <x v="0"/>
    <n v="4"/>
    <m/>
    <n v="13.4"/>
    <m/>
    <n v="1.7"/>
  </r>
  <r>
    <s v="Harding &amp; Randriamanantsoa 2008"/>
    <x v="3"/>
    <x v="1"/>
    <s v="2005/2006"/>
    <s v="After"/>
    <x v="0"/>
    <s v="National Marine Parks at Mananara"/>
    <m/>
    <s v="Mananara "/>
    <s v="Fringing reef "/>
    <s v="8 - 12"/>
    <m/>
    <m/>
    <s v="Soft coral"/>
    <x v="2"/>
    <n v="4"/>
    <m/>
    <n v="8.9"/>
    <m/>
    <n v="1.7"/>
  </r>
  <r>
    <s v="Ahamada et al. 2002"/>
    <x v="3"/>
    <x v="5"/>
    <n v="1999"/>
    <s v="After"/>
    <x v="2"/>
    <s v="North West - Nosy Be"/>
    <s v="Dzamandjar"/>
    <m/>
    <s v="Outer Slope"/>
    <m/>
    <m/>
    <m/>
    <s v="Hard Coral"/>
    <x v="0"/>
    <m/>
    <m/>
    <n v="50.9"/>
    <m/>
    <m/>
  </r>
  <r>
    <s v="Ahamada et al. 2002"/>
    <x v="3"/>
    <x v="1"/>
    <n v="1999"/>
    <s v="After"/>
    <x v="0"/>
    <s v="North West - Nosy Be"/>
    <s v="Dzamandjar"/>
    <m/>
    <s v="Outer Slope"/>
    <m/>
    <m/>
    <m/>
    <s v="Algae "/>
    <x v="7"/>
    <m/>
    <m/>
    <n v="4"/>
    <m/>
    <m/>
  </r>
  <r>
    <s v="Ahamada et al. 2002"/>
    <x v="3"/>
    <x v="1"/>
    <n v="1999"/>
    <s v="After"/>
    <x v="0"/>
    <s v="West – Belo/Mer"/>
    <s v="Belo"/>
    <m/>
    <s v="Outer Slope"/>
    <m/>
    <m/>
    <m/>
    <s v="Hard Coral"/>
    <x v="0"/>
    <m/>
    <m/>
    <n v="30"/>
    <m/>
    <m/>
  </r>
  <r>
    <s v="Ahamada et al. 2002"/>
    <x v="3"/>
    <x v="1"/>
    <n v="1999"/>
    <s v="After"/>
    <x v="0"/>
    <s v="West – Belo/Mer"/>
    <s v="Belo"/>
    <m/>
    <s v="Outer Slope"/>
    <m/>
    <m/>
    <m/>
    <s v="Algae "/>
    <x v="7"/>
    <m/>
    <m/>
    <s v="-"/>
    <m/>
    <m/>
  </r>
  <r>
    <s v="Ahamada et al. 2002"/>
    <x v="3"/>
    <x v="6"/>
    <n v="1999"/>
    <s v="After"/>
    <x v="2"/>
    <s v="East - Foulpointe"/>
    <s v="Foulpointe"/>
    <m/>
    <s v="Reef Flat"/>
    <m/>
    <m/>
    <m/>
    <s v="Hard Coral"/>
    <x v="0"/>
    <m/>
    <m/>
    <n v="47.1"/>
    <m/>
    <m/>
  </r>
  <r>
    <s v="Ahamada et al. 2002"/>
    <x v="3"/>
    <x v="1"/>
    <n v="1999"/>
    <s v="After"/>
    <x v="0"/>
    <s v="East - Foulpointe"/>
    <s v="Foulpointe"/>
    <m/>
    <s v="Reef Flat"/>
    <m/>
    <m/>
    <m/>
    <s v="Algae "/>
    <x v="7"/>
    <m/>
    <m/>
    <n v="0.5"/>
    <m/>
    <m/>
  </r>
  <r>
    <s v="Ahamada et al. 2002"/>
    <x v="3"/>
    <x v="1"/>
    <n v="1999"/>
    <s v="After"/>
    <x v="0"/>
    <s v="East - Foulpointe"/>
    <s v="Foulpointe"/>
    <m/>
    <s v="Outer Slope"/>
    <m/>
    <m/>
    <m/>
    <s v="Hard Coral"/>
    <x v="0"/>
    <m/>
    <m/>
    <n v="35"/>
    <m/>
    <m/>
  </r>
  <r>
    <s v="Ahamada et al. 2002"/>
    <x v="3"/>
    <x v="1"/>
    <n v="1999"/>
    <s v="After"/>
    <x v="0"/>
    <s v="East - Foulpointe"/>
    <s v="Foulpointe"/>
    <m/>
    <s v="Outer Slope"/>
    <m/>
    <m/>
    <m/>
    <s v="Algae "/>
    <x v="7"/>
    <m/>
    <m/>
    <n v="6.7"/>
    <m/>
    <m/>
  </r>
  <r>
    <s v="Ahamada et al. 2002"/>
    <x v="3"/>
    <x v="1"/>
    <n v="1999"/>
    <s v="After"/>
    <x v="0"/>
    <s v="South West - Tulear"/>
    <s v="Ifaty"/>
    <m/>
    <s v="Reef Flat"/>
    <m/>
    <m/>
    <m/>
    <s v="Hard Coral"/>
    <x v="0"/>
    <m/>
    <m/>
    <n v="25.2"/>
    <m/>
    <m/>
  </r>
  <r>
    <s v="Ahamada et al. 2002"/>
    <x v="3"/>
    <x v="1"/>
    <n v="1999"/>
    <s v="After"/>
    <x v="0"/>
    <s v="South West - Tulear"/>
    <s v="Ifaty"/>
    <m/>
    <s v="Reef Flat"/>
    <m/>
    <m/>
    <m/>
    <s v="Algae "/>
    <x v="7"/>
    <m/>
    <m/>
    <n v="4.7"/>
    <m/>
    <m/>
  </r>
  <r>
    <s v="Ahamada et al. 2002"/>
    <x v="3"/>
    <x v="1"/>
    <n v="1999"/>
    <s v="After"/>
    <x v="0"/>
    <s v="South West - Tulear"/>
    <s v="Ifaty"/>
    <m/>
    <s v="Outer Slope"/>
    <m/>
    <m/>
    <m/>
    <s v="Hard Coral"/>
    <x v="0"/>
    <m/>
    <m/>
    <n v="40.700000000000003"/>
    <m/>
    <m/>
  </r>
  <r>
    <s v="Ahamada et al. 2002"/>
    <x v="3"/>
    <x v="1"/>
    <n v="1999"/>
    <s v="After"/>
    <x v="0"/>
    <s v="South West - Tulear"/>
    <s v="Ifaty"/>
    <m/>
    <s v="Outer Slope"/>
    <m/>
    <m/>
    <m/>
    <s v="Algae "/>
    <x v="7"/>
    <m/>
    <m/>
    <n v="27.5"/>
    <m/>
    <m/>
  </r>
  <r>
    <s v="Ahamada et al. 2002"/>
    <x v="3"/>
    <x v="1"/>
    <n v="2000"/>
    <s v="After"/>
    <x v="0"/>
    <s v="South West - Tulear"/>
    <s v="Ifaty"/>
    <m/>
    <s v="Reef Flat"/>
    <m/>
    <m/>
    <m/>
    <s v="Hard Coral"/>
    <x v="0"/>
    <m/>
    <m/>
    <n v="28.8"/>
    <m/>
    <m/>
  </r>
  <r>
    <s v="Ahamada et al. 2002"/>
    <x v="3"/>
    <x v="1"/>
    <n v="2000"/>
    <s v="After"/>
    <x v="0"/>
    <s v="South West - Tulear"/>
    <s v="Ifaty"/>
    <m/>
    <s v="Reef Flat"/>
    <m/>
    <m/>
    <m/>
    <s v="Algae "/>
    <x v="7"/>
    <m/>
    <m/>
    <n v="26.5"/>
    <m/>
    <m/>
  </r>
  <r>
    <s v="Ahamada et al. 2002"/>
    <x v="3"/>
    <x v="1"/>
    <n v="2000"/>
    <s v="After"/>
    <x v="0"/>
    <s v="South West - Tulear"/>
    <s v="Ifaty"/>
    <m/>
    <s v="Outer Slope"/>
    <m/>
    <m/>
    <m/>
    <s v="Hard Coral"/>
    <x v="0"/>
    <m/>
    <m/>
    <n v="41.9"/>
    <m/>
    <m/>
  </r>
  <r>
    <s v="Ahamada et al. 2002"/>
    <x v="3"/>
    <x v="1"/>
    <n v="2000"/>
    <s v="After"/>
    <x v="0"/>
    <s v="South West - Tulear"/>
    <s v="Ifaty"/>
    <m/>
    <s v="Outer Slope"/>
    <m/>
    <m/>
    <m/>
    <s v="Algae "/>
    <x v="7"/>
    <m/>
    <m/>
    <n v="20"/>
    <m/>
    <m/>
  </r>
  <r>
    <s v="Ahamada et al. 2002"/>
    <x v="3"/>
    <x v="7"/>
    <n v="2001"/>
    <s v="After"/>
    <x v="2"/>
    <s v="West – Belo/Mer"/>
    <s v="Belo"/>
    <m/>
    <s v="Outer Slope"/>
    <m/>
    <m/>
    <m/>
    <s v="Hard Coral"/>
    <x v="0"/>
    <m/>
    <m/>
    <n v="56.7"/>
    <m/>
    <m/>
  </r>
  <r>
    <s v="Ahamada et al. 2002"/>
    <x v="3"/>
    <x v="1"/>
    <n v="2001"/>
    <s v="After"/>
    <x v="0"/>
    <s v="West – Belo/Mer"/>
    <s v="Belo"/>
    <m/>
    <s v="Outer Slope"/>
    <m/>
    <m/>
    <m/>
    <s v="Algae "/>
    <x v="7"/>
    <m/>
    <m/>
    <n v="14.4"/>
    <m/>
    <m/>
  </r>
  <r>
    <s v="Ahamada et al. 2002"/>
    <x v="3"/>
    <x v="1"/>
    <n v="2001"/>
    <s v="After"/>
    <x v="0"/>
    <s v="East - Foulpointe"/>
    <s v="Foulpointe"/>
    <m/>
    <s v="Reef Flat"/>
    <m/>
    <m/>
    <m/>
    <s v="Hard Coral"/>
    <x v="0"/>
    <m/>
    <m/>
    <n v="13"/>
    <m/>
    <m/>
  </r>
  <r>
    <s v="Ahamada et al. 2002"/>
    <x v="3"/>
    <x v="1"/>
    <n v="2001"/>
    <s v="After"/>
    <x v="0"/>
    <s v="East - Foulpointe"/>
    <s v="Foulpointe"/>
    <m/>
    <s v="Reef Flat"/>
    <m/>
    <m/>
    <m/>
    <s v="Algae "/>
    <x v="7"/>
    <m/>
    <m/>
    <n v="20.8"/>
    <m/>
    <m/>
  </r>
  <r>
    <s v="Ahamada et al. 2002"/>
    <x v="3"/>
    <x v="1"/>
    <n v="2001"/>
    <s v="After"/>
    <x v="0"/>
    <s v="East - Foulpointe"/>
    <s v="Foulpointe"/>
    <m/>
    <s v="Outer Slope"/>
    <m/>
    <m/>
    <m/>
    <s v="Hard Coral"/>
    <x v="0"/>
    <m/>
    <m/>
    <n v="36.4"/>
    <m/>
    <m/>
  </r>
  <r>
    <s v="Ahamada et al. 2002"/>
    <x v="3"/>
    <x v="1"/>
    <n v="2001"/>
    <s v="After"/>
    <x v="0"/>
    <s v="East - Foulpointe"/>
    <s v="Foulpointe"/>
    <m/>
    <s v="Outer Slope"/>
    <m/>
    <m/>
    <m/>
    <s v="Algae "/>
    <x v="7"/>
    <m/>
    <m/>
    <n v="3.2"/>
    <m/>
    <m/>
  </r>
  <r>
    <s v="Ahamada et al. 2002"/>
    <x v="3"/>
    <x v="1"/>
    <n v="2002"/>
    <s v="After"/>
    <x v="0"/>
    <s v="North West - Nosy Be"/>
    <s v="Dzamandjar"/>
    <m/>
    <s v="Reef Flat"/>
    <m/>
    <m/>
    <m/>
    <s v="Hard Coral"/>
    <x v="0"/>
    <m/>
    <m/>
    <n v="35.799999999999997"/>
    <m/>
    <m/>
  </r>
  <r>
    <s v="Ahamada et al. 2002"/>
    <x v="3"/>
    <x v="1"/>
    <n v="2002"/>
    <s v="After"/>
    <x v="0"/>
    <s v="North West - Nosy Be"/>
    <s v="Dzamandjar"/>
    <m/>
    <s v="Reef Flat"/>
    <m/>
    <m/>
    <m/>
    <s v="Algae "/>
    <x v="7"/>
    <m/>
    <m/>
    <n v="0.5"/>
    <m/>
    <m/>
  </r>
  <r>
    <s v="Ahamada et al. 2002"/>
    <x v="3"/>
    <x v="1"/>
    <n v="2002"/>
    <s v="After"/>
    <x v="0"/>
    <s v="North West - Nosy Be"/>
    <s v="Dzamandjar"/>
    <m/>
    <s v="Outer Slope"/>
    <m/>
    <m/>
    <m/>
    <s v="Hard Coral"/>
    <x v="0"/>
    <m/>
    <m/>
    <n v="48.2"/>
    <m/>
    <m/>
  </r>
  <r>
    <s v="Ahamada et al. 2002"/>
    <x v="3"/>
    <x v="1"/>
    <n v="2002"/>
    <s v="After"/>
    <x v="0"/>
    <s v="North West - Nosy Be"/>
    <s v="Dzamandjar"/>
    <m/>
    <s v="Outer Slope"/>
    <m/>
    <m/>
    <m/>
    <s v="Algae "/>
    <x v="7"/>
    <m/>
    <m/>
    <n v="3.8"/>
    <m/>
    <m/>
  </r>
  <r>
    <s v="Ahamada et al. 2002"/>
    <x v="3"/>
    <x v="1"/>
    <n v="2002"/>
    <s v="After"/>
    <x v="0"/>
    <s v="South West - Tulear"/>
    <s v="Ifaty"/>
    <m/>
    <s v="Reef Flat"/>
    <m/>
    <m/>
    <m/>
    <s v="Hard Coral"/>
    <x v="0"/>
    <m/>
    <m/>
    <n v="28.7"/>
    <m/>
    <m/>
  </r>
  <r>
    <s v="Ahamada et al. 2002"/>
    <x v="3"/>
    <x v="1"/>
    <n v="2002"/>
    <s v="After"/>
    <x v="0"/>
    <s v="South West - Tulear"/>
    <s v="Ifaty"/>
    <m/>
    <s v="Reef Flat"/>
    <m/>
    <m/>
    <m/>
    <s v="Algae "/>
    <x v="7"/>
    <m/>
    <m/>
    <n v="37.799999999999997"/>
    <m/>
    <m/>
  </r>
  <r>
    <s v="Ahamada et al. 2002"/>
    <x v="3"/>
    <x v="1"/>
    <n v="2002"/>
    <s v="After"/>
    <x v="0"/>
    <s v="South West - Tulear"/>
    <s v="Ifaty"/>
    <m/>
    <s v="Outer Slope"/>
    <m/>
    <m/>
    <m/>
    <s v="Hard Coral"/>
    <x v="0"/>
    <m/>
    <m/>
    <n v="42"/>
    <m/>
    <m/>
  </r>
  <r>
    <s v="Ahamada et al. 2002"/>
    <x v="3"/>
    <x v="1"/>
    <n v="2002"/>
    <s v="After"/>
    <x v="0"/>
    <s v="South West - Tulear"/>
    <s v="Ifaty"/>
    <m/>
    <s v="Outer Slope"/>
    <m/>
    <m/>
    <m/>
    <s v="Algae "/>
    <x v="7"/>
    <m/>
    <m/>
    <n v="15"/>
    <m/>
    <m/>
  </r>
  <r>
    <s v="The coral reefs of Andavadoaka, southwest Madagascar"/>
    <x v="3"/>
    <x v="1"/>
    <s v="2004-2005"/>
    <s v="After"/>
    <x v="0"/>
    <s v="Andavadoaka"/>
    <s v="Patchy reefs"/>
    <m/>
    <m/>
    <m/>
    <m/>
    <m/>
    <s v="Hard Coral"/>
    <x v="0"/>
    <m/>
    <n v="3"/>
    <n v="42"/>
    <m/>
    <n v="2"/>
  </r>
  <r>
    <s v="The coral reefs of Andavadoaka, southwest Madagascar"/>
    <x v="3"/>
    <x v="1"/>
    <s v="2004-2005"/>
    <s v="After"/>
    <x v="0"/>
    <s v="Andavadoaka"/>
    <s v="barrier reefs"/>
    <m/>
    <m/>
    <m/>
    <m/>
    <m/>
    <s v="Hard Coral"/>
    <x v="0"/>
    <m/>
    <n v="4"/>
    <n v="14"/>
    <m/>
    <n v="1"/>
  </r>
  <r>
    <s v="The coral reefs of Andavadoaka, southwest Madagascar"/>
    <x v="3"/>
    <x v="1"/>
    <s v="2004-2005"/>
    <s v="After"/>
    <x v="0"/>
    <s v="Andavadoaka"/>
    <s v="fringing reefs"/>
    <m/>
    <m/>
    <m/>
    <m/>
    <m/>
    <s v="Hard Coral"/>
    <x v="0"/>
    <m/>
    <n v="3"/>
    <n v="8"/>
    <m/>
    <n v="1"/>
  </r>
  <r>
    <s v="Coral reef resilience assessment of the Nosy Hara Marine Protected area, Northwest Madagascar"/>
    <x v="3"/>
    <x v="1"/>
    <n v="2008"/>
    <s v="After"/>
    <x v="0"/>
    <m/>
    <s v="Nosy Hara"/>
    <m/>
    <m/>
    <m/>
    <m/>
    <m/>
    <s v="Hard Coral"/>
    <x v="0"/>
    <m/>
    <n v="16"/>
    <n v="34"/>
    <m/>
    <m/>
  </r>
  <r>
    <s v="WWF baseline surveys, 2006 and 2007"/>
    <x v="3"/>
    <x v="1"/>
    <n v="2006"/>
    <s v="After"/>
    <x v="0"/>
    <m/>
    <s v="Andranjara"/>
    <m/>
    <m/>
    <m/>
    <m/>
    <m/>
    <s v="Hard Coral"/>
    <x v="0"/>
    <m/>
    <m/>
    <n v="0.9"/>
    <m/>
    <m/>
  </r>
  <r>
    <s v="WWF baseline surveys, 2006 and 2008"/>
    <x v="3"/>
    <x v="1"/>
    <n v="2007"/>
    <s v="After"/>
    <x v="0"/>
    <m/>
    <s v="Andranjara"/>
    <m/>
    <m/>
    <m/>
    <m/>
    <m/>
    <s v="Hard Coral"/>
    <x v="0"/>
    <m/>
    <m/>
    <n v="0.3"/>
    <m/>
    <m/>
  </r>
  <r>
    <s v="WWF baseline surveys, 2006 and 2009"/>
    <x v="3"/>
    <x v="1"/>
    <n v="2006"/>
    <s v="After"/>
    <x v="0"/>
    <m/>
    <s v="Lakandava"/>
    <m/>
    <m/>
    <m/>
    <m/>
    <m/>
    <s v="Hard Coral"/>
    <x v="0"/>
    <m/>
    <m/>
    <n v="1.5"/>
    <m/>
    <m/>
  </r>
  <r>
    <s v="WWF baseline surveys, 2006 and 2010"/>
    <x v="3"/>
    <x v="1"/>
    <n v="2007"/>
    <s v="After"/>
    <x v="0"/>
    <m/>
    <s v="Lakandava"/>
    <m/>
    <m/>
    <m/>
    <m/>
    <m/>
    <s v="Hard Coral"/>
    <x v="0"/>
    <m/>
    <m/>
    <n v="27"/>
    <m/>
    <m/>
  </r>
  <r>
    <s v="WWF baseline surveys, 2006 and 2011"/>
    <x v="3"/>
    <x v="1"/>
    <n v="2006"/>
    <s v="After"/>
    <x v="0"/>
    <m/>
    <s v="Nosy Hara"/>
    <m/>
    <m/>
    <m/>
    <m/>
    <m/>
    <s v="Hard Coral"/>
    <x v="0"/>
    <m/>
    <m/>
    <n v="22.4"/>
    <m/>
    <m/>
  </r>
  <r>
    <s v="WWF baseline surveys, 2006 and 2012"/>
    <x v="3"/>
    <x v="1"/>
    <n v="2007"/>
    <s v="After"/>
    <x v="0"/>
    <m/>
    <s v="Nosy Hara"/>
    <m/>
    <m/>
    <m/>
    <m/>
    <m/>
    <s v="Hard Coral"/>
    <x v="0"/>
    <m/>
    <m/>
    <n v="25"/>
    <m/>
    <m/>
  </r>
  <r>
    <s v="WWF baseline surveys, 2006 and 2013"/>
    <x v="3"/>
    <x v="1"/>
    <n v="2007"/>
    <s v="After"/>
    <x v="0"/>
    <m/>
    <s v="Nosy Valiha"/>
    <m/>
    <m/>
    <m/>
    <m/>
    <m/>
    <s v="Hard Coral"/>
    <x v="0"/>
    <m/>
    <m/>
    <n v="1.9"/>
    <m/>
    <m/>
  </r>
  <r>
    <s v="WWF baseline surveys, 2006 and 2014"/>
    <x v="3"/>
    <x v="1"/>
    <n v="2006"/>
    <s v="After"/>
    <x v="0"/>
    <m/>
    <s v="Rameza"/>
    <m/>
    <m/>
    <m/>
    <m/>
    <m/>
    <s v="Hard Coral"/>
    <x v="0"/>
    <m/>
    <m/>
    <n v="27.5"/>
    <m/>
    <m/>
  </r>
  <r>
    <s v="WWF baseline surveys, 2006 and 2015"/>
    <x v="3"/>
    <x v="1"/>
    <n v="2007"/>
    <s v="After"/>
    <x v="0"/>
    <m/>
    <s v="Rameza"/>
    <m/>
    <m/>
    <m/>
    <m/>
    <m/>
    <s v="Hard Coral"/>
    <x v="0"/>
    <m/>
    <m/>
    <n v="27"/>
    <m/>
    <m/>
  </r>
  <r>
    <s v="Harris et al. 2010"/>
    <x v="3"/>
    <x v="1"/>
    <n v="2008"/>
    <s v="After"/>
    <x v="0"/>
    <s v="Toliara"/>
    <s v="Grand Recif"/>
    <m/>
    <m/>
    <m/>
    <m/>
    <m/>
    <s v="Hard Coral"/>
    <x v="0"/>
    <m/>
    <m/>
    <n v="1.6"/>
    <m/>
    <n v="1.3"/>
  </r>
  <r>
    <s v="Harris et al. 2010"/>
    <x v="3"/>
    <x v="1"/>
    <n v="2008"/>
    <s v="After"/>
    <x v="0"/>
    <s v="Madagascar"/>
    <m/>
    <s v="Nosy Hara"/>
    <m/>
    <m/>
    <m/>
    <m/>
    <s v="Fleshy Algae"/>
    <x v="1"/>
    <m/>
    <m/>
    <n v="2"/>
    <m/>
    <m/>
  </r>
  <r>
    <s v=" QUOD and BIGOT 2000"/>
    <x v="4"/>
    <x v="8"/>
    <n v="1999"/>
    <s v="After"/>
    <x v="2"/>
    <m/>
    <s v=" North-West Mitsamiouli Reef"/>
    <s v="Mitsamiouli"/>
    <s v="Fringing reef "/>
    <s v="1 inner"/>
    <m/>
    <m/>
    <s v="Live coral +RDC"/>
    <x v="0"/>
    <m/>
    <m/>
    <n v="55"/>
    <m/>
    <m/>
  </r>
  <r>
    <s v=" QUOD and BIGOT 2000"/>
    <x v="4"/>
    <x v="1"/>
    <n v="1999"/>
    <s v="After"/>
    <x v="0"/>
    <m/>
    <s v=" North-West Mitsamiouli Reef"/>
    <s v="Mitsamiouli"/>
    <s v="Fringing reef "/>
    <s v="1 inner"/>
    <m/>
    <m/>
    <s v="Bleached coral"/>
    <x v="1"/>
    <m/>
    <m/>
    <n v="10"/>
    <m/>
    <m/>
  </r>
  <r>
    <s v=" QUOD and BIGOT 2000"/>
    <x v="4"/>
    <x v="1"/>
    <n v="1999"/>
    <s v="After"/>
    <x v="0"/>
    <m/>
    <s v=" North-West Mitsamiouli Reef"/>
    <s v="Mitsamiouli"/>
    <s v="Fringing reef "/>
    <s v="1 inner"/>
    <m/>
    <m/>
    <s v="Algae "/>
    <x v="1"/>
    <m/>
    <m/>
    <n v="47"/>
    <m/>
    <m/>
  </r>
  <r>
    <s v=" QUOD and BIGOT 2000"/>
    <x v="4"/>
    <x v="1"/>
    <n v="1999"/>
    <s v="After"/>
    <x v="0"/>
    <m/>
    <s v=" North-West Mitsamiouli Reef"/>
    <s v="Mitsamiouli"/>
    <s v="Fringing reef "/>
    <s v="1 inner"/>
    <m/>
    <m/>
    <s v="Recently dead coral"/>
    <x v="5"/>
    <m/>
    <m/>
    <n v="15"/>
    <m/>
    <m/>
  </r>
  <r>
    <s v=" QUOD and BIGOT 2000"/>
    <x v="4"/>
    <x v="1"/>
    <n v="1999"/>
    <s v="After"/>
    <x v="0"/>
    <m/>
    <s v=" Mohéli island "/>
    <s v="Itsamia"/>
    <s v="Fringing reef "/>
    <s v="1 inner"/>
    <s v="12°21’56’’ S "/>
    <s v="43°52’22’’ E "/>
    <s v="Live Coral"/>
    <x v="0"/>
    <m/>
    <m/>
    <n v="36"/>
    <m/>
    <m/>
  </r>
  <r>
    <s v=" QUOD and BIGOT 2000"/>
    <x v="4"/>
    <x v="1"/>
    <n v="1999"/>
    <s v="After"/>
    <x v="0"/>
    <m/>
    <s v=" Mohéli island "/>
    <s v="Itsamia"/>
    <s v="Fringing reef "/>
    <s v="1 inner"/>
    <s v="12°21’56’’ S "/>
    <s v="43°52’22’’ E "/>
    <s v="Bleached coral"/>
    <x v="1"/>
    <m/>
    <m/>
    <n v="4"/>
    <m/>
    <m/>
  </r>
  <r>
    <s v=" QUOD and BIGOT 2000"/>
    <x v="4"/>
    <x v="1"/>
    <n v="1999"/>
    <s v="After"/>
    <x v="0"/>
    <m/>
    <s v=" Mohéli island "/>
    <s v="Itsamia"/>
    <s v="Fringing reef "/>
    <s v="1 inner"/>
    <s v="12°21’56’’ S "/>
    <s v="43°52’22’’ E "/>
    <s v="Algae "/>
    <x v="1"/>
    <m/>
    <m/>
    <n v="47"/>
    <m/>
    <m/>
  </r>
  <r>
    <s v=" QUOD and BIGOT 2000"/>
    <x v="4"/>
    <x v="1"/>
    <n v="1999"/>
    <s v="After"/>
    <x v="0"/>
    <m/>
    <s v=" Mohéli island "/>
    <s v="Itsamia"/>
    <s v="Fringing reef "/>
    <s v="1 inner"/>
    <s v="12°21’56’’ S "/>
    <s v="43°52’22’’ E "/>
    <s v="Recently dead coral"/>
    <x v="5"/>
    <m/>
    <m/>
    <n v="18"/>
    <m/>
    <m/>
  </r>
  <r>
    <s v="Ahamada et al. 2002"/>
    <x v="4"/>
    <x v="1"/>
    <n v="1999"/>
    <s v="After"/>
    <x v="0"/>
    <s v="Mitsamiouli - Grande Comore"/>
    <s v="Trou du Prophète"/>
    <m/>
    <s v="Reef Flat"/>
    <m/>
    <m/>
    <m/>
    <s v="Hard Coral"/>
    <x v="0"/>
    <m/>
    <m/>
    <n v="44.2"/>
    <m/>
    <m/>
  </r>
  <r>
    <s v="Ahamada et al. 2002"/>
    <x v="4"/>
    <x v="1"/>
    <n v="1999"/>
    <s v="After"/>
    <x v="0"/>
    <s v="Mitsamiouli - Grande Comore"/>
    <s v="Trou du Prophète"/>
    <m/>
    <s v="Reef Flat"/>
    <m/>
    <m/>
    <m/>
    <s v="Algae "/>
    <x v="7"/>
    <m/>
    <m/>
    <n v="0.5"/>
    <m/>
    <m/>
  </r>
  <r>
    <s v="Ahamada et al. 2002"/>
    <x v="4"/>
    <x v="1"/>
    <n v="1999"/>
    <s v="After"/>
    <x v="0"/>
    <s v="Mitsamiouli - Grande Comore"/>
    <s v="Trou du Prophète"/>
    <m/>
    <s v="Outer Slope"/>
    <m/>
    <m/>
    <m/>
    <s v="Hard Coral"/>
    <x v="0"/>
    <m/>
    <m/>
    <n v="25.2"/>
    <m/>
    <m/>
  </r>
  <r>
    <s v="Ahamada et al. 2002"/>
    <x v="4"/>
    <x v="1"/>
    <n v="1999"/>
    <s v="After"/>
    <x v="0"/>
    <s v="Mitsamiouli - Grande Comore"/>
    <s v="Trou du Prophète"/>
    <m/>
    <s v="Outer Slope"/>
    <m/>
    <m/>
    <m/>
    <s v="Algae "/>
    <x v="7"/>
    <m/>
    <m/>
    <n v="0"/>
    <m/>
    <m/>
  </r>
  <r>
    <s v="Ahamada et al. 2002"/>
    <x v="4"/>
    <x v="1"/>
    <n v="1999"/>
    <s v="After"/>
    <x v="0"/>
    <s v="Itsamia - Moheli"/>
    <s v="Itsamia"/>
    <m/>
    <s v="Reef Flat"/>
    <m/>
    <m/>
    <m/>
    <s v="Hard Coral"/>
    <x v="0"/>
    <m/>
    <m/>
    <s v="-"/>
    <m/>
    <m/>
  </r>
  <r>
    <s v="Ahamada et al. 2002"/>
    <x v="4"/>
    <x v="1"/>
    <n v="1999"/>
    <s v="After"/>
    <x v="0"/>
    <s v="Itsamia - Moheli"/>
    <s v="Itsamia"/>
    <m/>
    <s v="Reef Flat"/>
    <m/>
    <m/>
    <m/>
    <s v="Algae "/>
    <x v="7"/>
    <m/>
    <m/>
    <s v="-"/>
    <m/>
    <m/>
  </r>
  <r>
    <s v="Ahamada et al. 2002"/>
    <x v="4"/>
    <x v="1"/>
    <n v="1999"/>
    <s v="After"/>
    <x v="0"/>
    <s v="Itsamia - Moheli"/>
    <s v="Itsamia"/>
    <m/>
    <s v="Outer Slope"/>
    <m/>
    <m/>
    <m/>
    <s v="Hard Coral"/>
    <x v="0"/>
    <m/>
    <m/>
    <n v="35.5"/>
    <m/>
    <m/>
  </r>
  <r>
    <s v="Ahamada et al. 2002"/>
    <x v="4"/>
    <x v="1"/>
    <n v="1999"/>
    <s v="After"/>
    <x v="0"/>
    <s v="Itsamia - Moheli"/>
    <s v="Itsamia"/>
    <m/>
    <s v="Outer Slope"/>
    <m/>
    <m/>
    <m/>
    <s v="Algae "/>
    <x v="7"/>
    <m/>
    <m/>
    <n v="33"/>
    <m/>
    <m/>
  </r>
  <r>
    <s v="Ahamada et al. 2002"/>
    <x v="4"/>
    <x v="1"/>
    <n v="1999"/>
    <s v="After"/>
    <x v="0"/>
    <s v="Nioumachoi - Moheli"/>
    <s v="Candzoni"/>
    <m/>
    <s v="Reef Flat"/>
    <m/>
    <m/>
    <m/>
    <s v="Hard Coral"/>
    <x v="0"/>
    <m/>
    <m/>
    <n v="40"/>
    <m/>
    <m/>
  </r>
  <r>
    <s v="Ahamada et al. 2002"/>
    <x v="4"/>
    <x v="1"/>
    <n v="1999"/>
    <s v="After"/>
    <x v="0"/>
    <s v="Nioumachoi - Moheli"/>
    <s v="Candzoni"/>
    <m/>
    <s v="Reef Flat"/>
    <m/>
    <m/>
    <m/>
    <s v="Algae "/>
    <x v="7"/>
    <m/>
    <m/>
    <n v="55"/>
    <m/>
    <m/>
  </r>
  <r>
    <s v="Ahamada et al. 2002"/>
    <x v="4"/>
    <x v="1"/>
    <n v="1999"/>
    <s v="After"/>
    <x v="0"/>
    <s v="Nioumachoi - Moheli"/>
    <s v="Candzoni"/>
    <m/>
    <s v="Outer Slope"/>
    <m/>
    <m/>
    <m/>
    <s v="Hard Coral"/>
    <x v="0"/>
    <m/>
    <m/>
    <n v="20"/>
    <m/>
    <m/>
  </r>
  <r>
    <s v="Ahamada et al. 2002"/>
    <x v="4"/>
    <x v="1"/>
    <n v="1999"/>
    <s v="After"/>
    <x v="0"/>
    <s v="Nioumachoi - Moheli"/>
    <s v="Candzoni"/>
    <m/>
    <s v="Outer Slope"/>
    <m/>
    <m/>
    <m/>
    <s v="Algae "/>
    <x v="7"/>
    <m/>
    <m/>
    <n v="78"/>
    <m/>
    <m/>
  </r>
  <r>
    <s v="Ahamada et al. 2002"/>
    <x v="4"/>
    <x v="1"/>
    <n v="1999"/>
    <s v="After"/>
    <x v="0"/>
    <s v="Nioumachoi - Moheli"/>
    <s v="Mea"/>
    <m/>
    <s v="Reef Flat"/>
    <m/>
    <m/>
    <m/>
    <s v="Hard Coral"/>
    <x v="0"/>
    <m/>
    <m/>
    <s v="-"/>
    <m/>
    <m/>
  </r>
  <r>
    <s v="Ahamada et al. 2002"/>
    <x v="4"/>
    <x v="1"/>
    <n v="1999"/>
    <s v="After"/>
    <x v="0"/>
    <s v="Nioumachoi - Moheli"/>
    <s v="Mea"/>
    <m/>
    <s v="Reef Flat"/>
    <m/>
    <m/>
    <m/>
    <s v="Algae "/>
    <x v="7"/>
    <m/>
    <m/>
    <s v="-"/>
    <m/>
    <m/>
  </r>
  <r>
    <s v="Ahamada et al. 2002"/>
    <x v="4"/>
    <x v="1"/>
    <n v="1999"/>
    <s v="After"/>
    <x v="0"/>
    <s v="Nioumachoi - Moheli"/>
    <s v="Mea"/>
    <m/>
    <s v="Outer Slope"/>
    <m/>
    <m/>
    <m/>
    <s v="Hard Coral"/>
    <x v="0"/>
    <m/>
    <m/>
    <n v="18"/>
    <m/>
    <m/>
  </r>
  <r>
    <s v="Ahamada et al. 2002"/>
    <x v="4"/>
    <x v="1"/>
    <n v="1999"/>
    <s v="After"/>
    <x v="0"/>
    <s v="Nioumachoi - Moheli"/>
    <s v="Mea"/>
    <m/>
    <s v="Outer Slope"/>
    <m/>
    <m/>
    <m/>
    <s v="Algae "/>
    <x v="7"/>
    <m/>
    <m/>
    <n v="51"/>
    <m/>
    <m/>
  </r>
  <r>
    <s v="Ahamada et al. 2002"/>
    <x v="4"/>
    <x v="1"/>
    <n v="2002"/>
    <s v="After"/>
    <x v="0"/>
    <s v="Mitsamiouli - Grande Comore"/>
    <s v="Trou du Prophète"/>
    <m/>
    <s v="Reef Flat"/>
    <m/>
    <m/>
    <m/>
    <s v="Hard Coral"/>
    <x v="0"/>
    <m/>
    <m/>
    <n v="36.5"/>
    <m/>
    <m/>
  </r>
  <r>
    <s v="Ahamada et al. 2002"/>
    <x v="4"/>
    <x v="1"/>
    <n v="2002"/>
    <s v="After"/>
    <x v="0"/>
    <s v="Mitsamiouli - Grande Comore"/>
    <s v="Trou du Prophète"/>
    <m/>
    <s v="Reef Flat"/>
    <m/>
    <m/>
    <m/>
    <s v="Algae "/>
    <x v="7"/>
    <m/>
    <m/>
    <n v="23.6"/>
    <m/>
    <m/>
  </r>
  <r>
    <s v="Ahamada et al. 2002"/>
    <x v="4"/>
    <x v="1"/>
    <n v="2002"/>
    <s v="After"/>
    <x v="0"/>
    <s v="Mitsamiouli - Grande Comore"/>
    <s v="Trou du Prophète"/>
    <m/>
    <s v="Outer Slope"/>
    <m/>
    <m/>
    <m/>
    <s v="Hard Coral"/>
    <x v="0"/>
    <m/>
    <m/>
    <n v="24.8"/>
    <m/>
    <m/>
  </r>
  <r>
    <s v="Ahamada et al. 2002"/>
    <x v="4"/>
    <x v="1"/>
    <n v="2002"/>
    <s v="After"/>
    <x v="0"/>
    <s v="Mitsamiouli - Grande Comore"/>
    <s v="Trou du Prophète"/>
    <m/>
    <s v="Outer Slope"/>
    <m/>
    <m/>
    <m/>
    <s v="Algae "/>
    <x v="7"/>
    <m/>
    <m/>
    <n v="19.8"/>
    <m/>
    <m/>
  </r>
  <r>
    <s v="Ahamada et al. 2002"/>
    <x v="4"/>
    <x v="1"/>
    <n v="2002"/>
    <s v="After"/>
    <x v="0"/>
    <s v="Itsamia - Moheli"/>
    <s v="Itsamia"/>
    <m/>
    <s v="Reef Flat"/>
    <m/>
    <m/>
    <m/>
    <s v="Hard Coral"/>
    <x v="0"/>
    <m/>
    <m/>
    <n v="5"/>
    <m/>
    <m/>
  </r>
  <r>
    <s v="Ahamada et al. 2002"/>
    <x v="4"/>
    <x v="1"/>
    <n v="2002"/>
    <s v="After"/>
    <x v="0"/>
    <s v="Itsamia - Moheli"/>
    <s v="Itsamia"/>
    <m/>
    <s v="Reef Flat"/>
    <m/>
    <m/>
    <m/>
    <s v="Algae "/>
    <x v="7"/>
    <m/>
    <m/>
    <n v="20"/>
    <m/>
    <m/>
  </r>
  <r>
    <s v="Ahamada et al. 2002"/>
    <x v="4"/>
    <x v="1"/>
    <n v="2002"/>
    <s v="After"/>
    <x v="0"/>
    <s v="Itsamia - Moheli"/>
    <s v="Itsamia"/>
    <m/>
    <s v="Outer Slope"/>
    <m/>
    <m/>
    <m/>
    <s v="Hard Coral"/>
    <x v="0"/>
    <m/>
    <m/>
    <n v="38.299999999999997"/>
    <m/>
    <m/>
  </r>
  <r>
    <s v="Ahamada et al. 2002"/>
    <x v="4"/>
    <x v="1"/>
    <n v="2002"/>
    <s v="After"/>
    <x v="0"/>
    <s v="Itsamia - Moheli"/>
    <s v="Itsamia"/>
    <m/>
    <s v="Outer Slope"/>
    <m/>
    <m/>
    <m/>
    <s v="Algae "/>
    <x v="7"/>
    <m/>
    <m/>
    <n v="22.3"/>
    <m/>
    <m/>
  </r>
  <r>
    <s v="Ahamada et al. 2002"/>
    <x v="4"/>
    <x v="8"/>
    <n v="2002"/>
    <s v="After"/>
    <x v="2"/>
    <s v="Nioumachoi - Moheli"/>
    <s v="Candzoni"/>
    <m/>
    <s v="Reef Flat"/>
    <m/>
    <m/>
    <m/>
    <s v="Hard Coral+Dead coral"/>
    <x v="0"/>
    <m/>
    <m/>
    <n v="87"/>
    <m/>
    <m/>
  </r>
  <r>
    <s v="Ahamada et al. 2002"/>
    <x v="4"/>
    <x v="1"/>
    <n v="2002"/>
    <s v="After"/>
    <x v="0"/>
    <s v="Nioumachoi - Moheli"/>
    <s v="Candzoni"/>
    <m/>
    <s v="Reef Flat"/>
    <m/>
    <m/>
    <m/>
    <s v="Algae "/>
    <x v="7"/>
    <m/>
    <m/>
    <s v="-"/>
    <m/>
    <m/>
  </r>
  <r>
    <s v="Ahamada et al. 2002"/>
    <x v="4"/>
    <x v="1"/>
    <n v="2002"/>
    <s v="After"/>
    <x v="0"/>
    <s v="Nioumachoi - Moheli"/>
    <s v="Candzoni"/>
    <m/>
    <s v="Outer Slope"/>
    <m/>
    <m/>
    <m/>
    <s v="Hard Coral"/>
    <x v="0"/>
    <m/>
    <m/>
    <n v="41.2"/>
    <m/>
    <m/>
  </r>
  <r>
    <s v="Ahamada et al. 2002"/>
    <x v="4"/>
    <x v="1"/>
    <n v="2002"/>
    <s v="After"/>
    <x v="0"/>
    <s v="Nioumachoi - Moheli"/>
    <s v="Candzoni"/>
    <m/>
    <s v="Outer Slope"/>
    <m/>
    <m/>
    <m/>
    <s v="Algae "/>
    <x v="7"/>
    <m/>
    <m/>
    <n v="47.5"/>
    <m/>
    <m/>
  </r>
  <r>
    <s v="Ahamada et al. 2002"/>
    <x v="4"/>
    <x v="1"/>
    <n v="2002"/>
    <s v="After"/>
    <x v="0"/>
    <s v="Nioumachoi - Moheli"/>
    <s v="Mea"/>
    <m/>
    <s v="Reef Flat"/>
    <m/>
    <m/>
    <m/>
    <s v="Hard Coral"/>
    <x v="0"/>
    <m/>
    <m/>
    <n v="22.8"/>
    <m/>
    <m/>
  </r>
  <r>
    <s v="Ahamada et al. 2002"/>
    <x v="4"/>
    <x v="1"/>
    <n v="2002"/>
    <s v="After"/>
    <x v="0"/>
    <s v="Nioumachoi - Moheli"/>
    <s v="Mea"/>
    <m/>
    <s v="Reef Flat"/>
    <m/>
    <m/>
    <m/>
    <s v="Algae "/>
    <x v="7"/>
    <m/>
    <m/>
    <n v="47.4"/>
    <m/>
    <m/>
  </r>
  <r>
    <s v="Ahamada et al. 2002"/>
    <x v="4"/>
    <x v="8"/>
    <n v="2002"/>
    <s v="After"/>
    <x v="2"/>
    <s v="Nioumachoi - Moheli"/>
    <s v="Mea"/>
    <m/>
    <s v="Outer Slope"/>
    <m/>
    <m/>
    <m/>
    <s v="Hard Coral"/>
    <x v="0"/>
    <m/>
    <m/>
    <n v="52.6"/>
    <m/>
    <m/>
  </r>
  <r>
    <s v="Ahamada et al. 2002"/>
    <x v="4"/>
    <x v="1"/>
    <n v="2002"/>
    <s v="After"/>
    <x v="0"/>
    <s v="Nioumachoi - Moheli"/>
    <s v="Mea"/>
    <m/>
    <s v="Outer Slope"/>
    <m/>
    <m/>
    <m/>
    <s v="Algae "/>
    <x v="7"/>
    <m/>
    <m/>
    <n v="20.7"/>
    <m/>
    <m/>
  </r>
  <r>
    <s v="McClanahan et al. 2007"/>
    <x v="4"/>
    <x v="8"/>
    <n v="1997"/>
    <s v="Before"/>
    <x v="0"/>
    <s v="Mitsamiouli - Grande Comore"/>
    <s v="Mitsamiuoli "/>
    <m/>
    <m/>
    <m/>
    <m/>
    <m/>
    <s v="Hard Coral"/>
    <x v="0"/>
    <m/>
    <m/>
    <n v="55"/>
    <m/>
    <m/>
  </r>
  <r>
    <s v="McClanahan et al. 2007"/>
    <x v="4"/>
    <x v="8"/>
    <n v="1997"/>
    <s v="Before"/>
    <x v="0"/>
    <s v="Mitsamiouli - Grande Comore"/>
    <s v="Itsamia "/>
    <m/>
    <m/>
    <m/>
    <m/>
    <m/>
    <s v="Hard Coral"/>
    <x v="0"/>
    <m/>
    <m/>
    <n v="54"/>
    <m/>
    <m/>
  </r>
  <r>
    <s v="McClanahan et al. 2007"/>
    <x v="4"/>
    <x v="1"/>
    <n v="1999"/>
    <s v="After"/>
    <x v="0"/>
    <s v="Mitsamiouli - Grande Comore"/>
    <s v="Mitsamiuoli "/>
    <m/>
    <m/>
    <m/>
    <m/>
    <m/>
    <s v="Hard Coral"/>
    <x v="0"/>
    <m/>
    <m/>
    <n v="40"/>
    <m/>
    <m/>
  </r>
  <r>
    <s v="McClanahan et al. 2007"/>
    <x v="4"/>
    <x v="1"/>
    <n v="1999"/>
    <s v="After"/>
    <x v="0"/>
    <s v="Mitsamiouli - Grande Comore"/>
    <s v="Itsamia "/>
    <m/>
    <m/>
    <m/>
    <m/>
    <m/>
    <s v="Hard Coral"/>
    <x v="0"/>
    <m/>
    <m/>
    <n v="36"/>
    <m/>
    <m/>
  </r>
  <r>
    <s v="Spencer et al. 2000"/>
    <x v="5"/>
    <x v="1"/>
    <n v="1998"/>
    <s v="During"/>
    <x v="0"/>
    <s v="Southern Sychelles"/>
    <s v="Alphonse Atoll"/>
    <m/>
    <m/>
    <s v="15"/>
    <s v="9°0'S"/>
    <s v="52°45'E"/>
    <s v="Coral cover"/>
    <x v="0"/>
    <n v="11"/>
    <m/>
    <n v="39"/>
    <s v="-"/>
    <m/>
  </r>
  <r>
    <s v="Spencer et al. 2000"/>
    <x v="5"/>
    <x v="1"/>
    <n v="1998"/>
    <s v="During"/>
    <x v="0"/>
    <s v="Southern Sychelles"/>
    <s v="Alphonse Atoll"/>
    <m/>
    <m/>
    <s v="15"/>
    <s v="9°0'S"/>
    <s v="52°45'E"/>
    <s v="Ubleached Coral"/>
    <x v="1"/>
    <n v="11"/>
    <m/>
    <n v="26.6"/>
    <n v="19"/>
    <m/>
  </r>
  <r>
    <s v="Spencer et al. 2000"/>
    <x v="5"/>
    <x v="1"/>
    <n v="1998"/>
    <s v="During"/>
    <x v="0"/>
    <s v="Southern Sychelles"/>
    <s v="Alphonse Atoll"/>
    <m/>
    <m/>
    <s v="15"/>
    <s v="9°0'S"/>
    <s v="52°45'E"/>
    <s v="Bleached coral"/>
    <x v="1"/>
    <n v="11"/>
    <m/>
    <n v="53.6"/>
    <n v="17.600000000000001"/>
    <m/>
  </r>
  <r>
    <s v="Spencer et al. 2000"/>
    <x v="5"/>
    <x v="1"/>
    <n v="1998"/>
    <s v="During"/>
    <x v="0"/>
    <s v="Southern Sychelles"/>
    <s v="Alphonse Atoll"/>
    <m/>
    <m/>
    <s v="15"/>
    <s v="9°0'S"/>
    <s v="52°45'E"/>
    <s v="Recently dead coral"/>
    <x v="1"/>
    <n v="11"/>
    <m/>
    <n v="19.8"/>
    <n v="12.1"/>
    <m/>
  </r>
  <r>
    <s v="Spencer et al. 2000"/>
    <x v="5"/>
    <x v="1"/>
    <n v="1998"/>
    <s v="During"/>
    <x v="0"/>
    <s v="Southern Sychelles"/>
    <s v="St Pierre"/>
    <m/>
    <m/>
    <s v="15"/>
    <s v="9°190'S"/>
    <s v="50°43'E"/>
    <s v="Coral cover"/>
    <x v="0"/>
    <n v="65"/>
    <m/>
    <n v="47"/>
    <s v="-"/>
    <m/>
  </r>
  <r>
    <s v="Spencer et al. 2000"/>
    <x v="5"/>
    <x v="1"/>
    <n v="1998"/>
    <s v="During"/>
    <x v="0"/>
    <s v="Southern Sychelles"/>
    <s v="St Pierre"/>
    <m/>
    <m/>
    <s v="15"/>
    <s v="9°190'S"/>
    <s v="50°43'E"/>
    <s v="Ubleached Coral"/>
    <x v="1"/>
    <n v="65"/>
    <m/>
    <n v="17.7"/>
    <n v="23.8"/>
    <m/>
  </r>
  <r>
    <s v="Spencer et al. 2000"/>
    <x v="5"/>
    <x v="1"/>
    <n v="1998"/>
    <s v="During"/>
    <x v="0"/>
    <s v="Southern Sychelles"/>
    <s v="St Pierre"/>
    <m/>
    <m/>
    <s v="15"/>
    <s v="9°190'S"/>
    <s v="50°43'E"/>
    <s v="Bleached coral"/>
    <x v="1"/>
    <n v="65"/>
    <m/>
    <n v="27.5"/>
    <n v="23.8"/>
    <m/>
  </r>
  <r>
    <s v="Spencer et al. 2000"/>
    <x v="5"/>
    <x v="1"/>
    <n v="1998"/>
    <s v="During"/>
    <x v="0"/>
    <s v="Southern Sychelles"/>
    <s v="St Pierre"/>
    <m/>
    <m/>
    <s v="15"/>
    <s v="9°190'S"/>
    <s v="50°43'E"/>
    <s v="Recently dead coral"/>
    <x v="1"/>
    <n v="65"/>
    <m/>
    <n v="54.8"/>
    <n v="25.8"/>
    <m/>
  </r>
  <r>
    <s v="Spencer et al. 2000"/>
    <x v="5"/>
    <x v="1"/>
    <n v="1998"/>
    <s v="During"/>
    <x v="0"/>
    <s v="Southern Sychelles"/>
    <s v="Island of Providence"/>
    <s v="Cerf islands"/>
    <m/>
    <s v="15"/>
    <s v="9°15'S"/>
    <s v="51°E"/>
    <s v="Coral cover"/>
    <x v="0"/>
    <n v="8"/>
    <m/>
    <n v="6"/>
    <s v="-"/>
    <m/>
  </r>
  <r>
    <s v="Spencer et al. 2000"/>
    <x v="5"/>
    <x v="1"/>
    <n v="1998"/>
    <s v="During"/>
    <x v="0"/>
    <s v="Southern Sychelles"/>
    <s v="Island of Providence"/>
    <s v="Cerf islands"/>
    <m/>
    <s v="15"/>
    <s v="9°15'S"/>
    <s v="51°E"/>
    <s v="Ubleached Coral"/>
    <x v="1"/>
    <n v="8"/>
    <m/>
    <n v="18.399999999999999"/>
    <n v="20.3"/>
    <m/>
  </r>
  <r>
    <s v="Spencer et al. 2000"/>
    <x v="5"/>
    <x v="1"/>
    <n v="1998"/>
    <s v="During"/>
    <x v="0"/>
    <s v="Southern Sychelles"/>
    <s v="Island of Providence"/>
    <s v="Cerf islands"/>
    <m/>
    <s v="15"/>
    <s v="9°15'S"/>
    <s v="51°E"/>
    <s v="Bleached coral"/>
    <x v="1"/>
    <n v="8"/>
    <m/>
    <n v="48.6"/>
    <n v="33.700000000000003"/>
    <m/>
  </r>
  <r>
    <s v="Spencer et al. 2000"/>
    <x v="5"/>
    <x v="1"/>
    <n v="1998"/>
    <s v="During"/>
    <x v="0"/>
    <s v="Southern Sychelles"/>
    <s v="Island of Providence"/>
    <s v="Cerf islands"/>
    <m/>
    <s v="15"/>
    <s v="9°15'S"/>
    <s v="51°E"/>
    <s v="Recently dead coral"/>
    <x v="1"/>
    <n v="8"/>
    <m/>
    <n v="33"/>
    <n v="33"/>
    <m/>
  </r>
  <r>
    <s v="Spencer et al. 2000"/>
    <x v="5"/>
    <x v="9"/>
    <n v="1998"/>
    <s v="During"/>
    <x v="2"/>
    <s v="Southern Sychelles"/>
    <s v="Aldabra Atoll"/>
    <m/>
    <m/>
    <s v="15"/>
    <s v="9°24'S"/>
    <s v="46°20'E"/>
    <s v="Coral cover"/>
    <x v="0"/>
    <n v="13"/>
    <m/>
    <n v="37"/>
    <s v="-"/>
    <m/>
  </r>
  <r>
    <s v="Spencer et al. 2000"/>
    <x v="5"/>
    <x v="1"/>
    <n v="1998"/>
    <s v="During"/>
    <x v="0"/>
    <s v="Southern Sychelles"/>
    <s v="Aldabra Atoll"/>
    <m/>
    <m/>
    <s v="15"/>
    <s v="9°24'S"/>
    <s v="46°20'E"/>
    <s v="Ubleached Coral"/>
    <x v="1"/>
    <n v="13"/>
    <m/>
    <n v="59.1"/>
    <n v="34.5"/>
    <m/>
  </r>
  <r>
    <s v="Spencer et al. 2000"/>
    <x v="5"/>
    <x v="1"/>
    <n v="1998"/>
    <s v="During"/>
    <x v="0"/>
    <s v="Southern Sychelles"/>
    <s v="Aldabra Atoll"/>
    <m/>
    <m/>
    <s v="15"/>
    <s v="9°24'S"/>
    <s v="46°20'E"/>
    <s v="Bleached coral"/>
    <x v="1"/>
    <n v="13"/>
    <m/>
    <n v="30.4"/>
    <n v="27.8"/>
    <m/>
  </r>
  <r>
    <s v="Spencer et al. 2000"/>
    <x v="5"/>
    <x v="1"/>
    <n v="1998"/>
    <s v="During"/>
    <x v="0"/>
    <s v="Southern Sychelles"/>
    <s v="Aldabra Atoll"/>
    <m/>
    <m/>
    <s v="15"/>
    <s v="9°24'S"/>
    <s v="46°20'E"/>
    <s v="Recently dead coral"/>
    <x v="1"/>
    <n v="13"/>
    <m/>
    <n v="10.5"/>
    <n v="16.100000000000001"/>
    <m/>
  </r>
  <r>
    <s v="Spalding &amp; Jarvis 2002"/>
    <x v="5"/>
    <x v="10"/>
    <n v="1997"/>
    <s v="Before"/>
    <x v="2"/>
    <s v="Granitic Seychelles"/>
    <s v="West cousine"/>
    <m/>
    <s v="Fringing structure"/>
    <m/>
    <m/>
    <m/>
    <s v="Hard Coral"/>
    <x v="0"/>
    <m/>
    <m/>
    <n v="33"/>
    <s v="-"/>
    <m/>
  </r>
  <r>
    <s v="Spalding &amp; Jarvis 2002"/>
    <x v="5"/>
    <x v="1"/>
    <n v="1997"/>
    <s v="Before"/>
    <x v="0"/>
    <s v="Granitic Seychelles"/>
    <s v="West cousine"/>
    <m/>
    <s v="Fringing structure"/>
    <m/>
    <m/>
    <m/>
    <s v="Soft coral"/>
    <x v="2"/>
    <m/>
    <m/>
    <n v="23"/>
    <s v="-"/>
    <m/>
  </r>
  <r>
    <s v="Spalding &amp; Jarvis 2002"/>
    <x v="5"/>
    <x v="1"/>
    <n v="1997"/>
    <s v="Before"/>
    <x v="0"/>
    <s v="Granitic Seychelles"/>
    <s v="West cousine"/>
    <m/>
    <s v="Fringing structure"/>
    <m/>
    <m/>
    <m/>
    <s v="Corraline Algae"/>
    <x v="1"/>
    <m/>
    <m/>
    <n v="8"/>
    <s v="-"/>
    <m/>
  </r>
  <r>
    <s v="Spalding &amp; Jarvis 2002"/>
    <x v="5"/>
    <x v="9"/>
    <n v="1998"/>
    <s v="During"/>
    <x v="2"/>
    <s v="Southern Sychelles"/>
    <s v="West alphonse"/>
    <m/>
    <m/>
    <m/>
    <m/>
    <m/>
    <s v="Hard Coral"/>
    <x v="0"/>
    <m/>
    <m/>
    <n v="48"/>
    <m/>
    <m/>
  </r>
  <r>
    <s v="Spalding &amp; Jarvis 2002"/>
    <x v="5"/>
    <x v="1"/>
    <n v="1998"/>
    <s v="During"/>
    <x v="0"/>
    <s v="Southern Sychelles"/>
    <s v="West alphonse"/>
    <m/>
    <m/>
    <m/>
    <m/>
    <m/>
    <s v="Soft coral"/>
    <x v="2"/>
    <m/>
    <m/>
    <n v="3"/>
    <m/>
    <m/>
  </r>
  <r>
    <s v="Spalding &amp; Jarvis 2002"/>
    <x v="5"/>
    <x v="1"/>
    <n v="1998"/>
    <s v="During"/>
    <x v="0"/>
    <s v="Southern Sychelles"/>
    <s v="West alphonse"/>
    <m/>
    <m/>
    <m/>
    <m/>
    <m/>
    <s v="Corraline Algae"/>
    <x v="1"/>
    <m/>
    <m/>
    <n v="9"/>
    <m/>
    <m/>
  </r>
  <r>
    <s v="Spalding &amp; Jarvis 2002"/>
    <x v="5"/>
    <x v="9"/>
    <n v="1998"/>
    <s v="During"/>
    <x v="2"/>
    <s v="Southern Sychelles"/>
    <s v="North St Pierre"/>
    <m/>
    <m/>
    <m/>
    <m/>
    <m/>
    <s v="Hard Coral"/>
    <x v="0"/>
    <m/>
    <m/>
    <n v="64"/>
    <m/>
    <m/>
  </r>
  <r>
    <s v="Spalding &amp; Jarvis 2002"/>
    <x v="5"/>
    <x v="1"/>
    <n v="1998"/>
    <s v="During"/>
    <x v="0"/>
    <s v="Southern Sychelles"/>
    <s v="North St Pierre"/>
    <m/>
    <m/>
    <m/>
    <m/>
    <m/>
    <s v="Soft coral"/>
    <x v="2"/>
    <m/>
    <m/>
    <n v="0"/>
    <m/>
    <m/>
  </r>
  <r>
    <s v="Spalding &amp; Jarvis 2002"/>
    <x v="5"/>
    <x v="1"/>
    <n v="1998"/>
    <s v="During"/>
    <x v="0"/>
    <s v="Southern Sychelles"/>
    <s v="North St Pierre"/>
    <m/>
    <m/>
    <m/>
    <m/>
    <m/>
    <s v="Corraline Algae"/>
    <x v="1"/>
    <m/>
    <m/>
    <n v="3"/>
    <m/>
    <m/>
  </r>
  <r>
    <s v="Spalding &amp; Jarvis 2002"/>
    <x v="5"/>
    <x v="9"/>
    <n v="1998"/>
    <s v="During"/>
    <x v="2"/>
    <s v="Southern Sychelles"/>
    <s v="South St Pierre"/>
    <m/>
    <m/>
    <m/>
    <m/>
    <m/>
    <s v="Hard Coral"/>
    <x v="0"/>
    <m/>
    <m/>
    <n v="29"/>
    <m/>
    <m/>
  </r>
  <r>
    <s v="Spalding &amp; Jarvis 2002"/>
    <x v="5"/>
    <x v="1"/>
    <n v="1998"/>
    <s v="During"/>
    <x v="0"/>
    <s v="Southern Sychelles"/>
    <s v="South St Pierre"/>
    <m/>
    <m/>
    <m/>
    <m/>
    <m/>
    <s v="Soft coral"/>
    <x v="2"/>
    <m/>
    <m/>
    <n v="0"/>
    <m/>
    <m/>
  </r>
  <r>
    <s v="Spalding &amp; Jarvis 2002"/>
    <x v="5"/>
    <x v="1"/>
    <n v="1998"/>
    <s v="During"/>
    <x v="0"/>
    <s v="Southern Sychelles"/>
    <s v="South St Pierre"/>
    <m/>
    <m/>
    <m/>
    <m/>
    <m/>
    <s v="Corraline Algae"/>
    <x v="1"/>
    <m/>
    <m/>
    <n v="13"/>
    <m/>
    <m/>
  </r>
  <r>
    <s v="Spalding &amp; Jarvis 2002"/>
    <x v="5"/>
    <x v="1"/>
    <n v="1998"/>
    <s v="During"/>
    <x v="1"/>
    <s v="Granitic Seychelles"/>
    <s v="West cousine"/>
    <m/>
    <m/>
    <m/>
    <m/>
    <m/>
    <s v="Hard Coral"/>
    <x v="0"/>
    <m/>
    <m/>
    <n v="7"/>
    <m/>
    <m/>
  </r>
  <r>
    <s v="Spalding &amp; Jarvis 2002"/>
    <x v="5"/>
    <x v="1"/>
    <n v="1998"/>
    <s v="During"/>
    <x v="0"/>
    <s v="Granitic Seychelles"/>
    <s v="West cousine"/>
    <m/>
    <m/>
    <m/>
    <m/>
    <m/>
    <s v="Soft coral"/>
    <x v="2"/>
    <m/>
    <m/>
    <n v="0"/>
    <m/>
    <m/>
  </r>
  <r>
    <s v="Spalding &amp; Jarvis 2002"/>
    <x v="5"/>
    <x v="1"/>
    <n v="1998"/>
    <s v="During"/>
    <x v="0"/>
    <s v="Granitic Seychelles"/>
    <s v="West cousine"/>
    <m/>
    <m/>
    <m/>
    <m/>
    <m/>
    <s v="Corraline Algae"/>
    <x v="1"/>
    <m/>
    <m/>
    <n v="11"/>
    <m/>
    <m/>
  </r>
  <r>
    <s v="Spalding &amp; Jarvis 2002"/>
    <x v="5"/>
    <x v="1"/>
    <n v="1998"/>
    <s v="During"/>
    <x v="1"/>
    <s v="Southern Sychelles"/>
    <s v="West alphonse"/>
    <m/>
    <m/>
    <m/>
    <m/>
    <m/>
    <s v="Hard Coral"/>
    <x v="0"/>
    <m/>
    <m/>
    <n v="7"/>
    <m/>
    <m/>
  </r>
  <r>
    <s v="Spalding &amp; Jarvis 2002"/>
    <x v="5"/>
    <x v="1"/>
    <n v="1999"/>
    <s v="After"/>
    <x v="0"/>
    <s v="Southern Sychelles"/>
    <s v="West alphonse"/>
    <m/>
    <m/>
    <m/>
    <m/>
    <m/>
    <s v="Soft coral"/>
    <x v="2"/>
    <m/>
    <m/>
    <n v="0"/>
    <m/>
    <m/>
  </r>
  <r>
    <s v="Spalding &amp; Jarvis 2002"/>
    <x v="5"/>
    <x v="1"/>
    <n v="1999"/>
    <s v="After"/>
    <x v="0"/>
    <s v="Southern Sychelles"/>
    <s v="West alphonse"/>
    <m/>
    <m/>
    <m/>
    <m/>
    <m/>
    <s v="Corraline Algae"/>
    <x v="1"/>
    <m/>
    <m/>
    <n v="7"/>
    <m/>
    <m/>
  </r>
  <r>
    <s v="Spalding &amp; Jarvis 2002"/>
    <x v="5"/>
    <x v="1"/>
    <n v="1999"/>
    <s v="After"/>
    <x v="0"/>
    <s v="Southern Sychelles"/>
    <s v="North St Pierre"/>
    <m/>
    <m/>
    <m/>
    <m/>
    <m/>
    <s v="Hard Coral"/>
    <x v="0"/>
    <m/>
    <m/>
    <n v="3"/>
    <m/>
    <m/>
  </r>
  <r>
    <s v="Spalding &amp; Jarvis 2002"/>
    <x v="5"/>
    <x v="1"/>
    <n v="1999"/>
    <s v="After"/>
    <x v="0"/>
    <s v="Southern Sychelles"/>
    <s v="North St Pierre"/>
    <m/>
    <m/>
    <m/>
    <m/>
    <m/>
    <s v="Soft coral"/>
    <x v="2"/>
    <m/>
    <m/>
    <n v="0"/>
    <m/>
    <m/>
  </r>
  <r>
    <s v="Spalding &amp; Jarvis 2002"/>
    <x v="5"/>
    <x v="1"/>
    <n v="1999"/>
    <s v="After"/>
    <x v="0"/>
    <s v="Southern Sychelles"/>
    <s v="North St Pierre"/>
    <m/>
    <m/>
    <m/>
    <m/>
    <m/>
    <s v="Corraline Algae"/>
    <x v="1"/>
    <m/>
    <m/>
    <n v="14"/>
    <m/>
    <m/>
  </r>
  <r>
    <s v="Spalding &amp; Jarvis 2002"/>
    <x v="5"/>
    <x v="1"/>
    <n v="1999"/>
    <s v="After"/>
    <x v="0"/>
    <s v="Southern Sychelles"/>
    <s v="South St Pierre"/>
    <m/>
    <m/>
    <m/>
    <m/>
    <m/>
    <s v="Hard Coral"/>
    <x v="0"/>
    <m/>
    <m/>
    <n v="10"/>
    <m/>
    <m/>
  </r>
  <r>
    <s v="Spalding &amp; Jarvis 2002"/>
    <x v="5"/>
    <x v="1"/>
    <n v="1999"/>
    <s v="After"/>
    <x v="0"/>
    <s v="Southern Sychelles"/>
    <s v="South St Pierre"/>
    <m/>
    <m/>
    <m/>
    <m/>
    <m/>
    <s v="Soft coral"/>
    <x v="2"/>
    <m/>
    <m/>
    <n v="0"/>
    <m/>
    <m/>
  </r>
  <r>
    <s v="Spalding &amp; Jarvis 2002"/>
    <x v="5"/>
    <x v="1"/>
    <n v="1999"/>
    <s v="After"/>
    <x v="0"/>
    <s v="Southern Sychelles"/>
    <s v="South St Pierre"/>
    <m/>
    <m/>
    <m/>
    <m/>
    <m/>
    <s v="Corraline Algae"/>
    <x v="1"/>
    <m/>
    <m/>
    <n v="20"/>
    <m/>
    <m/>
  </r>
  <r>
    <s v="Spalding &amp; Jarvis 2002"/>
    <x v="5"/>
    <x v="1"/>
    <n v="1999"/>
    <s v="After"/>
    <x v="0"/>
    <s v="Granitic Seychelles"/>
    <s v="West cousine"/>
    <m/>
    <m/>
    <m/>
    <m/>
    <m/>
    <s v="Hard Coral"/>
    <x v="0"/>
    <m/>
    <m/>
    <n v="0"/>
    <m/>
    <m/>
  </r>
  <r>
    <s v="Spalding &amp; Jarvis 2002"/>
    <x v="5"/>
    <x v="1"/>
    <n v="1999"/>
    <s v="After"/>
    <x v="0"/>
    <s v="Granitic Seychelles"/>
    <s v="West cousine"/>
    <m/>
    <m/>
    <m/>
    <m/>
    <m/>
    <s v="Soft coral"/>
    <x v="2"/>
    <m/>
    <m/>
    <n v="0"/>
    <m/>
    <m/>
  </r>
  <r>
    <s v="Spalding &amp; Jarvis 2002"/>
    <x v="5"/>
    <x v="1"/>
    <n v="1999"/>
    <s v="After"/>
    <x v="0"/>
    <s v="Granitic Seychelles"/>
    <s v="West cousine"/>
    <m/>
    <m/>
    <m/>
    <m/>
    <m/>
    <s v="Corraline Algae"/>
    <x v="1"/>
    <m/>
    <m/>
    <n v="7"/>
    <m/>
    <m/>
  </r>
  <r>
    <s v="Ahamada et al. 2002"/>
    <x v="5"/>
    <x v="1"/>
    <n v="1999"/>
    <s v="After"/>
    <x v="0"/>
    <s v="Mahe - Bay Ternay"/>
    <s v="Middle reef"/>
    <m/>
    <s v="Outer Slope"/>
    <m/>
    <m/>
    <m/>
    <s v="Hard Coral"/>
    <x v="0"/>
    <m/>
    <m/>
    <n v="3.5"/>
    <m/>
    <m/>
  </r>
  <r>
    <s v="Ahamada et al. 2002"/>
    <x v="5"/>
    <x v="1"/>
    <n v="1999"/>
    <s v="After"/>
    <x v="0"/>
    <s v="Mahe - Bay Ternay"/>
    <s v="Middle reef"/>
    <m/>
    <s v="Outer Slope"/>
    <m/>
    <m/>
    <m/>
    <s v="Algae "/>
    <x v="7"/>
    <m/>
    <m/>
    <n v="0"/>
    <m/>
    <m/>
  </r>
  <r>
    <s v="Ahamada et al. 2002"/>
    <x v="5"/>
    <x v="1"/>
    <n v="2000"/>
    <s v="After"/>
    <x v="0"/>
    <s v="Mahe - Bay Ternay"/>
    <s v="Middle reef"/>
    <m/>
    <s v="Outer Slope"/>
    <m/>
    <m/>
    <m/>
    <s v="Hard Coral"/>
    <x v="0"/>
    <m/>
    <m/>
    <n v="5.0999999999999996"/>
    <m/>
    <m/>
  </r>
  <r>
    <s v="Ahamada et al. 2002"/>
    <x v="5"/>
    <x v="1"/>
    <n v="2000"/>
    <s v="After"/>
    <x v="0"/>
    <s v="Mahe - Bay Ternay"/>
    <s v="Middle reef"/>
    <m/>
    <s v="Outer Slope"/>
    <m/>
    <m/>
    <m/>
    <s v="Algae "/>
    <x v="7"/>
    <m/>
    <m/>
    <n v="2.6"/>
    <m/>
    <m/>
  </r>
  <r>
    <s v="Ahamada et al. 2002"/>
    <x v="5"/>
    <x v="1"/>
    <n v="2000"/>
    <s v="After"/>
    <x v="0"/>
    <s v="Silhouette Island"/>
    <s v="Silhouette"/>
    <m/>
    <s v="Reef Flat"/>
    <m/>
    <m/>
    <m/>
    <s v="Hard Coral"/>
    <x v="0"/>
    <m/>
    <m/>
    <n v="9"/>
    <m/>
    <m/>
  </r>
  <r>
    <s v="Ahamada et al. 2002"/>
    <x v="5"/>
    <x v="1"/>
    <n v="2000"/>
    <s v="After"/>
    <x v="0"/>
    <s v="Silhouette Island"/>
    <s v="Silhouette"/>
    <m/>
    <s v="Reef Flat"/>
    <m/>
    <m/>
    <m/>
    <s v="Algae "/>
    <x v="7"/>
    <m/>
    <m/>
    <n v="0.5"/>
    <m/>
    <m/>
  </r>
  <r>
    <s v="Ahamada et al. 2002"/>
    <x v="5"/>
    <x v="1"/>
    <n v="2000"/>
    <s v="After"/>
    <x v="0"/>
    <s v="Silhouette Island"/>
    <s v="Silhouette"/>
    <m/>
    <s v="Outer Slope"/>
    <m/>
    <m/>
    <m/>
    <s v="Hard Coral"/>
    <x v="0"/>
    <m/>
    <m/>
    <n v="31.9"/>
    <m/>
    <m/>
  </r>
  <r>
    <s v="Ahamada et al. 2002"/>
    <x v="5"/>
    <x v="1"/>
    <n v="2000"/>
    <s v="After"/>
    <x v="0"/>
    <s v="Silhouette Island"/>
    <s v="Silhouette"/>
    <m/>
    <s v="Outer Slope"/>
    <m/>
    <m/>
    <m/>
    <s v="Algae "/>
    <x v="7"/>
    <m/>
    <m/>
    <n v="0.5"/>
    <m/>
    <m/>
  </r>
  <r>
    <s v="Ahamada et al. 2002"/>
    <x v="5"/>
    <x v="1"/>
    <n v="2001"/>
    <s v="After"/>
    <x v="0"/>
    <s v="Mahe - Bay Ternay"/>
    <s v="Middle reef"/>
    <m/>
    <s v="Outer Slope"/>
    <m/>
    <m/>
    <m/>
    <s v="Hard Coral"/>
    <x v="0"/>
    <m/>
    <m/>
    <n v="6.7"/>
    <m/>
    <m/>
  </r>
  <r>
    <s v="Ahamada et al. 2002"/>
    <x v="5"/>
    <x v="1"/>
    <n v="2001"/>
    <s v="After"/>
    <x v="0"/>
    <s v="Mahe - Bay Ternay"/>
    <s v="Middle reef"/>
    <m/>
    <s v="Outer Slope"/>
    <m/>
    <m/>
    <m/>
    <s v="Algae "/>
    <x v="7"/>
    <m/>
    <m/>
    <n v="0.2"/>
    <m/>
    <m/>
  </r>
  <r>
    <s v="Ahamada et al. 2002"/>
    <x v="5"/>
    <x v="1"/>
    <n v="2002"/>
    <s v="After"/>
    <x v="0"/>
    <s v="Mahe - Bay Ternay"/>
    <s v="Middle reef"/>
    <m/>
    <s v="Outer Slope"/>
    <m/>
    <m/>
    <m/>
    <s v="Hard Coral"/>
    <x v="0"/>
    <m/>
    <m/>
    <n v="20.100000000000001"/>
    <m/>
    <m/>
  </r>
  <r>
    <s v="Ahamada et al. 2002"/>
    <x v="5"/>
    <x v="1"/>
    <n v="2002"/>
    <s v="After"/>
    <x v="0"/>
    <s v="Mahe - Bay Ternay"/>
    <s v="Middle reef"/>
    <m/>
    <s v="Outer Slope"/>
    <m/>
    <m/>
    <m/>
    <s v="Algae "/>
    <x v="7"/>
    <m/>
    <m/>
    <n v="1.2"/>
    <m/>
    <m/>
  </r>
  <r>
    <s v="Ahamada et al. 2002"/>
    <x v="5"/>
    <x v="1"/>
    <n v="2002"/>
    <s v="After"/>
    <x v="0"/>
    <s v="Mahe - Ste Anne"/>
    <s v="Ile aux Cerf"/>
    <m/>
    <s v="Reef Flat"/>
    <m/>
    <m/>
    <m/>
    <s v="Hard Coral"/>
    <x v="0"/>
    <m/>
    <m/>
    <n v="5"/>
    <m/>
    <m/>
  </r>
  <r>
    <s v="Ahamada et al. 2002"/>
    <x v="5"/>
    <x v="1"/>
    <n v="2002"/>
    <s v="After"/>
    <x v="0"/>
    <s v="Mahe - Ste Anne"/>
    <s v="Ile aux Cerf"/>
    <m/>
    <s v="Reef Flat"/>
    <m/>
    <m/>
    <m/>
    <s v="Algae "/>
    <x v="7"/>
    <m/>
    <m/>
    <s v="-"/>
    <m/>
    <m/>
  </r>
  <r>
    <s v="Ahamada et al. 2002"/>
    <x v="5"/>
    <x v="1"/>
    <n v="2002"/>
    <s v="After"/>
    <x v="0"/>
    <s v="Mahe - Ste Anne"/>
    <s v="Ile aux Cerf"/>
    <m/>
    <s v="Outer Slope"/>
    <m/>
    <m/>
    <m/>
    <s v="Hard Coral"/>
    <x v="0"/>
    <m/>
    <m/>
    <n v="14.9"/>
    <m/>
    <m/>
  </r>
  <r>
    <s v="Ahamada et al. 2002"/>
    <x v="5"/>
    <x v="1"/>
    <n v="2002"/>
    <s v="After"/>
    <x v="0"/>
    <s v="Mahe - Ste Anne"/>
    <s v="Ile aux Cerf"/>
    <m/>
    <s v="Outer Slope"/>
    <m/>
    <m/>
    <m/>
    <s v="Algae "/>
    <x v="7"/>
    <m/>
    <m/>
    <n v="40.299999999999997"/>
    <m/>
    <m/>
  </r>
  <r>
    <s v="Ahamada et al. 2002"/>
    <x v="5"/>
    <x v="1"/>
    <n v="2002"/>
    <s v="After"/>
    <x v="0"/>
    <s v="Curieuse Island"/>
    <s v="Anse Papaie"/>
    <m/>
    <s v="Reef Flat"/>
    <m/>
    <m/>
    <m/>
    <s v="Hard Coral"/>
    <x v="0"/>
    <m/>
    <m/>
    <n v="2.5"/>
    <m/>
    <m/>
  </r>
  <r>
    <s v="Ahamada et al. 2002"/>
    <x v="5"/>
    <x v="1"/>
    <n v="2002"/>
    <s v="After"/>
    <x v="0"/>
    <s v="Curieuse Island"/>
    <s v="Anse Papaie"/>
    <m/>
    <s v="Reef Flat"/>
    <m/>
    <m/>
    <m/>
    <s v="Algae "/>
    <x v="7"/>
    <m/>
    <m/>
    <n v="9"/>
    <m/>
    <m/>
  </r>
  <r>
    <s v="Ahamada et al. 2002"/>
    <x v="5"/>
    <x v="1"/>
    <n v="2002"/>
    <s v="After"/>
    <x v="0"/>
    <s v="Curieuse Island"/>
    <s v="Anse Papaie"/>
    <m/>
    <s v="Outer Slope"/>
    <m/>
    <m/>
    <m/>
    <s v="Hard Coral"/>
    <x v="0"/>
    <m/>
    <m/>
    <n v="25.7"/>
    <m/>
    <m/>
  </r>
  <r>
    <s v="Ahamada et al. 2002"/>
    <x v="5"/>
    <x v="1"/>
    <n v="2002"/>
    <s v="After"/>
    <x v="0"/>
    <s v="Curieuse Island"/>
    <s v="Anse Papaie"/>
    <m/>
    <s v="Outer Slope"/>
    <m/>
    <m/>
    <m/>
    <s v="Algae "/>
    <x v="7"/>
    <m/>
    <m/>
    <n v="0.2"/>
    <m/>
    <m/>
  </r>
  <r>
    <s v="Ahamada et al. 2002"/>
    <x v="5"/>
    <x v="1"/>
    <n v="2002"/>
    <s v="After"/>
    <x v="0"/>
    <s v="Alphonse Island"/>
    <s v="Oasis 1"/>
    <m/>
    <s v="Reef Flat"/>
    <m/>
    <m/>
    <m/>
    <s v="Hard Coral"/>
    <x v="0"/>
    <m/>
    <m/>
    <n v="57.2"/>
    <m/>
    <m/>
  </r>
  <r>
    <s v="Ahamada et al. 2002"/>
    <x v="5"/>
    <x v="1"/>
    <n v="2002"/>
    <s v="After"/>
    <x v="0"/>
    <s v="Alphonse Island"/>
    <s v="Oasis 1"/>
    <m/>
    <s v="Reef Flat"/>
    <m/>
    <m/>
    <m/>
    <s v="Algae "/>
    <x v="7"/>
    <m/>
    <m/>
    <n v="0"/>
    <m/>
    <m/>
  </r>
  <r>
    <s v="Stobart et al. 2005"/>
    <x v="5"/>
    <x v="1"/>
    <n v="1999"/>
    <s v="After"/>
    <x v="0"/>
    <s v="Aldabra"/>
    <m/>
    <m/>
    <m/>
    <n v="10"/>
    <m/>
    <m/>
    <s v="Hard Coral"/>
    <x v="0"/>
    <m/>
    <m/>
    <n v="11.3"/>
    <m/>
    <n v="2.8"/>
  </r>
  <r>
    <s v="Stobart et al. 2005"/>
    <x v="5"/>
    <x v="1"/>
    <n v="1999"/>
    <s v="After"/>
    <x v="0"/>
    <s v="Aldabra"/>
    <m/>
    <m/>
    <m/>
    <n v="10"/>
    <m/>
    <m/>
    <s v="Soft coral"/>
    <x v="2"/>
    <m/>
    <m/>
    <n v="1.8"/>
    <m/>
    <n v="0.7"/>
  </r>
  <r>
    <s v="Stobart et al. 2005"/>
    <x v="5"/>
    <x v="1"/>
    <n v="1999"/>
    <s v="After"/>
    <x v="0"/>
    <s v="Aldabra"/>
    <m/>
    <m/>
    <m/>
    <n v="10"/>
    <m/>
    <m/>
    <s v="Coralline algae"/>
    <x v="1"/>
    <m/>
    <m/>
    <n v="12.3"/>
    <m/>
    <n v="2.8"/>
  </r>
  <r>
    <s v="Stobart et al. 2005"/>
    <x v="5"/>
    <x v="1"/>
    <n v="2001"/>
    <s v="After"/>
    <x v="0"/>
    <s v="Aldabra"/>
    <m/>
    <m/>
    <m/>
    <n v="10"/>
    <m/>
    <m/>
    <s v="Hard Coral"/>
    <x v="0"/>
    <m/>
    <m/>
    <n v="11.3"/>
    <m/>
    <n v="2.8"/>
  </r>
  <r>
    <s v="Stobart et al. 2005"/>
    <x v="5"/>
    <x v="1"/>
    <n v="2001"/>
    <s v="After"/>
    <x v="0"/>
    <s v="Aldabra"/>
    <m/>
    <m/>
    <m/>
    <n v="10"/>
    <m/>
    <m/>
    <s v="Soft coral"/>
    <x v="2"/>
    <m/>
    <m/>
    <n v="2"/>
    <m/>
    <n v="0.9"/>
  </r>
  <r>
    <s v="Stobart et al. 2005"/>
    <x v="5"/>
    <x v="1"/>
    <n v="2001"/>
    <s v="After"/>
    <x v="0"/>
    <s v="Aldabra"/>
    <m/>
    <m/>
    <m/>
    <n v="10"/>
    <m/>
    <m/>
    <s v="Coralline algae"/>
    <x v="1"/>
    <m/>
    <m/>
    <n v="19.899999999999999"/>
    <m/>
    <n v="4.0999999999999996"/>
  </r>
  <r>
    <s v="Stobart et al. 2005"/>
    <x v="5"/>
    <x v="1"/>
    <n v="2002"/>
    <s v="After"/>
    <x v="0"/>
    <s v="Aldabra"/>
    <m/>
    <m/>
    <m/>
    <n v="10"/>
    <m/>
    <m/>
    <s v="Hard Coral"/>
    <x v="0"/>
    <m/>
    <m/>
    <n v="11.2"/>
    <m/>
    <n v="2.7"/>
  </r>
  <r>
    <s v="Stobart et al. 2005"/>
    <x v="5"/>
    <x v="1"/>
    <n v="2002"/>
    <s v="After"/>
    <x v="0"/>
    <s v="Aldabra"/>
    <m/>
    <m/>
    <m/>
    <n v="10"/>
    <m/>
    <m/>
    <s v="Soft coral"/>
    <x v="2"/>
    <m/>
    <m/>
    <n v="2.2999999999999998"/>
    <m/>
    <n v="0.8"/>
  </r>
  <r>
    <s v="Stobart et al. 2005"/>
    <x v="5"/>
    <x v="1"/>
    <n v="2002"/>
    <s v="After"/>
    <x v="0"/>
    <s v="Aldabra"/>
    <m/>
    <m/>
    <m/>
    <n v="10"/>
    <m/>
    <m/>
    <s v="Coralline algae"/>
    <x v="1"/>
    <m/>
    <m/>
    <n v="26.8"/>
    <m/>
    <n v="4.5999999999999996"/>
  </r>
  <r>
    <s v="Stobart et al. 2005"/>
    <x v="5"/>
    <x v="1"/>
    <n v="2003"/>
    <s v="After"/>
    <x v="0"/>
    <s v="Aldabra"/>
    <m/>
    <m/>
    <m/>
    <n v="10"/>
    <m/>
    <m/>
    <s v="Hard Coral"/>
    <x v="0"/>
    <m/>
    <m/>
    <n v="11.6"/>
    <m/>
    <n v="2.8"/>
  </r>
  <r>
    <s v="Stobart et al. 2005"/>
    <x v="5"/>
    <x v="1"/>
    <n v="2003"/>
    <s v="After"/>
    <x v="0"/>
    <s v="Aldabra"/>
    <m/>
    <m/>
    <m/>
    <n v="10"/>
    <m/>
    <m/>
    <s v="Soft coral"/>
    <x v="2"/>
    <m/>
    <m/>
    <n v="2.9"/>
    <m/>
    <n v="1.2"/>
  </r>
  <r>
    <s v="Stobart et al. 2005"/>
    <x v="5"/>
    <x v="1"/>
    <n v="2003"/>
    <s v="After"/>
    <x v="0"/>
    <s v="Aldabra"/>
    <m/>
    <m/>
    <m/>
    <n v="10"/>
    <m/>
    <m/>
    <s v="Coralline algae"/>
    <x v="1"/>
    <m/>
    <m/>
    <n v="20.2"/>
    <m/>
    <n v="4"/>
  </r>
  <r>
    <s v="Stobart et al. 2005"/>
    <x v="5"/>
    <x v="1"/>
    <n v="1999"/>
    <s v="After"/>
    <x v="0"/>
    <s v="Aldabra"/>
    <m/>
    <m/>
    <m/>
    <n v="20"/>
    <m/>
    <m/>
    <s v="Hard Coral"/>
    <x v="0"/>
    <m/>
    <m/>
    <n v="20.3"/>
    <m/>
    <n v="4.4000000000000004"/>
  </r>
  <r>
    <s v="Stobart et al. 2005"/>
    <x v="5"/>
    <x v="1"/>
    <n v="1999"/>
    <s v="After"/>
    <x v="0"/>
    <s v="Aldabra"/>
    <m/>
    <m/>
    <m/>
    <n v="20"/>
    <m/>
    <m/>
    <s v="Soft coral"/>
    <x v="2"/>
    <m/>
    <m/>
    <n v="1.3"/>
    <m/>
    <n v="0.6"/>
  </r>
  <r>
    <s v="Stobart et al. 2005"/>
    <x v="5"/>
    <x v="1"/>
    <n v="1999"/>
    <s v="After"/>
    <x v="0"/>
    <s v="Aldabra"/>
    <m/>
    <m/>
    <m/>
    <n v="20"/>
    <m/>
    <m/>
    <s v="Coralline algae"/>
    <x v="1"/>
    <m/>
    <m/>
    <n v="8.1999999999999993"/>
    <m/>
    <n v="2.1"/>
  </r>
  <r>
    <s v="Stobart et al. 2005"/>
    <x v="5"/>
    <x v="1"/>
    <n v="2001"/>
    <s v="After"/>
    <x v="0"/>
    <s v="Aldabra"/>
    <m/>
    <m/>
    <m/>
    <n v="20"/>
    <m/>
    <m/>
    <s v="Hard Coral"/>
    <x v="0"/>
    <m/>
    <m/>
    <n v="21.1"/>
    <m/>
    <n v="4.5999999999999996"/>
  </r>
  <r>
    <s v="Stobart et al. 2005"/>
    <x v="5"/>
    <x v="1"/>
    <n v="2001"/>
    <s v="After"/>
    <x v="0"/>
    <s v="Aldabra"/>
    <m/>
    <m/>
    <m/>
    <n v="20"/>
    <m/>
    <m/>
    <s v="Soft coral"/>
    <x v="2"/>
    <m/>
    <m/>
    <n v="1.8"/>
    <m/>
    <n v="0.8"/>
  </r>
  <r>
    <s v="Stobart et al. 2005"/>
    <x v="5"/>
    <x v="1"/>
    <n v="2001"/>
    <s v="After"/>
    <x v="0"/>
    <s v="Aldabra"/>
    <m/>
    <m/>
    <m/>
    <n v="20"/>
    <m/>
    <m/>
    <s v="Coralline algae"/>
    <x v="1"/>
    <m/>
    <m/>
    <n v="10.5"/>
    <m/>
    <n v="1.9"/>
  </r>
  <r>
    <s v="Stobart et al. 2005"/>
    <x v="5"/>
    <x v="1"/>
    <n v="2002"/>
    <s v="After"/>
    <x v="0"/>
    <s v="Aldabra"/>
    <m/>
    <m/>
    <m/>
    <n v="20"/>
    <m/>
    <m/>
    <s v="Hard Coral"/>
    <x v="0"/>
    <m/>
    <m/>
    <n v="19.3"/>
    <m/>
    <n v="4.3"/>
  </r>
  <r>
    <s v="Stobart et al. 2005"/>
    <x v="5"/>
    <x v="1"/>
    <n v="2002"/>
    <s v="After"/>
    <x v="0"/>
    <s v="Aldabra"/>
    <m/>
    <m/>
    <m/>
    <n v="20"/>
    <m/>
    <m/>
    <s v="Soft coral"/>
    <x v="2"/>
    <m/>
    <m/>
    <n v="1.7"/>
    <m/>
    <n v="0.9"/>
  </r>
  <r>
    <s v="Stobart et al. 2005"/>
    <x v="5"/>
    <x v="1"/>
    <n v="2002"/>
    <s v="After"/>
    <x v="0"/>
    <s v="Aldabra"/>
    <m/>
    <m/>
    <m/>
    <n v="20"/>
    <m/>
    <m/>
    <s v="Coralline algae"/>
    <x v="1"/>
    <m/>
    <m/>
    <n v="13.4"/>
    <m/>
    <n v="3.2"/>
  </r>
  <r>
    <s v="Stobart et al. 2005"/>
    <x v="5"/>
    <x v="1"/>
    <n v="2003"/>
    <s v="After"/>
    <x v="0"/>
    <s v="Aldabra"/>
    <m/>
    <m/>
    <m/>
    <n v="20"/>
    <m/>
    <m/>
    <s v="Hard Coral"/>
    <x v="0"/>
    <m/>
    <m/>
    <n v="18.8"/>
    <m/>
    <n v="4.2"/>
  </r>
  <r>
    <s v="Stobart et al. 2005"/>
    <x v="5"/>
    <x v="1"/>
    <n v="2003"/>
    <s v="After"/>
    <x v="0"/>
    <s v="Aldabra"/>
    <m/>
    <m/>
    <m/>
    <n v="20"/>
    <m/>
    <m/>
    <s v="Soft coral"/>
    <x v="2"/>
    <m/>
    <m/>
    <n v="2"/>
    <m/>
    <n v="0.9"/>
  </r>
  <r>
    <s v="Stobart et al. 2005"/>
    <x v="5"/>
    <x v="1"/>
    <n v="2003"/>
    <s v="After"/>
    <x v="0"/>
    <s v="Aldabra"/>
    <m/>
    <m/>
    <m/>
    <n v="20"/>
    <m/>
    <m/>
    <s v="Coralline algae"/>
    <x v="1"/>
    <m/>
    <m/>
    <n v="11.2"/>
    <m/>
    <n v="2.1"/>
  </r>
  <r>
    <s v="Climate Warming, Marine Protected Areas and the_x000a_Ocean-Scale Integrity of Coral Reef Ecosystems"/>
    <x v="5"/>
    <x v="1"/>
    <s v="pre-1998"/>
    <s v="Before"/>
    <x v="0"/>
    <m/>
    <s v="Carbonate reefs"/>
    <m/>
    <m/>
    <m/>
    <m/>
    <m/>
    <s v="Hard Coral"/>
    <x v="0"/>
    <m/>
    <m/>
    <n v="34.6"/>
    <m/>
    <n v="2.7"/>
  </r>
  <r>
    <s v="Climate Warming, Marine Protected Areas and the_x000a_Ocean-Scale Integrity of Coral Reef Ecosystems"/>
    <x v="5"/>
    <x v="1"/>
    <n v="2005"/>
    <s v="After"/>
    <x v="0"/>
    <m/>
    <s v="Carbonate reefs"/>
    <m/>
    <m/>
    <m/>
    <m/>
    <m/>
    <s v="Hard Coral"/>
    <x v="0"/>
    <m/>
    <m/>
    <n v="5.6"/>
    <m/>
    <n v="3.1"/>
  </r>
  <r>
    <s v="Climate Warming, Marine Protected Areas and the_x000a_Ocean-Scale Integrity of Coral Reef Ecosystems"/>
    <x v="5"/>
    <x v="1"/>
    <s v="pre-1998"/>
    <s v="Before"/>
    <x v="0"/>
    <m/>
    <s v="Granite reefs"/>
    <m/>
    <m/>
    <m/>
    <m/>
    <m/>
    <s v="Hard Coral"/>
    <x v="0"/>
    <m/>
    <m/>
    <n v="14.8"/>
    <m/>
    <n v="2"/>
  </r>
  <r>
    <s v="Climate Warming, Marine Protected Areas and the_x000a_Ocean-Scale Integrity of Coral Reef Ecosystems"/>
    <x v="5"/>
    <x v="1"/>
    <n v="2005"/>
    <s v="After"/>
    <x v="0"/>
    <m/>
    <s v="Granite reefs"/>
    <m/>
    <m/>
    <m/>
    <m/>
    <m/>
    <s v="Hard Coral"/>
    <x v="0"/>
    <m/>
    <m/>
    <n v="8.1999999999999993"/>
    <m/>
    <n v="2.2999999999999998"/>
  </r>
  <r>
    <s v="Climate Warming, Marine Protected Areas and the_x000a_Ocean-Scale Integrity of Coral Reef Ecosystems"/>
    <x v="5"/>
    <x v="1"/>
    <s v="pre-1998"/>
    <s v="Before"/>
    <x v="0"/>
    <m/>
    <s v="Patch reefs"/>
    <m/>
    <m/>
    <m/>
    <m/>
    <m/>
    <s v="Hard Coral"/>
    <x v="0"/>
    <m/>
    <m/>
    <n v="20"/>
    <m/>
    <n v="1.5"/>
  </r>
  <r>
    <s v="Climate Warming, Marine Protected Areas and the_x000a_Ocean-Scale Integrity of Coral Reef Ecosystems"/>
    <x v="5"/>
    <x v="1"/>
    <n v="2005"/>
    <s v="After"/>
    <x v="0"/>
    <m/>
    <s v="Patch reefs"/>
    <m/>
    <m/>
    <m/>
    <m/>
    <m/>
    <s v="Hard Coral"/>
    <x v="0"/>
    <m/>
    <m/>
    <n v="10.9"/>
    <m/>
    <n v="5.0999999999999996"/>
  </r>
  <r>
    <s v="Climate Warming, Marine Protected Areas and the_x000a_Ocean-Scale Integrity of Coral Reef Ecosystems"/>
    <x v="5"/>
    <x v="1"/>
    <s v="pre-1998"/>
    <s v="Before"/>
    <x v="0"/>
    <m/>
    <s v="Patch protected"/>
    <m/>
    <m/>
    <m/>
    <m/>
    <m/>
    <s v="Hard Coral"/>
    <x v="0"/>
    <m/>
    <m/>
    <n v="46.4"/>
    <m/>
    <n v="7.8"/>
  </r>
  <r>
    <s v="Climate Warming, Marine Protected Areas and the_x000a_Ocean-Scale Integrity of Coral Reef Ecosystems"/>
    <x v="5"/>
    <x v="1"/>
    <n v="2005"/>
    <s v="After"/>
    <x v="0"/>
    <m/>
    <s v="Patch protected"/>
    <m/>
    <m/>
    <m/>
    <m/>
    <m/>
    <s v="Hard Coral"/>
    <x v="0"/>
    <m/>
    <m/>
    <n v="26.8"/>
    <m/>
    <n v="8.1"/>
  </r>
  <r>
    <s v="Coral Communities around_x000a_the Seychelles Islands 1998–2002"/>
    <x v="5"/>
    <x v="1"/>
    <n v="2002"/>
    <s v="After"/>
    <x v="0"/>
    <m/>
    <s v="Inner Granitic islands"/>
    <m/>
    <m/>
    <m/>
    <m/>
    <m/>
    <s v="Hard Coral"/>
    <x v="0"/>
    <m/>
    <n v="40"/>
    <n v="5"/>
    <m/>
    <m/>
  </r>
  <r>
    <s v="Coral Communities around_x000a_the Seychelles Islands 1998–2003"/>
    <x v="5"/>
    <x v="1"/>
    <n v="2000"/>
    <s v="After"/>
    <x v="0"/>
    <m/>
    <s v="Inner Granitic islands"/>
    <m/>
    <m/>
    <m/>
    <m/>
    <m/>
    <s v="Hard Coral"/>
    <x v="0"/>
    <m/>
    <n v="22"/>
    <n v="3"/>
    <m/>
    <m/>
  </r>
  <r>
    <s v="Spalding &amp; Jarvis 2002"/>
    <x v="5"/>
    <x v="1"/>
    <n v="1998"/>
    <s v="During"/>
    <x v="0"/>
    <s v="Southern Sychelles"/>
    <s v="West alphonse"/>
    <m/>
    <m/>
    <m/>
    <m/>
    <m/>
    <s v="Fleshy Algae"/>
    <x v="1"/>
    <m/>
    <m/>
    <n v="20"/>
    <m/>
    <m/>
  </r>
  <r>
    <s v="Spalding &amp; Jarvis 2002"/>
    <x v="5"/>
    <x v="1"/>
    <n v="1999"/>
    <s v="After"/>
    <x v="0"/>
    <s v="Southern Sychelles"/>
    <s v="west alphonse"/>
    <m/>
    <m/>
    <m/>
    <m/>
    <m/>
    <s v="Fleshy Algae"/>
    <x v="1"/>
    <m/>
    <m/>
    <n v="39"/>
    <m/>
    <m/>
  </r>
  <r>
    <s v="Spalding &amp; Jarvis 2002"/>
    <x v="5"/>
    <x v="1"/>
    <n v="1998"/>
    <s v="During"/>
    <x v="0"/>
    <s v="St Pierre island"/>
    <s v="North st pierre"/>
    <m/>
    <m/>
    <m/>
    <m/>
    <m/>
    <s v="Fleshy Algae"/>
    <x v="1"/>
    <m/>
    <m/>
    <n v="9"/>
    <m/>
    <m/>
  </r>
  <r>
    <s v="Spalding &amp; Jarvis 2002"/>
    <x v="5"/>
    <x v="1"/>
    <n v="1999"/>
    <s v="After"/>
    <x v="0"/>
    <s v="St Pierre island"/>
    <s v="North st pierre"/>
    <m/>
    <m/>
    <m/>
    <m/>
    <m/>
    <s v="Fleshy Algae"/>
    <x v="1"/>
    <m/>
    <m/>
    <n v="55"/>
    <m/>
    <m/>
  </r>
  <r>
    <s v="Spalding &amp; Jarvis 2002"/>
    <x v="5"/>
    <x v="1"/>
    <n v="1998"/>
    <s v="During"/>
    <x v="0"/>
    <s v="St Pierre island"/>
    <s v="South st pierre"/>
    <m/>
    <m/>
    <m/>
    <m/>
    <m/>
    <s v="Fleshy Algae"/>
    <x v="1"/>
    <m/>
    <m/>
    <n v="11"/>
    <m/>
    <m/>
  </r>
  <r>
    <s v="Spalding &amp; Jarvis 2002"/>
    <x v="5"/>
    <x v="1"/>
    <n v="1999"/>
    <s v="After"/>
    <x v="0"/>
    <s v="St Pierre island"/>
    <s v="South st pierre"/>
    <m/>
    <m/>
    <m/>
    <m/>
    <m/>
    <s v="Fleshy Algae"/>
    <x v="1"/>
    <m/>
    <m/>
    <n v="19"/>
    <m/>
    <m/>
  </r>
  <r>
    <s v="Spalding &amp; Jarvis 2002"/>
    <x v="5"/>
    <x v="1"/>
    <n v="1997"/>
    <s v="Before"/>
    <x v="0"/>
    <s v="Granitic Seychelles"/>
    <s v="West cousine"/>
    <m/>
    <m/>
    <m/>
    <m/>
    <m/>
    <s v="Fleshy Algae"/>
    <x v="1"/>
    <m/>
    <m/>
    <n v="15"/>
    <m/>
    <m/>
  </r>
  <r>
    <s v="Spalding &amp; Jarvis 2002"/>
    <x v="5"/>
    <x v="1"/>
    <n v="1998"/>
    <s v="During"/>
    <x v="0"/>
    <s v="Granitic Seychelles"/>
    <s v="West cousine"/>
    <m/>
    <m/>
    <m/>
    <m/>
    <m/>
    <s v="Fleshy Algae"/>
    <x v="1"/>
    <m/>
    <m/>
    <n v="53"/>
    <m/>
    <m/>
  </r>
  <r>
    <s v="Spalding &amp; Jarvis 2002"/>
    <x v="5"/>
    <x v="1"/>
    <n v="1999"/>
    <s v="After"/>
    <x v="0"/>
    <s v="Granitic Seychelles"/>
    <s v="West cousine"/>
    <m/>
    <m/>
    <m/>
    <m/>
    <m/>
    <s v="Fleshy Algae"/>
    <x v="1"/>
    <m/>
    <m/>
    <n v="30"/>
    <m/>
    <m/>
  </r>
  <r>
    <s v="Graham et al. (2008)"/>
    <x v="5"/>
    <x v="10"/>
    <s v="mid - 1990s"/>
    <s v="Before"/>
    <x v="2"/>
    <s v="Carbonate Reefs"/>
    <m/>
    <m/>
    <m/>
    <m/>
    <m/>
    <m/>
    <s v="Hard Coral"/>
    <x v="0"/>
    <m/>
    <n v="5"/>
    <n v="34.6"/>
    <m/>
    <n v="207"/>
  </r>
  <r>
    <s v="Graham et al. (2008)"/>
    <x v="5"/>
    <x v="10"/>
    <s v="mid - 1990s"/>
    <s v="Before"/>
    <x v="2"/>
    <s v="Carbonate Protected"/>
    <m/>
    <m/>
    <m/>
    <m/>
    <m/>
    <m/>
    <s v="Hard Coral"/>
    <x v="0"/>
    <m/>
    <n v="2"/>
    <n v="44.9"/>
    <m/>
    <n v="4.8"/>
  </r>
  <r>
    <s v="Graham et al. (2008)"/>
    <x v="5"/>
    <x v="10"/>
    <s v="mid - 1990s"/>
    <s v="Before"/>
    <x v="2"/>
    <s v="Granite Reefs"/>
    <m/>
    <m/>
    <m/>
    <m/>
    <m/>
    <m/>
    <s v="Hard Coral"/>
    <x v="0"/>
    <m/>
    <n v="5"/>
    <n v="14.8"/>
    <m/>
    <n v="2"/>
  </r>
  <r>
    <s v="Graham et al. (2008)"/>
    <x v="5"/>
    <x v="10"/>
    <s v="mid - 1990s"/>
    <s v="Before"/>
    <x v="2"/>
    <s v="Granite Protected"/>
    <m/>
    <m/>
    <m/>
    <m/>
    <m/>
    <m/>
    <s v="Hard Coral"/>
    <x v="0"/>
    <m/>
    <n v="2"/>
    <n v="30.9"/>
    <m/>
    <n v="7.6"/>
  </r>
  <r>
    <s v="Graham et al. (2008)"/>
    <x v="5"/>
    <x v="10"/>
    <s v="mid - 1990s"/>
    <s v="Before"/>
    <x v="2"/>
    <s v="Patch Reefs"/>
    <m/>
    <m/>
    <m/>
    <m/>
    <m/>
    <m/>
    <s v="Hard Coral"/>
    <x v="0"/>
    <m/>
    <n v="5"/>
    <n v="20"/>
    <m/>
    <n v="1.5"/>
  </r>
  <r>
    <s v="Graham et al. (2008)"/>
    <x v="5"/>
    <x v="10"/>
    <s v="mid - 1990s"/>
    <s v="Before"/>
    <x v="2"/>
    <s v="Patch Protected"/>
    <m/>
    <m/>
    <m/>
    <m/>
    <m/>
    <m/>
    <s v="Hard Coral"/>
    <x v="0"/>
    <m/>
    <n v="2"/>
    <n v="46.4"/>
    <m/>
    <n v="7.8"/>
  </r>
  <r>
    <s v="Chabanet et al. 1997"/>
    <x v="6"/>
    <x v="1"/>
    <s v="1991/1992"/>
    <s v="Before"/>
    <x v="0"/>
    <s v="St-Gilles/La Saline reef complex"/>
    <s v="Saint Gilles/Trois-Chameaux/ Passe de l’Hermitage/Club Mediterranee/Planch’Alizees/ Passe de Trois-Bassins"/>
    <m/>
    <m/>
    <m/>
    <s v="21°07 S"/>
    <s v="55°32 E"/>
    <s v="Live Coral"/>
    <x v="0"/>
    <m/>
    <n v="6"/>
    <n v="31"/>
    <n v="19"/>
    <m/>
  </r>
  <r>
    <s v="Chabanet et al. 1997"/>
    <x v="6"/>
    <x v="1"/>
    <s v="1991/1992"/>
    <s v="Before"/>
    <x v="0"/>
    <s v="St-Gilles/La Saline reef complex"/>
    <s v="Saint Gilles/Trois-Chameaux/ Passe de l’Hermitage/Club Mediterranee/Planch’Alizees/ Passe de Trois-Bassins"/>
    <m/>
    <m/>
    <m/>
    <s v="21°07 S"/>
    <s v="55°32 E"/>
    <s v="Algae "/>
    <x v="1"/>
    <m/>
    <n v="6"/>
    <n v="30"/>
    <n v="20"/>
    <m/>
  </r>
  <r>
    <s v="Jennings et al. 1995"/>
    <x v="5"/>
    <x v="10"/>
    <m/>
    <s v="Before"/>
    <x v="2"/>
    <s v="Reefs surrounding the granitic islands of Mahe and Praslin"/>
    <s v="Habitat 1"/>
    <m/>
    <s v="Well-developed fringing reef with a carbonate framework"/>
    <m/>
    <m/>
    <m/>
    <s v="Coral cover"/>
    <x v="0"/>
    <m/>
    <m/>
    <n v="34.1"/>
    <n v="11.11"/>
    <m/>
  </r>
  <r>
    <s v="Jennings et al. 1995"/>
    <x v="5"/>
    <x v="10"/>
    <m/>
    <s v="Before"/>
    <x v="2"/>
    <s v="Reefs surrounding the granitic islands of Mahe and Praslin"/>
    <s v="Habitat 2"/>
    <m/>
    <s v="Coral growth on a granitic substrate in exposed locations"/>
    <m/>
    <m/>
    <m/>
    <s v="Coral cover"/>
    <x v="0"/>
    <m/>
    <m/>
    <n v="24.6"/>
    <n v="10.91"/>
    <m/>
  </r>
  <r>
    <s v="Jennings et al. 1995"/>
    <x v="5"/>
    <x v="10"/>
    <m/>
    <s v="Before"/>
    <x v="2"/>
    <s v="Reefs surrounding the granitic islands of Mahe and Praslin"/>
    <s v="Habitat 3"/>
    <m/>
    <s v="small rock and coral patch reefs on a predominantly sandy substrate"/>
    <m/>
    <m/>
    <m/>
    <s v="Coral cover"/>
    <x v="0"/>
    <m/>
    <m/>
    <n v="19.22"/>
    <n v="7.1"/>
    <m/>
  </r>
  <r>
    <s v="Ahamada et al. 2002"/>
    <x v="6"/>
    <x v="11"/>
    <n v="1999"/>
    <s v="After"/>
    <x v="2"/>
    <s v="St Gilles"/>
    <s v="Toboggan / Planch"/>
    <m/>
    <s v="Reef Flat"/>
    <m/>
    <m/>
    <m/>
    <s v="Hard Coral"/>
    <x v="0"/>
    <m/>
    <m/>
    <n v="35.5"/>
    <m/>
    <m/>
  </r>
  <r>
    <s v="Ahamada et al. 2002"/>
    <x v="6"/>
    <x v="1"/>
    <n v="1999"/>
    <s v="After"/>
    <x v="0"/>
    <s v="St Gilles"/>
    <s v="Toboggan / Planch"/>
    <m/>
    <s v="Reef Flat"/>
    <m/>
    <m/>
    <m/>
    <s v="Algae "/>
    <x v="7"/>
    <m/>
    <m/>
    <n v="15.3"/>
    <m/>
    <m/>
  </r>
  <r>
    <s v="Ahamada et al. 2002"/>
    <x v="6"/>
    <x v="11"/>
    <n v="1999"/>
    <s v="After"/>
    <x v="2"/>
    <s v="St Gilles"/>
    <s v="Toboggan / Planch"/>
    <m/>
    <s v="Outer Slope"/>
    <m/>
    <m/>
    <m/>
    <s v="Hard Coral"/>
    <x v="0"/>
    <m/>
    <m/>
    <n v="40.6"/>
    <m/>
    <m/>
  </r>
  <r>
    <s v="Ahamada et al. 2002"/>
    <x v="6"/>
    <x v="1"/>
    <n v="1999"/>
    <s v="After"/>
    <x v="0"/>
    <s v="St Gilles"/>
    <s v="Toboggan / Planch"/>
    <m/>
    <s v="Outer Slope"/>
    <m/>
    <m/>
    <m/>
    <s v="Algae "/>
    <x v="7"/>
    <m/>
    <m/>
    <n v="45.5"/>
    <m/>
    <m/>
  </r>
  <r>
    <s v="Ahamada et al. 2002"/>
    <x v="6"/>
    <x v="11"/>
    <n v="1999"/>
    <s v="After"/>
    <x v="2"/>
    <s v="St Leu"/>
    <s v="Corne Nord / Varangue"/>
    <m/>
    <s v="Reef Flat"/>
    <m/>
    <m/>
    <m/>
    <s v="Hard Coral"/>
    <x v="0"/>
    <m/>
    <m/>
    <n v="54.1"/>
    <m/>
    <m/>
  </r>
  <r>
    <s v="Ahamada et al. 2002"/>
    <x v="6"/>
    <x v="1"/>
    <n v="1999"/>
    <s v="After"/>
    <x v="0"/>
    <s v="St Leu"/>
    <s v="Corne Nord / Varangue"/>
    <m/>
    <s v="Reef Flat"/>
    <m/>
    <m/>
    <m/>
    <s v="Algae "/>
    <x v="7"/>
    <m/>
    <m/>
    <n v="21.3"/>
    <m/>
    <m/>
  </r>
  <r>
    <s v="Ahamada et al. 2002"/>
    <x v="6"/>
    <x v="11"/>
    <n v="1999"/>
    <s v="After"/>
    <x v="2"/>
    <s v="St Leu"/>
    <s v="Corne Nord / Varangue"/>
    <m/>
    <s v="Outer Slope"/>
    <m/>
    <m/>
    <m/>
    <s v="Hard Coral"/>
    <x v="0"/>
    <m/>
    <m/>
    <n v="59.8"/>
    <m/>
    <m/>
  </r>
  <r>
    <s v="Ahamada et al. 2002"/>
    <x v="6"/>
    <x v="1"/>
    <n v="1999"/>
    <s v="After"/>
    <x v="0"/>
    <s v="St Leu"/>
    <s v="Corne Nord / Varangue"/>
    <m/>
    <s v="Outer Slope"/>
    <m/>
    <m/>
    <m/>
    <s v="Algae "/>
    <x v="7"/>
    <m/>
    <m/>
    <n v="31"/>
    <m/>
    <m/>
  </r>
  <r>
    <s v="Ahamada et al. 2002"/>
    <x v="6"/>
    <x v="1"/>
    <n v="2000"/>
    <s v="After"/>
    <x v="0"/>
    <s v="St Gilles"/>
    <s v="Toboggan / Planch"/>
    <m/>
    <s v="Reef Flat"/>
    <m/>
    <m/>
    <m/>
    <s v="Hard Coral"/>
    <x v="0"/>
    <m/>
    <m/>
    <n v="32.4"/>
    <m/>
    <m/>
  </r>
  <r>
    <s v="Ahamada et al. 2002"/>
    <x v="6"/>
    <x v="1"/>
    <n v="2000"/>
    <s v="After"/>
    <x v="0"/>
    <s v="St Gilles"/>
    <s v="Toboggan / Planch"/>
    <m/>
    <s v="Reef Flat"/>
    <m/>
    <m/>
    <m/>
    <s v="Algae "/>
    <x v="7"/>
    <m/>
    <m/>
    <n v="31.5"/>
    <m/>
    <m/>
  </r>
  <r>
    <s v="Ahamada et al. 2002"/>
    <x v="6"/>
    <x v="1"/>
    <n v="2000"/>
    <s v="After"/>
    <x v="0"/>
    <s v="St Gilles"/>
    <s v="Toboggan / Planch"/>
    <m/>
    <s v="Outer Slope"/>
    <m/>
    <m/>
    <m/>
    <s v="Hard Coral"/>
    <x v="0"/>
    <m/>
    <m/>
    <n v="44.7"/>
    <m/>
    <m/>
  </r>
  <r>
    <s v="Ahamada et al. 2002"/>
    <x v="6"/>
    <x v="1"/>
    <n v="2000"/>
    <s v="After"/>
    <x v="0"/>
    <s v="St Gilles"/>
    <s v="Toboggan / Planch"/>
    <m/>
    <s v="Outer Slope"/>
    <m/>
    <m/>
    <m/>
    <s v="Algae "/>
    <x v="7"/>
    <m/>
    <m/>
    <n v="45"/>
    <m/>
    <m/>
  </r>
  <r>
    <s v="Ahamada et al. 2002"/>
    <x v="6"/>
    <x v="1"/>
    <n v="2000"/>
    <s v="After"/>
    <x v="0"/>
    <s v="St Leu"/>
    <s v="Corne Nord / Varangue"/>
    <m/>
    <s v="Reef Flat"/>
    <m/>
    <m/>
    <m/>
    <s v="Hard Coral"/>
    <x v="0"/>
    <m/>
    <m/>
    <n v="50"/>
    <m/>
    <m/>
  </r>
  <r>
    <s v="Ahamada et al. 2002"/>
    <x v="6"/>
    <x v="1"/>
    <n v="2000"/>
    <s v="After"/>
    <x v="0"/>
    <s v="St Leu"/>
    <s v="Corne Nord / Varangue"/>
    <m/>
    <s v="Reef Flat"/>
    <m/>
    <m/>
    <m/>
    <s v="Algae "/>
    <x v="7"/>
    <m/>
    <m/>
    <n v="30.4"/>
    <m/>
    <m/>
  </r>
  <r>
    <s v="Ahamada et al. 2002"/>
    <x v="6"/>
    <x v="1"/>
    <n v="2000"/>
    <s v="After"/>
    <x v="0"/>
    <s v="St Leu"/>
    <s v="Corne Nord / Varangue"/>
    <m/>
    <s v="Outer Slope"/>
    <m/>
    <m/>
    <m/>
    <s v="Hard Coral"/>
    <x v="0"/>
    <m/>
    <m/>
    <n v="62.2"/>
    <m/>
    <m/>
  </r>
  <r>
    <s v="Ahamada et al. 2002"/>
    <x v="6"/>
    <x v="1"/>
    <n v="2000"/>
    <s v="After"/>
    <x v="0"/>
    <s v="St Leu"/>
    <s v="Corne Nord / Varangue"/>
    <m/>
    <s v="Outer Slope"/>
    <m/>
    <m/>
    <m/>
    <s v="Algae "/>
    <x v="7"/>
    <m/>
    <m/>
    <n v="33.799999999999997"/>
    <m/>
    <m/>
  </r>
  <r>
    <s v="Ahamada et al. 2002"/>
    <x v="6"/>
    <x v="11"/>
    <n v="2000"/>
    <s v="After"/>
    <x v="2"/>
    <s v="Etang Sale"/>
    <s v="Bassin Pirogue"/>
    <m/>
    <s v="Reef Flat"/>
    <m/>
    <m/>
    <m/>
    <s v="Hard Coral"/>
    <x v="0"/>
    <m/>
    <m/>
    <n v="50.3"/>
    <m/>
    <m/>
  </r>
  <r>
    <s v="Ahamada et al. 2002"/>
    <x v="6"/>
    <x v="1"/>
    <n v="2000"/>
    <s v="After"/>
    <x v="0"/>
    <s v="Etang Sale"/>
    <s v="Bassin Pirogue"/>
    <m/>
    <s v="Reef Flat"/>
    <m/>
    <m/>
    <m/>
    <s v="Algae "/>
    <x v="7"/>
    <m/>
    <m/>
    <n v="9.4"/>
    <m/>
    <m/>
  </r>
  <r>
    <s v="Ahamada et al. 2002"/>
    <x v="6"/>
    <x v="11"/>
    <n v="2000"/>
    <s v="After"/>
    <x v="2"/>
    <s v="Etang Sale"/>
    <s v="Bassin Pirogue"/>
    <m/>
    <s v="Outer Slope"/>
    <m/>
    <m/>
    <m/>
    <s v="Hard Coral"/>
    <x v="0"/>
    <m/>
    <m/>
    <n v="57.8"/>
    <m/>
    <m/>
  </r>
  <r>
    <s v="Ahamada et al. 2002"/>
    <x v="6"/>
    <x v="1"/>
    <n v="2000"/>
    <s v="After"/>
    <x v="0"/>
    <s v="Etang Sale"/>
    <s v="Bassin Pirogue"/>
    <m/>
    <s v="Outer Slope"/>
    <m/>
    <m/>
    <m/>
    <s v="Algae "/>
    <x v="7"/>
    <m/>
    <m/>
    <n v="31.8"/>
    <m/>
    <m/>
  </r>
  <r>
    <s v="Ahamada et al. 2002"/>
    <x v="6"/>
    <x v="11"/>
    <n v="2000"/>
    <s v="After"/>
    <x v="2"/>
    <s v="St Pierre"/>
    <s v="Ravine Blanche"/>
    <m/>
    <s v="Reef Flat"/>
    <m/>
    <m/>
    <m/>
    <s v="Hard Coral"/>
    <x v="0"/>
    <m/>
    <m/>
    <n v="58.1"/>
    <m/>
    <m/>
  </r>
  <r>
    <s v="Ahamada et al. 2002"/>
    <x v="6"/>
    <x v="1"/>
    <n v="2000"/>
    <s v="After"/>
    <x v="0"/>
    <s v="St Pierre"/>
    <s v="Ravine Blanche"/>
    <m/>
    <s v="Reef Flat"/>
    <m/>
    <m/>
    <m/>
    <s v="Algae "/>
    <x v="7"/>
    <m/>
    <m/>
    <n v="18.899999999999999"/>
    <m/>
    <m/>
  </r>
  <r>
    <s v="Ahamada et al. 2002"/>
    <x v="6"/>
    <x v="1"/>
    <n v="2000"/>
    <s v="After"/>
    <x v="0"/>
    <s v="St Pierre"/>
    <s v="Ravine Blanche"/>
    <m/>
    <s v="Outer Slope"/>
    <m/>
    <m/>
    <m/>
    <s v="Hard Coral"/>
    <x v="0"/>
    <m/>
    <m/>
    <n v="34.4"/>
    <m/>
    <m/>
  </r>
  <r>
    <s v="Ahamada et al. 2002"/>
    <x v="6"/>
    <x v="1"/>
    <n v="2000"/>
    <s v="After"/>
    <x v="0"/>
    <s v="St Pierre"/>
    <s v="Ravine Blanche"/>
    <m/>
    <s v="Outer Slope"/>
    <m/>
    <m/>
    <m/>
    <s v="Algae "/>
    <x v="7"/>
    <m/>
    <m/>
    <n v="53.7"/>
    <m/>
    <m/>
  </r>
  <r>
    <s v="Ahamada et al. 2002"/>
    <x v="6"/>
    <x v="1"/>
    <n v="2001"/>
    <s v="After"/>
    <x v="0"/>
    <s v="St Gilles"/>
    <s v="Toboggan / Planch"/>
    <m/>
    <s v="Reef Flat"/>
    <m/>
    <m/>
    <m/>
    <s v="Hard Coral"/>
    <x v="0"/>
    <m/>
    <m/>
    <n v="37.9"/>
    <m/>
    <m/>
  </r>
  <r>
    <s v="Ahamada et al. 2002"/>
    <x v="6"/>
    <x v="1"/>
    <n v="2001"/>
    <s v="After"/>
    <x v="0"/>
    <s v="St Gilles"/>
    <s v="Toboggan / Planch"/>
    <m/>
    <s v="Reef Flat"/>
    <m/>
    <m/>
    <m/>
    <s v="Algae "/>
    <x v="7"/>
    <m/>
    <m/>
    <n v="18.8"/>
    <m/>
    <m/>
  </r>
  <r>
    <s v="Ahamada et al. 2002"/>
    <x v="6"/>
    <x v="1"/>
    <n v="2001"/>
    <s v="After"/>
    <x v="0"/>
    <s v="St Gilles"/>
    <s v="Toboggan / Planch"/>
    <m/>
    <s v="Outer Slope"/>
    <m/>
    <m/>
    <m/>
    <s v="Hard Coral"/>
    <x v="0"/>
    <m/>
    <m/>
    <n v="44.2"/>
    <m/>
    <m/>
  </r>
  <r>
    <s v="Ahamada et al. 2002"/>
    <x v="6"/>
    <x v="1"/>
    <n v="2001"/>
    <s v="After"/>
    <x v="0"/>
    <s v="St Gilles"/>
    <s v="Toboggan / Planch"/>
    <m/>
    <s v="Outer Slope"/>
    <m/>
    <m/>
    <m/>
    <s v="Algae "/>
    <x v="7"/>
    <m/>
    <m/>
    <n v="45.9"/>
    <m/>
    <m/>
  </r>
  <r>
    <s v="Ahamada et al. 2002"/>
    <x v="6"/>
    <x v="1"/>
    <n v="2001"/>
    <s v="After"/>
    <x v="0"/>
    <s v="St Leu"/>
    <s v="Corne Nord / Varangue"/>
    <m/>
    <s v="Reef Flat"/>
    <m/>
    <m/>
    <m/>
    <s v="Hard Coral"/>
    <x v="0"/>
    <m/>
    <m/>
    <n v="55.9"/>
    <m/>
    <m/>
  </r>
  <r>
    <s v="Ahamada et al. 2002"/>
    <x v="6"/>
    <x v="1"/>
    <n v="2001"/>
    <s v="After"/>
    <x v="0"/>
    <s v="St Leu"/>
    <s v="Corne Nord / Varangue"/>
    <m/>
    <s v="Reef Flat"/>
    <m/>
    <m/>
    <m/>
    <s v="Algae "/>
    <x v="7"/>
    <m/>
    <m/>
    <n v="19.7"/>
    <m/>
    <m/>
  </r>
  <r>
    <s v="Ahamada et al. 2002"/>
    <x v="6"/>
    <x v="1"/>
    <n v="2001"/>
    <s v="After"/>
    <x v="0"/>
    <s v="St Leu"/>
    <s v="Corne Nord / Varangue"/>
    <m/>
    <s v="Outer Slope"/>
    <m/>
    <m/>
    <m/>
    <s v="Hard Coral"/>
    <x v="0"/>
    <m/>
    <m/>
    <n v="60.9"/>
    <m/>
    <m/>
  </r>
  <r>
    <s v="Ahamada et al. 2002"/>
    <x v="6"/>
    <x v="1"/>
    <n v="2001"/>
    <s v="After"/>
    <x v="0"/>
    <s v="St Leu"/>
    <s v="Corne Nord / Varangue"/>
    <m/>
    <s v="Outer Slope"/>
    <m/>
    <m/>
    <m/>
    <s v="Algae "/>
    <x v="7"/>
    <m/>
    <m/>
    <n v="25"/>
    <m/>
    <m/>
  </r>
  <r>
    <s v="Ahamada et al. 2002"/>
    <x v="6"/>
    <x v="1"/>
    <n v="2001"/>
    <s v="After"/>
    <x v="0"/>
    <s v="Etang Sale"/>
    <s v="Bassin Pirogue"/>
    <m/>
    <s v="Reef Flat"/>
    <m/>
    <m/>
    <m/>
    <s v="Hard Coral"/>
    <x v="0"/>
    <m/>
    <m/>
    <n v="44.1"/>
    <m/>
    <m/>
  </r>
  <r>
    <s v="Ahamada et al. 2002"/>
    <x v="6"/>
    <x v="1"/>
    <n v="2001"/>
    <s v="After"/>
    <x v="0"/>
    <s v="Etang Sale"/>
    <s v="Bassin Pirogue"/>
    <m/>
    <s v="Reef Flat"/>
    <m/>
    <m/>
    <m/>
    <s v="Algae "/>
    <x v="7"/>
    <m/>
    <m/>
    <n v="7.6"/>
    <m/>
    <m/>
  </r>
  <r>
    <s v="Ahamada et al. 2002"/>
    <x v="6"/>
    <x v="1"/>
    <n v="2001"/>
    <s v="After"/>
    <x v="0"/>
    <s v="Etang Sale"/>
    <s v="Bassin Pirogue"/>
    <m/>
    <s v="Outer Slope"/>
    <m/>
    <m/>
    <m/>
    <s v="Hard Coral"/>
    <x v="0"/>
    <m/>
    <m/>
    <n v="49.4"/>
    <m/>
    <m/>
  </r>
  <r>
    <s v="Ahamada et al. 2002"/>
    <x v="6"/>
    <x v="1"/>
    <n v="2001"/>
    <s v="After"/>
    <x v="0"/>
    <s v="Etang Sale"/>
    <s v="Bassin Pirogue"/>
    <m/>
    <s v="Outer Slope"/>
    <m/>
    <m/>
    <m/>
    <s v="Algae "/>
    <x v="7"/>
    <m/>
    <m/>
    <n v="38.6"/>
    <m/>
    <m/>
  </r>
  <r>
    <s v="Ahamada et al. 2002"/>
    <x v="6"/>
    <x v="1"/>
    <n v="2001"/>
    <s v="After"/>
    <x v="0"/>
    <s v="St Pierre"/>
    <s v="Ravine Blanche"/>
    <m/>
    <s v="Reef Flat"/>
    <m/>
    <m/>
    <m/>
    <s v="Hard Coral"/>
    <x v="0"/>
    <m/>
    <m/>
    <n v="63.6"/>
    <m/>
    <m/>
  </r>
  <r>
    <s v="Ahamada et al. 2002"/>
    <x v="6"/>
    <x v="1"/>
    <n v="2001"/>
    <s v="After"/>
    <x v="0"/>
    <s v="St Pierre"/>
    <s v="Ravine Blanche"/>
    <m/>
    <s v="Reef Flat"/>
    <m/>
    <m/>
    <m/>
    <s v="Algae "/>
    <x v="7"/>
    <m/>
    <m/>
    <n v="0"/>
    <m/>
    <m/>
  </r>
  <r>
    <s v="Ahamada et al. 2002"/>
    <x v="6"/>
    <x v="1"/>
    <n v="2001"/>
    <s v="After"/>
    <x v="0"/>
    <s v="St Pierre"/>
    <s v="Ravine Blanche"/>
    <m/>
    <s v="Outer Slope"/>
    <m/>
    <m/>
    <m/>
    <s v="Hard Coral"/>
    <x v="0"/>
    <m/>
    <m/>
    <n v="42.8"/>
    <m/>
    <m/>
  </r>
  <r>
    <s v="Ahamada et al. 2002"/>
    <x v="6"/>
    <x v="1"/>
    <n v="2001"/>
    <s v="After"/>
    <x v="0"/>
    <s v="St Pierre"/>
    <s v="Ravine Blanche"/>
    <m/>
    <s v="Outer Slope"/>
    <m/>
    <m/>
    <m/>
    <s v="Algae "/>
    <x v="7"/>
    <m/>
    <m/>
    <n v="47.4"/>
    <m/>
    <m/>
  </r>
  <r>
    <s v="Ahamada et al. 2002"/>
    <x v="6"/>
    <x v="1"/>
    <n v="2002"/>
    <s v="After"/>
    <x v="0"/>
    <s v="St Gilles"/>
    <s v="Toboggan / Planch"/>
    <m/>
    <s v="Reef Flat"/>
    <m/>
    <m/>
    <m/>
    <s v="Hard Coral"/>
    <x v="0"/>
    <m/>
    <m/>
    <n v="37.9"/>
    <m/>
    <m/>
  </r>
  <r>
    <s v="Ahamada et al. 2002"/>
    <x v="6"/>
    <x v="1"/>
    <n v="2002"/>
    <s v="After"/>
    <x v="0"/>
    <s v="St Gilles"/>
    <s v="Toboggan / Planch"/>
    <m/>
    <s v="Reef Flat"/>
    <m/>
    <m/>
    <m/>
    <s v="Algae "/>
    <x v="7"/>
    <m/>
    <m/>
    <n v="29.4"/>
    <m/>
    <m/>
  </r>
  <r>
    <s v="Ahamada et al. 2002"/>
    <x v="6"/>
    <x v="1"/>
    <n v="2002"/>
    <s v="After"/>
    <x v="0"/>
    <s v="St Gilles"/>
    <s v="Toboggan / Planch"/>
    <m/>
    <s v="Outer Slope"/>
    <m/>
    <m/>
    <m/>
    <s v="Hard Coral"/>
    <x v="0"/>
    <m/>
    <m/>
    <n v="36.4"/>
    <m/>
    <m/>
  </r>
  <r>
    <s v="Ahamada et al. 2002"/>
    <x v="6"/>
    <x v="1"/>
    <n v="2002"/>
    <s v="After"/>
    <x v="0"/>
    <s v="St Gilles"/>
    <s v="Toboggan / Planch"/>
    <m/>
    <s v="Outer Slope"/>
    <m/>
    <m/>
    <m/>
    <s v="Algae "/>
    <x v="7"/>
    <m/>
    <m/>
    <n v="52.2"/>
    <m/>
    <m/>
  </r>
  <r>
    <s v="Ahamada et al. 2002"/>
    <x v="6"/>
    <x v="1"/>
    <n v="2002"/>
    <s v="After"/>
    <x v="0"/>
    <s v="St Leu"/>
    <s v="Corne Nord / Varangue"/>
    <m/>
    <s v="Reef Flat"/>
    <m/>
    <m/>
    <m/>
    <s v="Hard Coral"/>
    <x v="0"/>
    <m/>
    <m/>
    <n v="49.8"/>
    <m/>
    <m/>
  </r>
  <r>
    <s v="Ahamada et al. 2002"/>
    <x v="6"/>
    <x v="1"/>
    <n v="2002"/>
    <s v="After"/>
    <x v="0"/>
    <s v="St Leu"/>
    <s v="Corne Nord / Varangue"/>
    <m/>
    <s v="Reef Flat"/>
    <m/>
    <m/>
    <m/>
    <s v="Algae "/>
    <x v="7"/>
    <m/>
    <m/>
    <n v="33.6"/>
    <m/>
    <m/>
  </r>
  <r>
    <s v="Ahamada et al. 2002"/>
    <x v="6"/>
    <x v="1"/>
    <n v="2002"/>
    <s v="After"/>
    <x v="0"/>
    <s v="St Leu"/>
    <s v="Corne Nord / Varangue"/>
    <m/>
    <s v="Outer Slope"/>
    <m/>
    <m/>
    <m/>
    <s v="Hard Coral"/>
    <x v="0"/>
    <m/>
    <m/>
    <n v="61.2"/>
    <m/>
    <m/>
  </r>
  <r>
    <s v="Ahamada et al. 2002"/>
    <x v="6"/>
    <x v="1"/>
    <n v="2002"/>
    <s v="After"/>
    <x v="0"/>
    <s v="St Leu"/>
    <s v="Corne Nord / Varangue"/>
    <m/>
    <s v="Outer Slope"/>
    <m/>
    <m/>
    <m/>
    <s v="Algae "/>
    <x v="7"/>
    <m/>
    <m/>
    <n v="27.5"/>
    <m/>
    <m/>
  </r>
  <r>
    <s v="Chabanet et al. 1997"/>
    <x v="6"/>
    <x v="11"/>
    <s v="1991/1992"/>
    <s v="Before"/>
    <x v="2"/>
    <s v="Reunion Island"/>
    <s v="St-Gilles/La Saline reef complex"/>
    <m/>
    <m/>
    <m/>
    <s v="21°07 S"/>
    <s v="55°32 E"/>
    <s v="Live Coral"/>
    <x v="0"/>
    <m/>
    <m/>
    <n v="31"/>
    <n v="19"/>
    <m/>
  </r>
  <r>
    <s v="Chabanet et al. 1997"/>
    <x v="6"/>
    <x v="1"/>
    <s v="1991/1992"/>
    <s v="Before"/>
    <x v="5"/>
    <s v="Reunion Island"/>
    <s v="St-Gilles/La Saline reef complex"/>
    <m/>
    <m/>
    <m/>
    <s v="21°07 S"/>
    <s v="55°32 E"/>
    <s v="algae"/>
    <x v="7"/>
    <m/>
    <m/>
    <n v="30"/>
    <n v="20"/>
    <m/>
  </r>
  <r>
    <s v="Chabanet et al. 1997"/>
    <x v="6"/>
    <x v="1"/>
    <s v="1991/1992"/>
    <s v="Before"/>
    <x v="6"/>
    <s v="Reunion Island"/>
    <s v="St-Gilles/La Saline reef complex"/>
    <m/>
    <m/>
    <m/>
    <s v="21°07 S"/>
    <s v="55°32 E"/>
    <s v="branching coral"/>
    <x v="1"/>
    <m/>
    <m/>
    <n v="11"/>
    <n v="15"/>
    <m/>
  </r>
  <r>
    <s v="Chabanet et al. 1997"/>
    <x v="6"/>
    <x v="1"/>
    <s v="1991/1992"/>
    <s v="Before"/>
    <x v="6"/>
    <s v="Reunion Island"/>
    <s v="St-Gilles/La Saline reef complex"/>
    <m/>
    <m/>
    <m/>
    <s v="21°07 S"/>
    <s v="55°32 E"/>
    <s v="massive coral"/>
    <x v="1"/>
    <m/>
    <m/>
    <n v="19"/>
    <n v="13"/>
    <m/>
  </r>
  <r>
    <s v="Chabanet et al. 1997"/>
    <x v="6"/>
    <x v="1"/>
    <s v="1991/1992"/>
    <s v="Before"/>
    <x v="6"/>
    <s v="Reunion Island"/>
    <s v="St-Gilles/La Saline reef complex"/>
    <m/>
    <m/>
    <m/>
    <s v="21°07 S"/>
    <s v="55°32 E"/>
    <s v="encrusting coral"/>
    <x v="1"/>
    <m/>
    <m/>
    <n v="0.96"/>
    <n v="0.79"/>
    <m/>
  </r>
  <r>
    <s v="Chabanet et al. 2002"/>
    <x v="6"/>
    <x v="1"/>
    <n v="1998"/>
    <s v="After"/>
    <x v="0"/>
    <s v="St-Gilles/La Saline reef complex"/>
    <s v="Toboggan"/>
    <m/>
    <s v="Reef Flat"/>
    <m/>
    <m/>
    <m/>
    <s v="Acropora"/>
    <x v="3"/>
    <m/>
    <m/>
    <n v="14.2"/>
    <n v="4.7"/>
    <m/>
  </r>
  <r>
    <s v="Chabanet et al. 2002"/>
    <x v="6"/>
    <x v="1"/>
    <n v="1998"/>
    <s v="After"/>
    <x v="0"/>
    <s v="St-Gilles/La Saline reef complex"/>
    <s v="Toboggan"/>
    <m/>
    <s v="Reef Flat"/>
    <m/>
    <m/>
    <m/>
    <s v="Other corals"/>
    <x v="1"/>
    <m/>
    <m/>
    <n v="9.1999999999999993"/>
    <n v="3.1"/>
    <m/>
  </r>
  <r>
    <s v="Chabanet et al. 2002"/>
    <x v="6"/>
    <x v="1"/>
    <n v="1998"/>
    <s v="After"/>
    <x v="0"/>
    <s v="St-Gilles/La Saline reef complex"/>
    <s v="Toboggan"/>
    <m/>
    <s v="Reef Flat"/>
    <m/>
    <m/>
    <m/>
    <s v="algae"/>
    <x v="7"/>
    <m/>
    <m/>
    <n v="11.2"/>
    <n v="3.7"/>
    <m/>
  </r>
  <r>
    <s v="Chabanet et al. 2002"/>
    <x v="6"/>
    <x v="1"/>
    <n v="1998"/>
    <s v="After"/>
    <x v="0"/>
    <s v="St-Gilles/La Saline reef complex"/>
    <s v="Toboggan"/>
    <m/>
    <s v="Outer reef slope"/>
    <m/>
    <m/>
    <m/>
    <s v="Acropora"/>
    <x v="3"/>
    <m/>
    <m/>
    <n v="20.2"/>
    <n v="3.1"/>
    <m/>
  </r>
  <r>
    <s v="Chabanet et al. 2002"/>
    <x v="6"/>
    <x v="1"/>
    <n v="1998"/>
    <s v="After"/>
    <x v="0"/>
    <s v="St-Gilles/La Saline reef complex"/>
    <s v="Toboggan"/>
    <m/>
    <s v="Outer reef slope"/>
    <m/>
    <m/>
    <m/>
    <s v="Other corals"/>
    <x v="1"/>
    <m/>
    <m/>
    <n v="19.2"/>
    <n v="2.2000000000000002"/>
    <m/>
  </r>
  <r>
    <s v="Chabanet et al. 2002"/>
    <x v="6"/>
    <x v="1"/>
    <n v="1998"/>
    <s v="After"/>
    <x v="0"/>
    <s v="St-Gilles/La Saline reef complex"/>
    <s v="Toboggan"/>
    <m/>
    <s v="Outer reef slope"/>
    <m/>
    <m/>
    <m/>
    <s v="algae"/>
    <x v="7"/>
    <m/>
    <m/>
    <n v="48.6"/>
    <n v="3.6"/>
    <m/>
  </r>
  <r>
    <s v="Chabanet et al. 2002"/>
    <x v="6"/>
    <x v="1"/>
    <n v="1998"/>
    <s v="After"/>
    <x v="0"/>
    <s v="St-Gilles/La Saline reef complex"/>
    <s v="Planch'Alizés"/>
    <m/>
    <s v="Reef Flat"/>
    <m/>
    <m/>
    <m/>
    <s v="Acropora"/>
    <x v="3"/>
    <m/>
    <m/>
    <n v="0"/>
    <n v="0"/>
    <m/>
  </r>
  <r>
    <s v="Chabanet et al. 2002"/>
    <x v="6"/>
    <x v="1"/>
    <n v="1998"/>
    <s v="After"/>
    <x v="0"/>
    <s v="St-Gilles/La Saline reef complex"/>
    <s v="Planch'Alizés"/>
    <m/>
    <s v="Reef Flat"/>
    <m/>
    <m/>
    <m/>
    <s v="Other corals"/>
    <x v="1"/>
    <m/>
    <m/>
    <n v="39.200000000000003"/>
    <n v="13.1"/>
    <m/>
  </r>
  <r>
    <s v="Chabanet et al. 2002"/>
    <x v="6"/>
    <x v="1"/>
    <n v="1998"/>
    <s v="After"/>
    <x v="0"/>
    <s v="St-Gilles/La Saline reef complex"/>
    <s v="Planch'Alizés"/>
    <m/>
    <s v="Reef Flat"/>
    <m/>
    <m/>
    <m/>
    <s v="algae"/>
    <x v="7"/>
    <m/>
    <m/>
    <n v="43.7"/>
    <n v="14.6"/>
    <m/>
  </r>
  <r>
    <s v="Chabanet et al. 2002"/>
    <x v="6"/>
    <x v="1"/>
    <n v="1998"/>
    <s v="After"/>
    <x v="0"/>
    <s v="St-Gilles/La Saline reef complex"/>
    <s v="Planch'Alizés"/>
    <m/>
    <s v="Outer reef slope"/>
    <m/>
    <m/>
    <m/>
    <s v="Acropora"/>
    <x v="3"/>
    <m/>
    <m/>
    <n v="28.3"/>
    <n v="6.2"/>
    <m/>
  </r>
  <r>
    <s v="Chabanet et al. 2002"/>
    <x v="6"/>
    <x v="1"/>
    <n v="1998"/>
    <s v="After"/>
    <x v="0"/>
    <s v="St-Gilles/La Saline reef complex"/>
    <s v="Planch'Alizés"/>
    <m/>
    <s v="Outer reef slope"/>
    <m/>
    <m/>
    <m/>
    <s v="Other corals"/>
    <x v="1"/>
    <m/>
    <m/>
    <n v="20.3"/>
    <n v="4.3"/>
    <m/>
  </r>
  <r>
    <s v="Chabanet et al. 2002"/>
    <x v="6"/>
    <x v="1"/>
    <n v="1998"/>
    <s v="After"/>
    <x v="0"/>
    <s v="St-Gilles/La Saline reef complex"/>
    <s v="Planch'Alizés"/>
    <m/>
    <s v="Outer reef slope"/>
    <m/>
    <m/>
    <m/>
    <s v="algae"/>
    <x v="7"/>
    <m/>
    <m/>
    <n v="38.5"/>
    <n v="4.8"/>
    <m/>
  </r>
  <r>
    <s v="Chabanet et al. 2002"/>
    <x v="6"/>
    <x v="1"/>
    <n v="1999"/>
    <s v="After"/>
    <x v="0"/>
    <s v="St-Leu reef"/>
    <s v="Varangue"/>
    <m/>
    <s v="Reef Flat"/>
    <m/>
    <m/>
    <m/>
    <s v="Acropora"/>
    <x v="3"/>
    <m/>
    <m/>
    <n v="44.2"/>
    <n v="16.399999999999999"/>
    <m/>
  </r>
  <r>
    <s v="Chabanet et al. 2002"/>
    <x v="6"/>
    <x v="1"/>
    <n v="1999"/>
    <s v="After"/>
    <x v="0"/>
    <s v="St-Leu reef"/>
    <s v="Varangue"/>
    <m/>
    <s v="Reef Flat"/>
    <m/>
    <m/>
    <m/>
    <s v="Other corals"/>
    <x v="1"/>
    <m/>
    <m/>
    <n v="2.2000000000000002"/>
    <n v="1"/>
    <m/>
  </r>
  <r>
    <s v="Chabanet et al. 2002"/>
    <x v="6"/>
    <x v="1"/>
    <n v="1999"/>
    <s v="After"/>
    <x v="0"/>
    <s v="St-Leu reef"/>
    <s v="Varangue"/>
    <m/>
    <s v="Reef Flat"/>
    <m/>
    <m/>
    <m/>
    <s v="algae"/>
    <x v="7"/>
    <m/>
    <m/>
    <n v="15.5"/>
    <n v="5.2"/>
    <m/>
  </r>
  <r>
    <s v="Chabanet et al. 2002"/>
    <x v="6"/>
    <x v="1"/>
    <n v="1999"/>
    <s v="After"/>
    <x v="0"/>
    <s v="St-Leu reef"/>
    <s v="Varangue"/>
    <m/>
    <s v="Outer reef slope"/>
    <m/>
    <m/>
    <m/>
    <s v="Acropora"/>
    <x v="3"/>
    <m/>
    <m/>
    <n v="16.600000000000001"/>
    <n v="3.4"/>
    <m/>
  </r>
  <r>
    <s v="Chabanet et al. 2002"/>
    <x v="6"/>
    <x v="1"/>
    <n v="1999"/>
    <s v="After"/>
    <x v="0"/>
    <s v="St-Leu reef"/>
    <s v="Varangue"/>
    <m/>
    <s v="Outer reef slope"/>
    <m/>
    <m/>
    <m/>
    <s v="Other corals"/>
    <x v="1"/>
    <m/>
    <m/>
    <n v="29.2"/>
    <n v="3.6"/>
    <m/>
  </r>
  <r>
    <s v="Chabanet et al. 2002"/>
    <x v="6"/>
    <x v="1"/>
    <n v="1999"/>
    <s v="After"/>
    <x v="0"/>
    <s v="St-Leu reef"/>
    <s v="Varangue"/>
    <m/>
    <s v="Outer reef slope"/>
    <m/>
    <m/>
    <m/>
    <s v="algae"/>
    <x v="7"/>
    <m/>
    <m/>
    <n v="43.2"/>
    <n v="1.3"/>
    <m/>
  </r>
  <r>
    <s v="Chabanet et al. 2002"/>
    <x v="6"/>
    <x v="1"/>
    <n v="1999"/>
    <s v="After"/>
    <x v="0"/>
    <s v="St-Leu reef"/>
    <s v="Corne Nord"/>
    <m/>
    <s v="Reef Flat"/>
    <m/>
    <m/>
    <m/>
    <s v="Acropora"/>
    <x v="3"/>
    <m/>
    <m/>
    <n v="47.8"/>
    <n v="4.4000000000000004"/>
    <m/>
  </r>
  <r>
    <s v="Chabanet et al. 2002"/>
    <x v="6"/>
    <x v="1"/>
    <n v="1999"/>
    <s v="After"/>
    <x v="0"/>
    <s v="St-Leu reef"/>
    <s v="Corne Nord"/>
    <m/>
    <s v="Reef Flat"/>
    <m/>
    <m/>
    <m/>
    <s v="Other corals"/>
    <x v="1"/>
    <m/>
    <m/>
    <n v="5.6"/>
    <n v="2.2999999999999998"/>
    <m/>
  </r>
  <r>
    <s v="Chabanet et al. 2002"/>
    <x v="6"/>
    <x v="1"/>
    <n v="1999"/>
    <s v="After"/>
    <x v="0"/>
    <s v="St-Leu reef"/>
    <s v="Corne Nord"/>
    <m/>
    <s v="Reef Flat"/>
    <m/>
    <m/>
    <m/>
    <s v="algae"/>
    <x v="7"/>
    <m/>
    <m/>
    <n v="12.3"/>
    <n v="3.9"/>
    <m/>
  </r>
  <r>
    <s v="Chabanet et al. 2002"/>
    <x v="6"/>
    <x v="1"/>
    <n v="1999"/>
    <s v="After"/>
    <x v="0"/>
    <s v="St-Leu reef"/>
    <s v="Corne Nord"/>
    <m/>
    <s v="Outer reef slope"/>
    <m/>
    <m/>
    <m/>
    <s v="Acropora"/>
    <x v="3"/>
    <m/>
    <m/>
    <n v="44.4"/>
    <n v="55"/>
    <m/>
  </r>
  <r>
    <s v="Chabanet et al. 2002"/>
    <x v="6"/>
    <x v="1"/>
    <n v="1999"/>
    <s v="After"/>
    <x v="0"/>
    <s v="St-Leu reef"/>
    <s v="Corne Nord"/>
    <m/>
    <s v="Outer reef slope"/>
    <m/>
    <m/>
    <m/>
    <s v="Other corals"/>
    <x v="1"/>
    <m/>
    <m/>
    <n v="29.1"/>
    <n v="2.5"/>
    <m/>
  </r>
  <r>
    <s v="Chabanet et al. 2002"/>
    <x v="6"/>
    <x v="1"/>
    <n v="1999"/>
    <s v="After"/>
    <x v="0"/>
    <s v="St-Leu reef"/>
    <s v="Corne Nord"/>
    <m/>
    <s v="Outer reef slope"/>
    <m/>
    <m/>
    <m/>
    <s v="algae"/>
    <x v="7"/>
    <m/>
    <m/>
    <n v="18.5"/>
    <n v="5"/>
    <m/>
  </r>
  <r>
    <s v="Climate Warming, Marine Protected Areas and the_x000a_Ocean-Scale Integrity of Coral Reef Ecosystems"/>
    <x v="6"/>
    <x v="1"/>
    <s v="Pre 1998"/>
    <s v="Before"/>
    <x v="0"/>
    <s v="Reunion"/>
    <s v="Reunion flat"/>
    <m/>
    <m/>
    <m/>
    <m/>
    <m/>
    <s v="Hard Coral"/>
    <x v="0"/>
    <m/>
    <m/>
    <n v="42.5"/>
    <m/>
    <n v="24.3"/>
  </r>
  <r>
    <s v="Climate Warming, Marine Protected Areas and the_x000a_Ocean-Scale Integrity of Coral Reef Ecosystems"/>
    <x v="6"/>
    <x v="1"/>
    <n v="2005"/>
    <s v="After"/>
    <x v="0"/>
    <s v="Reunion"/>
    <s v="Reunion flat"/>
    <m/>
    <m/>
    <m/>
    <m/>
    <m/>
    <s v="Hard Coral"/>
    <x v="0"/>
    <m/>
    <m/>
    <n v="37"/>
    <m/>
    <n v="10.9"/>
  </r>
  <r>
    <s v="Climate Warming, Marine Protected Areas and the_x000a_Ocean-Scale Integrity of Coral Reef Ecosystems"/>
    <x v="6"/>
    <x v="1"/>
    <s v="Pre 1998"/>
    <s v="Before"/>
    <x v="0"/>
    <s v="Reunion"/>
    <s v="Reunion slope"/>
    <m/>
    <m/>
    <m/>
    <m/>
    <m/>
    <s v="Hard Coral"/>
    <x v="0"/>
    <m/>
    <m/>
    <n v="42"/>
    <m/>
    <n v="5"/>
  </r>
  <r>
    <s v="Climate Warming, Marine Protected Areas and the_x000a_Ocean-Scale Integrity of Coral Reef Ecosystems"/>
    <x v="6"/>
    <x v="1"/>
    <n v="2005"/>
    <s v="After"/>
    <x v="0"/>
    <s v="Reunion"/>
    <s v="Reunion slope"/>
    <m/>
    <m/>
    <m/>
    <m/>
    <m/>
    <s v="Hard Coral"/>
    <x v="0"/>
    <m/>
    <m/>
    <n v="28.4"/>
    <m/>
    <n v="4.5"/>
  </r>
  <r>
    <s v="Graham et al. (2008)"/>
    <x v="6"/>
    <x v="11"/>
    <s v="mid - 1990s"/>
    <s v="Before"/>
    <x v="2"/>
    <m/>
    <s v="Reunion Flat"/>
    <m/>
    <m/>
    <m/>
    <m/>
    <m/>
    <s v="Hard Coral"/>
    <x v="0"/>
    <m/>
    <n v="2"/>
    <n v="42.5"/>
    <m/>
    <n v="24.3"/>
  </r>
  <r>
    <s v="Graham et al. (2008)"/>
    <x v="6"/>
    <x v="11"/>
    <s v="mid - 1990s"/>
    <s v="Before"/>
    <x v="2"/>
    <m/>
    <s v="Reunion Slope"/>
    <m/>
    <m/>
    <m/>
    <m/>
    <m/>
    <s v="Hard Coral"/>
    <x v="0"/>
    <m/>
    <n v="2"/>
    <n v="42"/>
    <m/>
    <n v="5"/>
  </r>
  <r>
    <s v=" QUOD and BIGOT 2000"/>
    <x v="6"/>
    <x v="11"/>
    <n v="1999"/>
    <s v="After"/>
    <x v="0"/>
    <m/>
    <s v="La Saline"/>
    <s v="Planch’Alizé"/>
    <s v="Fringing reef"/>
    <s v="1 inner"/>
    <s v="21°04’87’’ S"/>
    <s v="55°13’10’’ E"/>
    <s v="Live Coral"/>
    <x v="0"/>
    <m/>
    <m/>
    <n v="40"/>
    <m/>
    <m/>
  </r>
  <r>
    <s v=" QUOD and BIGOT 2000"/>
    <x v="6"/>
    <x v="1"/>
    <n v="1999"/>
    <s v="After"/>
    <x v="0"/>
    <m/>
    <s v="La Saline"/>
    <s v="Planch’Alizé"/>
    <s v="Fringing reef"/>
    <s v="1 inner"/>
    <s v="21°04’87’’ S"/>
    <s v="55°13’10’’ E"/>
    <s v="Bleached coral"/>
    <x v="1"/>
    <m/>
    <m/>
    <n v="5"/>
    <m/>
    <m/>
  </r>
  <r>
    <s v=" QUOD and BIGOT 2000"/>
    <x v="6"/>
    <x v="1"/>
    <n v="1999"/>
    <s v="After"/>
    <x v="0"/>
    <m/>
    <s v="La Saline"/>
    <s v="Planch’Alizé"/>
    <s v="Fringing reef"/>
    <s v="1 inner"/>
    <s v="21°04’87’’ S"/>
    <s v="55°13’10’’ E"/>
    <s v="algae"/>
    <x v="1"/>
    <m/>
    <m/>
    <n v="30"/>
    <m/>
    <m/>
  </r>
  <r>
    <s v=" QUOD and BIGOT 2000"/>
    <x v="6"/>
    <x v="1"/>
    <n v="1999"/>
    <s v="After"/>
    <x v="0"/>
    <m/>
    <s v="La Saline"/>
    <s v="Planch’Alizé"/>
    <s v="Fringing reef"/>
    <s v="1 inner"/>
    <s v="21°04’87’’ S"/>
    <s v="55°13’10’’ E"/>
    <s v="Dead coral"/>
    <x v="1"/>
    <m/>
    <m/>
    <n v="13.2"/>
    <m/>
    <m/>
  </r>
  <r>
    <s v=" QUOD and BIGOT 2000"/>
    <x v="6"/>
    <x v="11"/>
    <n v="1999"/>
    <s v="After"/>
    <x v="2"/>
    <m/>
    <s v="La Saline"/>
    <s v="Trois Chameaux"/>
    <s v="Fringing reef"/>
    <s v="12 outer"/>
    <s v="21°04’87’’ S"/>
    <s v="55°13’10’’ E"/>
    <s v="Live Coral+Dead Coral"/>
    <x v="0"/>
    <m/>
    <m/>
    <n v="50.4"/>
    <m/>
    <m/>
  </r>
  <r>
    <s v=" QUOD and BIGOT 2000"/>
    <x v="6"/>
    <x v="1"/>
    <n v="1999"/>
    <s v="After"/>
    <x v="0"/>
    <m/>
    <s v="La Saline"/>
    <s v="Trois Chameaux"/>
    <s v="Fringing reef"/>
    <s v="12 outer"/>
    <s v="21°04’87’’ S"/>
    <s v="55°13’10’’ E"/>
    <s v="Bleached coral"/>
    <x v="1"/>
    <m/>
    <m/>
    <s v="&lt;5"/>
    <m/>
    <m/>
  </r>
  <r>
    <s v=" QUOD and BIGOT 2000"/>
    <x v="6"/>
    <x v="1"/>
    <n v="1999"/>
    <s v="After"/>
    <x v="0"/>
    <m/>
    <s v="La Saline"/>
    <s v="Trois Chameaux"/>
    <s v="Fringing reef"/>
    <s v="12 outer"/>
    <s v="21°04’87’’ S"/>
    <s v="55°13’10’’ E"/>
    <s v="algae"/>
    <x v="1"/>
    <m/>
    <m/>
    <n v="40"/>
    <m/>
    <m/>
  </r>
  <r>
    <s v=" QUOD and BIGOT 2000"/>
    <x v="6"/>
    <x v="1"/>
    <n v="1999"/>
    <s v="After"/>
    <x v="0"/>
    <m/>
    <s v="La Saline"/>
    <s v="Trois Chameaux"/>
    <s v="Fringing reef"/>
    <s v="12 outer"/>
    <s v="21°04’87’’ S"/>
    <s v="55°13’10’’ E"/>
    <s v="Dead coral"/>
    <x v="1"/>
    <m/>
    <m/>
    <n v="0.4"/>
    <m/>
    <m/>
  </r>
  <r>
    <s v=" QUOD and BIGOT 2000"/>
    <x v="6"/>
    <x v="11"/>
    <n v="1999"/>
    <s v="After"/>
    <x v="2"/>
    <m/>
    <s v="La Saline"/>
    <s v="Trois Chameaux"/>
    <s v="Fringing reef"/>
    <s v="1 inner"/>
    <s v="21°04’87’’ S"/>
    <s v="55°13’10’’ E"/>
    <s v="Live Coral+Dead Coral"/>
    <x v="0"/>
    <m/>
    <m/>
    <n v="32.5"/>
    <m/>
    <m/>
  </r>
  <r>
    <s v=" QUOD and BIGOT 2000"/>
    <x v="6"/>
    <x v="1"/>
    <n v="1999"/>
    <s v="After"/>
    <x v="0"/>
    <m/>
    <s v="La Saline"/>
    <s v="Trois Chameaux"/>
    <s v="Fringing reef"/>
    <s v="1 inner"/>
    <s v="21°04’87’’ S"/>
    <s v="55°13’10’’ E"/>
    <s v="Bleached coral"/>
    <x v="1"/>
    <m/>
    <m/>
    <s v="&lt;10"/>
    <m/>
    <m/>
  </r>
  <r>
    <s v=" QUOD and BIGOT 2000"/>
    <x v="6"/>
    <x v="1"/>
    <n v="1999"/>
    <s v="After"/>
    <x v="0"/>
    <m/>
    <s v="La Saline"/>
    <s v="Trois Chameaux"/>
    <s v="Fringing reef"/>
    <s v="1 inner"/>
    <s v="21°04’87’’ S"/>
    <s v="55°13’10’’ E"/>
    <s v="algae"/>
    <x v="1"/>
    <m/>
    <m/>
    <n v="10"/>
    <m/>
    <m/>
  </r>
  <r>
    <s v=" QUOD and BIGOT 2000"/>
    <x v="6"/>
    <x v="1"/>
    <n v="1999"/>
    <s v="After"/>
    <x v="0"/>
    <m/>
    <s v="La Saline"/>
    <s v="Trois Chameaux"/>
    <s v="Fringing reef"/>
    <s v="1 inner"/>
    <s v="21°04’87’’ S"/>
    <s v="55°13’10’’ E"/>
    <s v="Dead coral"/>
    <x v="1"/>
    <m/>
    <m/>
    <s v="&lt;5"/>
    <m/>
    <m/>
  </r>
  <r>
    <s v=" QUOD and BIGOT 2000"/>
    <x v="6"/>
    <x v="11"/>
    <n v="1999"/>
    <s v="After"/>
    <x v="0"/>
    <m/>
    <s v="Saint Leu"/>
    <s v="Corne Nord"/>
    <s v="Fringing reef"/>
    <s v="1 inner"/>
    <s v="21°90’12’’ S"/>
    <s v="55°17’40’’ E"/>
    <s v="Live Coral"/>
    <x v="0"/>
    <m/>
    <m/>
    <n v="50"/>
    <m/>
    <m/>
  </r>
  <r>
    <s v=" QUOD and BIGOT 2000"/>
    <x v="6"/>
    <x v="1"/>
    <n v="1999"/>
    <s v="After"/>
    <x v="0"/>
    <m/>
    <s v="Saint Leu"/>
    <s v="Corne Nord"/>
    <s v="Fringing reef"/>
    <s v="1 inner"/>
    <s v="21°90’12’’ S"/>
    <s v="55°17’40’’ E"/>
    <s v="Bleached coral"/>
    <x v="1"/>
    <m/>
    <m/>
    <n v="0"/>
    <m/>
    <m/>
  </r>
  <r>
    <s v=" QUOD and BIGOT 2000"/>
    <x v="6"/>
    <x v="1"/>
    <n v="1999"/>
    <s v="After"/>
    <x v="0"/>
    <m/>
    <s v="Saint Leu"/>
    <s v="Corne Nord"/>
    <s v="Fringing reef"/>
    <s v="1 inner"/>
    <s v="21°90’12’’ S"/>
    <s v="55°17’40’’ E"/>
    <s v="algae"/>
    <x v="1"/>
    <m/>
    <m/>
    <n v="20"/>
    <m/>
    <m/>
  </r>
  <r>
    <s v=" QUOD and BIGOT 2000"/>
    <x v="6"/>
    <x v="1"/>
    <n v="1999"/>
    <s v="After"/>
    <x v="0"/>
    <m/>
    <s v="Saint Leu"/>
    <s v="Corne Nord"/>
    <s v="Fringing reef"/>
    <s v="1 inner"/>
    <s v="21°90’12’’ S"/>
    <s v="55°17’40’’ E"/>
    <s v="Dead coral"/>
    <x v="1"/>
    <m/>
    <m/>
    <n v="3.5"/>
    <m/>
    <m/>
  </r>
  <r>
    <s v="Ahamada et al. 2002"/>
    <x v="7"/>
    <x v="11"/>
    <n v="1999"/>
    <s v="After"/>
    <x v="2"/>
    <s v="Nord Ouest"/>
    <s v="Trou aux Biches"/>
    <m/>
    <s v="Reef Flat"/>
    <m/>
    <m/>
    <m/>
    <s v="Hard Coral"/>
    <x v="0"/>
    <m/>
    <m/>
    <n v="41"/>
    <m/>
    <m/>
  </r>
  <r>
    <s v="Ahamada et al. 2002"/>
    <x v="7"/>
    <x v="1"/>
    <n v="1999"/>
    <s v="After"/>
    <x v="0"/>
    <s v="Nord Ouest"/>
    <s v="Trou aux Biches"/>
    <m/>
    <s v="Reef Flat"/>
    <m/>
    <m/>
    <m/>
    <s v="Algae "/>
    <x v="7"/>
    <m/>
    <m/>
    <n v="26"/>
    <m/>
    <m/>
  </r>
  <r>
    <s v="Ahamada et al. 2002"/>
    <x v="7"/>
    <x v="11"/>
    <n v="1999"/>
    <s v="After"/>
    <x v="2"/>
    <s v="Nord Ouest"/>
    <s v="Trou aux Biches"/>
    <m/>
    <s v="Outer Slope"/>
    <m/>
    <m/>
    <m/>
    <s v="Hard Coral"/>
    <x v="0"/>
    <m/>
    <m/>
    <n v="43"/>
    <m/>
    <m/>
  </r>
  <r>
    <s v="Ahamada et al. 2002"/>
    <x v="7"/>
    <x v="1"/>
    <n v="1999"/>
    <s v="After"/>
    <x v="0"/>
    <s v="Nord Ouest"/>
    <s v="Trou aux Biches"/>
    <m/>
    <s v="Outer Slope"/>
    <m/>
    <m/>
    <m/>
    <s v="Algae "/>
    <x v="7"/>
    <m/>
    <m/>
    <n v="8"/>
    <m/>
    <m/>
  </r>
  <r>
    <s v="Ahamada et al. 2002"/>
    <x v="7"/>
    <x v="11"/>
    <n v="1999"/>
    <s v="After"/>
    <x v="2"/>
    <s v="Sud Est"/>
    <s v="Bambou Virieux"/>
    <m/>
    <s v="Back Reef Flat"/>
    <m/>
    <m/>
    <m/>
    <s v="Hard Coral"/>
    <x v="0"/>
    <m/>
    <m/>
    <n v="30"/>
    <m/>
    <m/>
  </r>
  <r>
    <s v="Ahamada et al. 2002"/>
    <x v="7"/>
    <x v="1"/>
    <n v="1999"/>
    <s v="After"/>
    <x v="0"/>
    <s v="Sud Est"/>
    <s v="Bambou Virieux"/>
    <m/>
    <s v="Back Reef Flat"/>
    <m/>
    <m/>
    <m/>
    <s v="Algae "/>
    <x v="7"/>
    <m/>
    <m/>
    <n v="30"/>
    <m/>
    <m/>
  </r>
  <r>
    <s v="Ahamada et al. 2002"/>
    <x v="7"/>
    <x v="11"/>
    <n v="1999"/>
    <s v="After"/>
    <x v="2"/>
    <s v="Sud Est"/>
    <s v="Bambou Virieux"/>
    <m/>
    <s v="Shore Reef Flat"/>
    <m/>
    <m/>
    <m/>
    <s v="Hard Coral"/>
    <x v="0"/>
    <m/>
    <m/>
    <n v="48"/>
    <m/>
    <m/>
  </r>
  <r>
    <s v="Ahamada et al. 2002"/>
    <x v="7"/>
    <x v="1"/>
    <n v="1999"/>
    <s v="After"/>
    <x v="0"/>
    <s v="Sud Est"/>
    <s v="Bambou Virieux"/>
    <m/>
    <s v="Shore Reef Flat"/>
    <m/>
    <m/>
    <m/>
    <s v="Algae "/>
    <x v="7"/>
    <m/>
    <m/>
    <n v="17"/>
    <m/>
    <m/>
  </r>
  <r>
    <s v="Ahamada et al. 2002"/>
    <x v="7"/>
    <x v="1"/>
    <n v="2000"/>
    <s v="After"/>
    <x v="0"/>
    <s v="Nord Ouest"/>
    <s v="Trou aux Biches"/>
    <m/>
    <s v="Outer Slope"/>
    <m/>
    <m/>
    <m/>
    <s v="Hard Coral"/>
    <x v="0"/>
    <m/>
    <m/>
    <n v="44.6"/>
    <m/>
    <m/>
  </r>
  <r>
    <s v="Ahamada et al. 2002"/>
    <x v="7"/>
    <x v="1"/>
    <n v="2000"/>
    <s v="After"/>
    <x v="0"/>
    <s v="Nord Ouest"/>
    <s v="Trou aux Biches"/>
    <m/>
    <s v="Outer Slope"/>
    <m/>
    <m/>
    <m/>
    <s v="Algae "/>
    <x v="7"/>
    <m/>
    <m/>
    <n v="9.1"/>
    <m/>
    <m/>
  </r>
  <r>
    <s v="Ahamada et al. 2002"/>
    <x v="7"/>
    <x v="1"/>
    <n v="2000"/>
    <s v="After"/>
    <x v="0"/>
    <s v="Sud Est"/>
    <s v="Bambou Virieux"/>
    <m/>
    <s v="Back Reef Flat"/>
    <m/>
    <m/>
    <m/>
    <s v="Hard Coral"/>
    <x v="0"/>
    <m/>
    <m/>
    <n v="52.3"/>
    <m/>
    <m/>
  </r>
  <r>
    <s v="Ahamada et al. 2002"/>
    <x v="7"/>
    <x v="1"/>
    <n v="2000"/>
    <s v="After"/>
    <x v="0"/>
    <s v="Sud Est"/>
    <s v="Bambou Virieux"/>
    <m/>
    <s v="Back Reef Flat"/>
    <m/>
    <m/>
    <m/>
    <s v="Algae "/>
    <x v="7"/>
    <m/>
    <m/>
    <n v="6.5"/>
    <m/>
    <m/>
  </r>
  <r>
    <s v="Ahamada et al. 2002"/>
    <x v="7"/>
    <x v="1"/>
    <n v="2000"/>
    <s v="After"/>
    <x v="0"/>
    <s v="Sud Est"/>
    <s v="Bambou Virieux"/>
    <m/>
    <s v="Shore Reef Flat"/>
    <m/>
    <m/>
    <m/>
    <s v="Hard Coral"/>
    <x v="0"/>
    <m/>
    <m/>
    <n v="49.8"/>
    <m/>
    <m/>
  </r>
  <r>
    <s v="Ahamada et al. 2002"/>
    <x v="7"/>
    <x v="1"/>
    <n v="2000"/>
    <s v="After"/>
    <x v="0"/>
    <s v="Sud Est"/>
    <s v="Bambou Virieux"/>
    <m/>
    <s v="Shore Reef Flat"/>
    <m/>
    <m/>
    <m/>
    <s v="Algae "/>
    <x v="7"/>
    <m/>
    <m/>
    <n v="33.799999999999997"/>
    <m/>
    <m/>
  </r>
  <r>
    <s v="Ahamada et al. 2002"/>
    <x v="7"/>
    <x v="1"/>
    <n v="2002"/>
    <s v="After"/>
    <x v="0"/>
    <s v="Nord Ouest"/>
    <s v="Trou aux Biches"/>
    <m/>
    <s v="Reef Flat"/>
    <m/>
    <m/>
    <m/>
    <s v="Hard Coral"/>
    <x v="0"/>
    <m/>
    <m/>
    <n v="40"/>
    <m/>
    <m/>
  </r>
  <r>
    <s v="Ahamada et al. 2002"/>
    <x v="7"/>
    <x v="1"/>
    <n v="2002"/>
    <s v="After"/>
    <x v="0"/>
    <s v="Nord Ouest"/>
    <s v="Trou aux Biches"/>
    <m/>
    <s v="Reef Flat"/>
    <m/>
    <m/>
    <m/>
    <s v="Algae "/>
    <x v="7"/>
    <m/>
    <m/>
    <n v="25"/>
    <m/>
    <m/>
  </r>
  <r>
    <s v="Ahamada et al. 2002"/>
    <x v="7"/>
    <x v="1"/>
    <n v="2002"/>
    <s v="After"/>
    <x v="0"/>
    <s v="Nord Ouest"/>
    <s v="Trou aux Biches"/>
    <m/>
    <s v="Outer Slope"/>
    <m/>
    <m/>
    <m/>
    <s v="Hard Coral"/>
    <x v="0"/>
    <m/>
    <m/>
    <n v="39.1"/>
    <m/>
    <m/>
  </r>
  <r>
    <s v="Ahamada et al. 2002"/>
    <x v="7"/>
    <x v="1"/>
    <n v="2002"/>
    <s v="After"/>
    <x v="0"/>
    <s v="Nord Ouest"/>
    <s v="Trou aux Biches"/>
    <m/>
    <s v="Outer Slope"/>
    <m/>
    <m/>
    <m/>
    <s v="Algae "/>
    <x v="7"/>
    <m/>
    <m/>
    <n v="4.8"/>
    <m/>
    <m/>
  </r>
  <r>
    <s v="Ahamada et al. 2002"/>
    <x v="7"/>
    <x v="1"/>
    <n v="2002"/>
    <s v="After"/>
    <x v="0"/>
    <s v="Sud Est"/>
    <s v="Bambou Virieux"/>
    <m/>
    <s v="Back Reef Flat"/>
    <m/>
    <m/>
    <m/>
    <s v="Hard Coral"/>
    <x v="0"/>
    <m/>
    <m/>
    <n v="37.9"/>
    <m/>
    <m/>
  </r>
  <r>
    <s v="Ahamada et al. 2002"/>
    <x v="7"/>
    <x v="1"/>
    <n v="2002"/>
    <s v="After"/>
    <x v="0"/>
    <s v="Sud Est"/>
    <s v="Bambou Virieux"/>
    <m/>
    <s v="Back Reef Flat"/>
    <m/>
    <m/>
    <m/>
    <s v="Algae "/>
    <x v="7"/>
    <m/>
    <m/>
    <n v="23.2"/>
    <m/>
    <m/>
  </r>
  <r>
    <s v="Ahamada et al. 2002"/>
    <x v="7"/>
    <x v="1"/>
    <n v="2002"/>
    <s v="After"/>
    <x v="0"/>
    <s v="Sud Est"/>
    <s v="Bambou Virieux"/>
    <m/>
    <s v="Shore Reef Flat"/>
    <m/>
    <m/>
    <m/>
    <s v="Hard Coral"/>
    <x v="0"/>
    <m/>
    <m/>
    <n v="36.6"/>
    <m/>
    <m/>
  </r>
  <r>
    <s v="Ahamada et al. 2002"/>
    <x v="7"/>
    <x v="1"/>
    <n v="2002"/>
    <s v="After"/>
    <x v="0"/>
    <s v="Sud Est"/>
    <s v="Bambou Virieux"/>
    <m/>
    <s v="Shore Reef Flat"/>
    <m/>
    <m/>
    <m/>
    <s v="Algae "/>
    <x v="7"/>
    <m/>
    <m/>
    <n v="50.4"/>
    <m/>
    <m/>
  </r>
  <r>
    <s v="Ahamada et al. 2002"/>
    <x v="8"/>
    <x v="1"/>
    <n v="2002"/>
    <s v="After"/>
    <x v="0"/>
    <s v="Riviere Banane"/>
    <s v="Rivière banane"/>
    <m/>
    <s v="Reef Flat"/>
    <m/>
    <m/>
    <m/>
    <s v="Hard Coral"/>
    <x v="0"/>
    <m/>
    <m/>
    <n v="15.8"/>
    <m/>
    <m/>
  </r>
  <r>
    <s v="Ahamada et al. 2002"/>
    <x v="8"/>
    <x v="1"/>
    <n v="2002"/>
    <s v="After"/>
    <x v="0"/>
    <s v="Riviere Banane"/>
    <s v="Rivière banane"/>
    <m/>
    <s v="Reef Flat"/>
    <m/>
    <m/>
    <m/>
    <s v="Algae "/>
    <x v="7"/>
    <m/>
    <m/>
    <n v="81.8"/>
    <m/>
    <m/>
  </r>
  <r>
    <s v="Ahamada et al. 2002"/>
    <x v="7"/>
    <x v="11"/>
    <n v="2002"/>
    <s v="After"/>
    <x v="2"/>
    <s v="Riviere Banane"/>
    <s v="Rivière banane"/>
    <m/>
    <s v="Outer Slope"/>
    <m/>
    <m/>
    <m/>
    <s v="Hard Coral"/>
    <x v="0"/>
    <m/>
    <m/>
    <n v="62.9"/>
    <m/>
    <m/>
  </r>
  <r>
    <s v="Ahamada et al. 2002"/>
    <x v="8"/>
    <x v="1"/>
    <n v="2002"/>
    <s v="After"/>
    <x v="0"/>
    <s v="Riviere Banane"/>
    <s v="Rivière banane"/>
    <m/>
    <s v="Outer Slope"/>
    <m/>
    <m/>
    <m/>
    <s v="Algae "/>
    <x v="7"/>
    <m/>
    <m/>
    <n v="36.5"/>
    <m/>
    <m/>
  </r>
  <r>
    <s v="Ahamada et al. 2002"/>
    <x v="8"/>
    <x v="1"/>
    <n v="2002"/>
    <s v="After"/>
    <x v="0"/>
    <s v="Passe Armand"/>
    <s v="Passe Armand"/>
    <m/>
    <s v="Reef Flat"/>
    <m/>
    <m/>
    <m/>
    <s v="Hard Coral"/>
    <x v="0"/>
    <m/>
    <m/>
    <n v="17"/>
    <m/>
    <m/>
  </r>
  <r>
    <s v="Ahamada et al. 2002"/>
    <x v="8"/>
    <x v="1"/>
    <n v="2002"/>
    <s v="After"/>
    <x v="0"/>
    <s v="Riviere Banane"/>
    <s v="Passe Armand"/>
    <m/>
    <s v="Reef Flat"/>
    <m/>
    <m/>
    <m/>
    <s v="Algae "/>
    <x v="7"/>
    <m/>
    <m/>
    <n v="73.900000000000006"/>
    <m/>
    <m/>
  </r>
  <r>
    <s v="Ahamada et al. 2002"/>
    <x v="8"/>
    <x v="1"/>
    <n v="2002"/>
    <s v="After"/>
    <x v="0"/>
    <s v="Passe Armand"/>
    <s v="Passe Armand"/>
    <m/>
    <s v="Outer Slope"/>
    <m/>
    <m/>
    <m/>
    <s v="Hard Coral"/>
    <x v="0"/>
    <m/>
    <m/>
    <n v="43.2"/>
    <m/>
    <m/>
  </r>
  <r>
    <s v="Ahamada et al. 2002"/>
    <x v="8"/>
    <x v="1"/>
    <n v="2002"/>
    <s v="After"/>
    <x v="0"/>
    <s v="Riviere Banane"/>
    <s v="Passe Armand"/>
    <m/>
    <s v="Outer Slope"/>
    <m/>
    <m/>
    <m/>
    <s v="Algae "/>
    <x v="7"/>
    <m/>
    <m/>
    <n v="47.8"/>
    <m/>
    <m/>
  </r>
  <r>
    <s v="Jordan &amp; Samways 2001"/>
    <x v="9"/>
    <x v="3"/>
    <n v="1998"/>
    <s v="During"/>
    <x v="0"/>
    <s v=" Maputaland coastline "/>
    <s v="KwaZulu - Natal"/>
    <m/>
    <m/>
    <m/>
    <s v="27◦54'S "/>
    <m/>
    <s v="Hard Coral"/>
    <x v="0"/>
    <n v="8"/>
    <m/>
    <n v="42.9"/>
    <m/>
    <m/>
  </r>
  <r>
    <s v="Jordan &amp; Samways 2001"/>
    <x v="9"/>
    <x v="1"/>
    <n v="1998"/>
    <s v="During"/>
    <x v="0"/>
    <s v=" Maputaland coastline "/>
    <s v="KwaZulu - Natal"/>
    <m/>
    <m/>
    <m/>
    <s v="27◦54'S "/>
    <m/>
    <s v="Soft coral"/>
    <x v="2"/>
    <n v="8"/>
    <m/>
    <n v="41.9"/>
    <m/>
    <m/>
  </r>
  <r>
    <s v="Schleyer &amp; Celliers 2003"/>
    <x v="9"/>
    <x v="1"/>
    <s v="n.d"/>
    <m/>
    <x v="0"/>
    <s v=" Maputaland coastline "/>
    <s v="SodwanaBay"/>
    <s v="Two-mile Reef (TMR) "/>
    <m/>
    <s v="10 - 19"/>
    <m/>
    <m/>
    <s v="Hard Coral"/>
    <x v="0"/>
    <n v="13"/>
    <m/>
    <n v="17.399999999999999"/>
    <m/>
    <m/>
  </r>
  <r>
    <s v="Schleyer &amp; Celliers 2003"/>
    <x v="9"/>
    <x v="1"/>
    <s v="n.d"/>
    <m/>
    <x v="0"/>
    <s v=" Maputaland coastline "/>
    <s v="SodwanaBay"/>
    <s v="Two-mile Reef (TMR) "/>
    <m/>
    <s v="10 - 19"/>
    <m/>
    <m/>
    <s v="Soft coral"/>
    <x v="2"/>
    <n v="13"/>
    <m/>
    <n v="33.799999999999997"/>
    <m/>
    <m/>
  </r>
  <r>
    <s v="Schleyer &amp; Celliers 2003"/>
    <x v="9"/>
    <x v="1"/>
    <s v="n.d"/>
    <m/>
    <x v="0"/>
    <s v=" Maputaland coastline "/>
    <s v="SodwanaBay"/>
    <s v="Nine-mile Reef (NMR)"/>
    <m/>
    <s v="14 - 17"/>
    <m/>
    <m/>
    <s v="Hard Coral"/>
    <x v="0"/>
    <n v="7"/>
    <m/>
    <n v="8.3000000000000007"/>
    <m/>
    <m/>
  </r>
  <r>
    <s v="Schleyer &amp; Celliers 2003"/>
    <x v="9"/>
    <x v="1"/>
    <s v="n.d"/>
    <m/>
    <x v="0"/>
    <s v=" Maputaland coastline "/>
    <s v="SodwanaBay"/>
    <s v="Nine-mile Reef (NMR)"/>
    <m/>
    <s v="14 - 17"/>
    <m/>
    <m/>
    <s v="Soft coral"/>
    <x v="2"/>
    <n v="7"/>
    <m/>
    <n v="35.9"/>
    <m/>
    <m/>
  </r>
  <r>
    <s v="Riegl et al. 1995"/>
    <x v="9"/>
    <x v="1"/>
    <s v="n.d"/>
    <s v="Before"/>
    <x v="0"/>
    <s v=" Maputaland coastline - Norher Natal"/>
    <s v="Northern Reef complex"/>
    <s v=" Kosi "/>
    <m/>
    <s v="9 - 35"/>
    <m/>
    <m/>
    <s v="Acropora"/>
    <x v="3"/>
    <s v="5 - 7"/>
    <m/>
    <n v="9.9"/>
    <m/>
    <m/>
  </r>
  <r>
    <s v="Riegl et al. 1995"/>
    <x v="9"/>
    <x v="1"/>
    <s v="n.d"/>
    <s v="Before"/>
    <x v="0"/>
    <s v=" Maputaland coastline - Norher Natal"/>
    <s v="Northern Reef complex"/>
    <s v=" Kosi "/>
    <m/>
    <s v="9 - 35"/>
    <m/>
    <m/>
    <s v="Montipora"/>
    <x v="8"/>
    <s v="5 - 7"/>
    <m/>
    <n v="3.5"/>
    <m/>
    <m/>
  </r>
  <r>
    <s v="Riegl et al. 1995"/>
    <x v="9"/>
    <x v="1"/>
    <s v="n.d"/>
    <s v="Before"/>
    <x v="0"/>
    <s v=" Maputaland coastline - Norher Natal"/>
    <s v="Northern Reef complex"/>
    <s v=" Kosi "/>
    <m/>
    <s v="9 - 35"/>
    <m/>
    <m/>
    <s v="Faviidae"/>
    <x v="1"/>
    <s v="5 - 7"/>
    <m/>
    <n v="15.4"/>
    <m/>
    <m/>
  </r>
  <r>
    <s v="Riegl et al. 1995"/>
    <x v="9"/>
    <x v="1"/>
    <s v="n.d"/>
    <s v="Before"/>
    <x v="0"/>
    <s v=" Maputaland coastline - Norher Natal"/>
    <s v="Northern Reef complex"/>
    <s v=" Kosi "/>
    <m/>
    <s v="9 - 35"/>
    <m/>
    <m/>
    <s v="Sinularia"/>
    <x v="9"/>
    <s v="5 - 7"/>
    <m/>
    <n v="25.8"/>
    <m/>
    <m/>
  </r>
  <r>
    <s v="Riegl et al. 1995"/>
    <x v="9"/>
    <x v="1"/>
    <s v="n.d"/>
    <s v="Before"/>
    <x v="0"/>
    <s v=" Maputaland coastline - Norher Natal"/>
    <s v="Northern Reef complex"/>
    <s v=" Kosi "/>
    <m/>
    <s v="9 - 35"/>
    <m/>
    <m/>
    <s v="Lobophytum"/>
    <x v="1"/>
    <s v="5 - 7"/>
    <m/>
    <n v="23.3"/>
    <m/>
    <m/>
  </r>
  <r>
    <s v="Riegl et al. 1995"/>
    <x v="9"/>
    <x v="1"/>
    <s v="n.d"/>
    <s v="Before"/>
    <x v="0"/>
    <s v=" Maputaland coastline - Norher Natal"/>
    <s v="Central Reef complex"/>
    <s v="9·Mile "/>
    <m/>
    <s v="9 - 35"/>
    <m/>
    <m/>
    <s v="Acropora"/>
    <x v="3"/>
    <s v="5 - 7"/>
    <m/>
    <n v="25.2"/>
    <m/>
    <m/>
  </r>
  <r>
    <s v="Riegl et al. 1995"/>
    <x v="9"/>
    <x v="1"/>
    <s v="n.d"/>
    <s v="Before"/>
    <x v="0"/>
    <s v=" Maputaland coastline - Norher Natal"/>
    <s v="Central Reef complex"/>
    <s v="9·Mile "/>
    <m/>
    <s v="9 - 35"/>
    <m/>
    <m/>
    <s v="Montipora"/>
    <x v="8"/>
    <s v="5 - 7"/>
    <m/>
    <n v="7.6"/>
    <m/>
    <m/>
  </r>
  <r>
    <s v="Riegl et al. 1995"/>
    <x v="9"/>
    <x v="1"/>
    <s v="n.d"/>
    <s v="Before"/>
    <x v="0"/>
    <s v=" Maputaland coastline - Norher Natal"/>
    <s v="Central Reef complex"/>
    <s v="9·Mile "/>
    <m/>
    <s v="9 - 35"/>
    <m/>
    <m/>
    <s v="Faviidae"/>
    <x v="1"/>
    <s v="5 - 7"/>
    <m/>
    <n v="15.1"/>
    <m/>
    <m/>
  </r>
  <r>
    <s v="Riegl et al. 1995"/>
    <x v="9"/>
    <x v="1"/>
    <s v="n.d"/>
    <s v="Before"/>
    <x v="0"/>
    <s v=" Maputaland coastline - Norher Natal"/>
    <s v="Central Reef complex"/>
    <s v="9·Mile "/>
    <m/>
    <s v="9 - 35"/>
    <m/>
    <m/>
    <s v="Sinularia"/>
    <x v="9"/>
    <s v="5 - 7"/>
    <m/>
    <n v="11.8"/>
    <m/>
    <m/>
  </r>
  <r>
    <s v="Riegl et al. 1995"/>
    <x v="9"/>
    <x v="1"/>
    <s v="n.d"/>
    <s v="Before"/>
    <x v="0"/>
    <s v=" Maputaland coastline - Norher Natal"/>
    <s v="Central Reef complex"/>
    <s v="9·Mile "/>
    <m/>
    <s v="9 - 35"/>
    <m/>
    <m/>
    <s v="Lobophytum"/>
    <x v="1"/>
    <s v="5 - 7"/>
    <m/>
    <n v="13.6"/>
    <m/>
    <m/>
  </r>
  <r>
    <s v="Riegl et al. 1995"/>
    <x v="9"/>
    <x v="1"/>
    <s v="n.d"/>
    <s v="Before"/>
    <x v="0"/>
    <s v=" Maputaland coastline - Norher Natal"/>
    <s v="Central Reef complex"/>
    <s v=" 4-Mile "/>
    <m/>
    <s v="9 - 35"/>
    <m/>
    <m/>
    <s v="Acropora"/>
    <x v="3"/>
    <s v="5 - 7"/>
    <m/>
    <n v="25.2"/>
    <m/>
    <m/>
  </r>
  <r>
    <s v="Riegl et al. 1995"/>
    <x v="9"/>
    <x v="1"/>
    <s v="n.d"/>
    <s v="Before"/>
    <x v="0"/>
    <s v=" Maputaland coastline - Norher Natal"/>
    <s v="Central Reef complex"/>
    <s v=" 4-Mile "/>
    <m/>
    <s v="9 - 35"/>
    <m/>
    <m/>
    <s v="Montipora"/>
    <x v="8"/>
    <s v="5 - 7"/>
    <m/>
    <n v="7.6"/>
    <m/>
    <m/>
  </r>
  <r>
    <s v="Riegl et al. 1995"/>
    <x v="9"/>
    <x v="1"/>
    <s v="n.d"/>
    <s v="Before"/>
    <x v="0"/>
    <s v=" Maputaland coastline - Norher Natal"/>
    <s v="Central Reef complex"/>
    <s v=" 4-Mile "/>
    <m/>
    <s v="9 - 35"/>
    <m/>
    <m/>
    <s v="Faviidae"/>
    <x v="1"/>
    <s v="5 - 7"/>
    <m/>
    <n v="15.1"/>
    <m/>
    <m/>
  </r>
  <r>
    <s v="Riegl et al. 1995"/>
    <x v="9"/>
    <x v="1"/>
    <s v="n.d"/>
    <s v="Before"/>
    <x v="0"/>
    <s v=" Maputaland coastline - Norher Natal"/>
    <s v="Central Reef complex"/>
    <s v=" 4-Mile "/>
    <m/>
    <s v="9 - 35"/>
    <m/>
    <m/>
    <s v="Sinularia"/>
    <x v="9"/>
    <s v="5 - 7"/>
    <m/>
    <n v="11.8"/>
    <m/>
    <m/>
  </r>
  <r>
    <s v="Riegl et al. 1995"/>
    <x v="9"/>
    <x v="1"/>
    <s v="n.d"/>
    <s v="Before"/>
    <x v="0"/>
    <s v=" Maputaland coastline - Norher Natal"/>
    <s v="Central Reef complex"/>
    <s v=" 4-Mile "/>
    <m/>
    <s v="9 - 35"/>
    <m/>
    <m/>
    <s v="Lobophytum"/>
    <x v="1"/>
    <s v="5 - 7"/>
    <m/>
    <n v="13.6"/>
    <m/>
    <m/>
  </r>
  <r>
    <s v="Riegl et al. 1995"/>
    <x v="9"/>
    <x v="1"/>
    <s v="n.d"/>
    <s v="Before"/>
    <x v="0"/>
    <s v=" Maputaland coastline - Norher Natal"/>
    <s v="Central Reef complex"/>
    <s v=" 2-Mile "/>
    <m/>
    <s v="9 - 35"/>
    <m/>
    <m/>
    <s v="Acropora"/>
    <x v="3"/>
    <s v="5 - 7"/>
    <m/>
    <n v="6.2"/>
    <m/>
    <m/>
  </r>
  <r>
    <s v="Riegl et al. 1995"/>
    <x v="9"/>
    <x v="1"/>
    <s v="n.d"/>
    <s v="Before"/>
    <x v="0"/>
    <s v=" Maputaland coastline - Norher Natal"/>
    <s v="Central Reef complex"/>
    <s v=" 2-Mile "/>
    <m/>
    <s v="9 - 35"/>
    <m/>
    <m/>
    <s v="Montipora"/>
    <x v="8"/>
    <s v="5 - 7"/>
    <m/>
    <n v="9.6999999999999993"/>
    <m/>
    <m/>
  </r>
  <r>
    <s v="Riegl et al. 1995"/>
    <x v="9"/>
    <x v="1"/>
    <s v="n.d"/>
    <s v="Before"/>
    <x v="0"/>
    <s v=" Maputaland coastline - Norher Natal"/>
    <s v="Central Reef complex"/>
    <s v=" 2-Mile "/>
    <m/>
    <s v="9 - 35"/>
    <m/>
    <m/>
    <s v="Faviidae"/>
    <x v="1"/>
    <s v="5 - 7"/>
    <m/>
    <n v="12.1"/>
    <m/>
    <m/>
  </r>
  <r>
    <s v="Riegl et al. 1995"/>
    <x v="9"/>
    <x v="1"/>
    <s v="n.d"/>
    <s v="Before"/>
    <x v="0"/>
    <s v=" Maputaland coastline - Norher Natal"/>
    <s v="Central Reef complex"/>
    <s v=" 2-Mile "/>
    <m/>
    <s v="9 - 35"/>
    <m/>
    <m/>
    <s v="Sinularia"/>
    <x v="9"/>
    <s v="5 - 7"/>
    <m/>
    <n v="27.7"/>
    <m/>
    <m/>
  </r>
  <r>
    <s v="Riegl et al. 1995"/>
    <x v="9"/>
    <x v="1"/>
    <s v="n.d"/>
    <s v="Before"/>
    <x v="0"/>
    <s v=" Maputaland coastline - Norher Natal"/>
    <s v="Central Reef complex"/>
    <s v=" 2-Mile "/>
    <m/>
    <s v="9 - 35"/>
    <m/>
    <m/>
    <s v="Lobophytum"/>
    <x v="1"/>
    <s v="5 - 7"/>
    <m/>
    <n v="16.7"/>
    <m/>
    <m/>
  </r>
  <r>
    <s v="Riegl et al. 1995"/>
    <x v="9"/>
    <x v="1"/>
    <s v="n.d"/>
    <s v="Before"/>
    <x v="0"/>
    <s v=" Maputaland coastline - Norher Natal"/>
    <s v="Southern Reef complex"/>
    <s v=" Red Sands "/>
    <m/>
    <s v="9 - 35"/>
    <m/>
    <m/>
    <s v="Acropora"/>
    <x v="3"/>
    <s v="5 - 7"/>
    <m/>
    <n v="4.9000000000000004"/>
    <m/>
    <m/>
  </r>
  <r>
    <s v="Riegl et al. 1995"/>
    <x v="9"/>
    <x v="1"/>
    <s v="n.d"/>
    <s v="Before"/>
    <x v="0"/>
    <s v=" Maputaland coastline - Norher Natal"/>
    <s v="Southern Reef complex"/>
    <s v=" Red Sands "/>
    <m/>
    <s v="9 - 35"/>
    <m/>
    <m/>
    <s v="Montipora"/>
    <x v="8"/>
    <s v="5 - 7"/>
    <m/>
    <n v="2.6"/>
    <m/>
    <m/>
  </r>
  <r>
    <s v="Riegl et al. 1995"/>
    <x v="9"/>
    <x v="1"/>
    <s v="n.d"/>
    <s v="Before"/>
    <x v="0"/>
    <s v=" Maputaland coastline - Norher Natal"/>
    <s v="Southern Reef complex"/>
    <s v=" Red Sands "/>
    <m/>
    <s v="9 - 35"/>
    <m/>
    <m/>
    <s v="Faviidae"/>
    <x v="1"/>
    <s v="5 - 7"/>
    <m/>
    <n v="17.2"/>
    <m/>
    <m/>
  </r>
  <r>
    <s v="Riegl et al. 1995"/>
    <x v="9"/>
    <x v="1"/>
    <s v="n.d"/>
    <s v="Before"/>
    <x v="0"/>
    <s v=" Maputaland coastline - Norher Natal"/>
    <s v="Southern Reef complex"/>
    <s v=" Red Sands "/>
    <m/>
    <s v="9 - 35"/>
    <m/>
    <m/>
    <s v="Sinularia"/>
    <x v="9"/>
    <s v="5 - 7"/>
    <m/>
    <n v="11.1"/>
    <m/>
    <m/>
  </r>
  <r>
    <s v="Riegl et al. 1995"/>
    <x v="9"/>
    <x v="1"/>
    <s v="n.d"/>
    <s v="Before"/>
    <x v="0"/>
    <s v=" Maputaland coastline - Norher Natal"/>
    <s v="Southern Reef complex"/>
    <s v=" Red Sands "/>
    <m/>
    <s v="9 - 35"/>
    <m/>
    <m/>
    <s v="Lobophytum"/>
    <x v="1"/>
    <s v="5 - 7"/>
    <m/>
    <n v="21.8"/>
    <m/>
    <m/>
  </r>
  <r>
    <s v="Walters &amp; Samways 2001"/>
    <x v="9"/>
    <x v="1"/>
    <s v="1998/1999"/>
    <s v="After"/>
    <x v="0"/>
    <m/>
    <s v="Two-Mile Reef"/>
    <m/>
    <m/>
    <s v="12 - 15"/>
    <s v="27◦31' S"/>
    <s v="32◦41' E"/>
    <s v="Hard Coral"/>
    <x v="0"/>
    <m/>
    <m/>
    <n v="30.4"/>
    <m/>
    <m/>
  </r>
  <r>
    <s v="Quod et. al. 2002"/>
    <x v="4"/>
    <x v="1"/>
    <n v="1998"/>
    <s v="After"/>
    <x v="0"/>
    <s v="Gde Comore"/>
    <s v="Mitsamiouli"/>
    <m/>
    <s v="Reef Flat"/>
    <n v="1"/>
    <m/>
    <m/>
    <s v="Live Coral"/>
    <x v="0"/>
    <m/>
    <m/>
    <n v="46"/>
    <m/>
    <m/>
  </r>
  <r>
    <s v="Quod et. al. 2002"/>
    <x v="4"/>
    <x v="1"/>
    <n v="1998"/>
    <s v="After"/>
    <x v="0"/>
    <s v="Mohéli"/>
    <s v="Itsamia"/>
    <m/>
    <s v="Reef Flat"/>
    <n v="1"/>
    <m/>
    <m/>
    <s v="Live Coral"/>
    <x v="0"/>
    <m/>
    <m/>
    <n v="35"/>
    <m/>
    <m/>
  </r>
  <r>
    <s v="Quod et. al. 2002"/>
    <x v="4"/>
    <x v="1"/>
    <n v="1999"/>
    <s v="After"/>
    <x v="0"/>
    <s v="Gde Comore"/>
    <s v="Mitsamiouli"/>
    <m/>
    <s v="Reef Flat"/>
    <n v="1"/>
    <m/>
    <m/>
    <s v="Live Coral"/>
    <x v="0"/>
    <m/>
    <m/>
    <n v="44.2"/>
    <m/>
    <m/>
  </r>
  <r>
    <s v="Quod et. al. 2002"/>
    <x v="4"/>
    <x v="1"/>
    <n v="1999"/>
    <s v="After"/>
    <x v="0"/>
    <s v="Mohéli"/>
    <s v="Itsamia"/>
    <m/>
    <s v="Reef Flat"/>
    <n v="1"/>
    <m/>
    <m/>
    <s v="Live Coral"/>
    <x v="0"/>
    <m/>
    <m/>
    <n v="30"/>
    <m/>
    <m/>
  </r>
  <r>
    <s v="Quod et. al. 2002"/>
    <x v="4"/>
    <x v="1"/>
    <n v="2002"/>
    <s v="After"/>
    <x v="0"/>
    <s v="Gde Comore"/>
    <s v="Mitsamiouli"/>
    <m/>
    <s v="Reef Flat"/>
    <n v="1"/>
    <m/>
    <m/>
    <s v="Live Coral"/>
    <x v="0"/>
    <m/>
    <m/>
    <n v="36.5"/>
    <m/>
    <m/>
  </r>
  <r>
    <s v="Quod et. al. 2002"/>
    <x v="4"/>
    <x v="1"/>
    <n v="2002"/>
    <s v="After"/>
    <x v="0"/>
    <s v="Mohéli"/>
    <s v="Itsamia"/>
    <m/>
    <s v="Reef Flat"/>
    <n v="1"/>
    <m/>
    <m/>
    <s v="Live Coral"/>
    <x v="0"/>
    <m/>
    <m/>
    <n v="5"/>
    <m/>
    <m/>
  </r>
  <r>
    <s v="Quod et. al. 2002"/>
    <x v="3"/>
    <x v="1"/>
    <n v="1998"/>
    <s v="After"/>
    <x v="0"/>
    <s v="Tuléar"/>
    <s v="Ifaty"/>
    <m/>
    <s v="Outer Slope"/>
    <n v="8"/>
    <m/>
    <m/>
    <s v="Live Coral"/>
    <x v="0"/>
    <m/>
    <m/>
    <n v="30.8"/>
    <m/>
    <m/>
  </r>
  <r>
    <s v="Quod et. al. 2002"/>
    <x v="3"/>
    <x v="1"/>
    <n v="1999"/>
    <s v="After"/>
    <x v="0"/>
    <s v="Tuléar"/>
    <s v="Ifaty"/>
    <m/>
    <s v="Outer Slope"/>
    <n v="8"/>
    <m/>
    <m/>
    <s v="Live Coral"/>
    <x v="0"/>
    <m/>
    <m/>
    <n v="40.700000000000003"/>
    <m/>
    <m/>
  </r>
  <r>
    <s v="Quod et. al. 2002"/>
    <x v="3"/>
    <x v="1"/>
    <n v="1999"/>
    <s v="After"/>
    <x v="0"/>
    <s v="Tuléar"/>
    <s v="Nosy Ve"/>
    <m/>
    <s v="Outer Slope"/>
    <n v="10"/>
    <m/>
    <m/>
    <s v="Live Coral"/>
    <x v="0"/>
    <m/>
    <m/>
    <n v="42.3"/>
    <m/>
    <m/>
  </r>
  <r>
    <s v="Quod et. al. 2002"/>
    <x v="3"/>
    <x v="1"/>
    <n v="2000"/>
    <s v="After"/>
    <x v="0"/>
    <s v="Tuléar"/>
    <s v="Ifaty"/>
    <m/>
    <s v="Outer Slope"/>
    <n v="8"/>
    <m/>
    <m/>
    <s v="Live Coral"/>
    <x v="0"/>
    <m/>
    <m/>
    <n v="41.9"/>
    <m/>
    <m/>
  </r>
  <r>
    <s v="Quod et. al. 2002"/>
    <x v="3"/>
    <x v="1"/>
    <n v="2002"/>
    <s v="After"/>
    <x v="0"/>
    <s v="Tuléar"/>
    <s v="Ifaty"/>
    <m/>
    <s v="Outer Slope"/>
    <n v="8"/>
    <m/>
    <m/>
    <s v="Live Coral"/>
    <x v="0"/>
    <m/>
    <m/>
    <n v="42"/>
    <m/>
    <m/>
  </r>
  <r>
    <s v="Quod et. al. 2002"/>
    <x v="10"/>
    <x v="1"/>
    <n v="1998"/>
    <s v="After"/>
    <x v="0"/>
    <s v="S Nord Est"/>
    <s v="Surprise"/>
    <m/>
    <s v="Reef Flat"/>
    <n v="-0.5"/>
    <m/>
    <m/>
    <s v="Live Coral"/>
    <x v="0"/>
    <m/>
    <m/>
    <n v="6.3"/>
    <m/>
    <m/>
  </r>
  <r>
    <s v="Quod et. al. 2002"/>
    <x v="10"/>
    <x v="1"/>
    <n v="1998"/>
    <s v="After"/>
    <x v="0"/>
    <s v="Nord Ouest"/>
    <s v="Surprise"/>
    <m/>
    <s v="Reef Flat"/>
    <n v="-6"/>
    <m/>
    <m/>
    <s v="Live Coral"/>
    <x v="0"/>
    <m/>
    <m/>
    <n v="15"/>
    <m/>
    <m/>
  </r>
  <r>
    <s v="Quod et. al. 2002"/>
    <x v="10"/>
    <x v="1"/>
    <n v="1999"/>
    <s v="After"/>
    <x v="0"/>
    <s v="S Nord Est"/>
    <s v="Surprise"/>
    <m/>
    <s v="Reef Flat"/>
    <n v="-0.5"/>
    <m/>
    <m/>
    <s v="Live Coral"/>
    <x v="0"/>
    <m/>
    <m/>
    <n v="4.5999999999999996"/>
    <m/>
    <m/>
  </r>
  <r>
    <s v="Quod et. al. 2002"/>
    <x v="10"/>
    <x v="1"/>
    <n v="1999"/>
    <s v="After"/>
    <x v="0"/>
    <s v="Nord Ouest"/>
    <s v="Surprise"/>
    <m/>
    <s v="Reef Flat"/>
    <n v="-6"/>
    <m/>
    <m/>
    <s v="Live Coral"/>
    <x v="0"/>
    <m/>
    <m/>
    <n v="28"/>
    <m/>
    <m/>
  </r>
  <r>
    <s v="Quod et. al. 2002"/>
    <x v="10"/>
    <x v="1"/>
    <n v="2000"/>
    <s v="After"/>
    <x v="0"/>
    <s v="S Nord Est"/>
    <s v="Surprise"/>
    <m/>
    <s v="Reef Flat"/>
    <n v="-0.5"/>
    <m/>
    <m/>
    <s v="Live Coral"/>
    <x v="0"/>
    <m/>
    <m/>
    <n v="16.100000000000001"/>
    <m/>
    <m/>
  </r>
  <r>
    <s v="Quod et. al. 2002"/>
    <x v="10"/>
    <x v="1"/>
    <n v="2000"/>
    <s v="After"/>
    <x v="0"/>
    <s v="Nord Ouest"/>
    <s v="Surprise"/>
    <m/>
    <s v="Reef Flat"/>
    <n v="-6"/>
    <m/>
    <m/>
    <s v="Live Coral"/>
    <x v="0"/>
    <m/>
    <m/>
    <n v="44.1"/>
    <m/>
    <m/>
  </r>
  <r>
    <s v="Quod et. al. 2002"/>
    <x v="10"/>
    <x v="1"/>
    <n v="2001"/>
    <s v="After"/>
    <x v="0"/>
    <s v="S Nord Est"/>
    <s v="Surprise"/>
    <m/>
    <s v="Reef Flat"/>
    <n v="-0.5"/>
    <m/>
    <m/>
    <s v="Live Coral"/>
    <x v="0"/>
    <m/>
    <m/>
    <n v="15"/>
    <m/>
    <m/>
  </r>
  <r>
    <s v="Quod et. al. 2002"/>
    <x v="10"/>
    <x v="1"/>
    <n v="2001"/>
    <s v="After"/>
    <x v="0"/>
    <s v="Nord Ouest"/>
    <s v="Surprise"/>
    <m/>
    <s v="Reef Flat"/>
    <n v="-6"/>
    <m/>
    <m/>
    <s v="Live Coral"/>
    <x v="0"/>
    <m/>
    <m/>
    <n v="53.7"/>
    <m/>
    <m/>
  </r>
  <r>
    <s v="Quod et. al. 2002"/>
    <x v="10"/>
    <x v="1"/>
    <n v="1998"/>
    <s v="After"/>
    <x v="0"/>
    <s v="S Ajangoua"/>
    <s v="Longogori"/>
    <m/>
    <s v="Outer Slope"/>
    <n v="-0.5"/>
    <m/>
    <m/>
    <s v="Live Coral"/>
    <x v="0"/>
    <m/>
    <m/>
    <n v="11.9"/>
    <m/>
    <m/>
  </r>
  <r>
    <s v="Quod et. al. 2002"/>
    <x v="10"/>
    <x v="1"/>
    <n v="1999"/>
    <s v="After"/>
    <x v="0"/>
    <s v="S Ajangoua"/>
    <s v="Longogori"/>
    <m/>
    <s v="Outer Slope"/>
    <n v="-0.5"/>
    <m/>
    <m/>
    <s v="Live Coral"/>
    <x v="0"/>
    <m/>
    <m/>
    <n v="6.2"/>
    <m/>
    <m/>
  </r>
  <r>
    <s v="Quod et. al. 2002"/>
    <x v="10"/>
    <x v="1"/>
    <n v="1999"/>
    <s v="After"/>
    <x v="0"/>
    <s v="S Ajangoua"/>
    <s v="Longogori"/>
    <m/>
    <s v="Outer Slope"/>
    <n v="-6"/>
    <m/>
    <m/>
    <s v="Live Coral"/>
    <x v="0"/>
    <m/>
    <m/>
    <n v="21.6"/>
    <m/>
    <m/>
  </r>
  <r>
    <s v="Quod et. al. 2002"/>
    <x v="10"/>
    <x v="1"/>
    <n v="2000"/>
    <s v="After"/>
    <x v="0"/>
    <s v="S Ajangoua"/>
    <s v="Longogori"/>
    <m/>
    <s v="Outer Slope"/>
    <n v="-0.5"/>
    <m/>
    <m/>
    <s v="Live Coral"/>
    <x v="0"/>
    <m/>
    <m/>
    <n v="15.3"/>
    <m/>
    <m/>
  </r>
  <r>
    <s v="Quod et. al. 2002"/>
    <x v="10"/>
    <x v="1"/>
    <n v="2000"/>
    <s v="After"/>
    <x v="0"/>
    <s v="S Ajangoua"/>
    <s v="Longogori"/>
    <m/>
    <s v="Outer Slope"/>
    <n v="-6"/>
    <m/>
    <m/>
    <s v="Live Coral"/>
    <x v="0"/>
    <m/>
    <m/>
    <n v="16.2"/>
    <m/>
    <m/>
  </r>
  <r>
    <s v="Quod et. al. 2002"/>
    <x v="10"/>
    <x v="1"/>
    <n v="2001"/>
    <s v="After"/>
    <x v="0"/>
    <s v="S Ajangoua"/>
    <s v="Longogori"/>
    <m/>
    <s v="Outer Slope"/>
    <n v="-0.5"/>
    <m/>
    <m/>
    <s v="Live Coral"/>
    <x v="0"/>
    <m/>
    <m/>
    <n v="15.9"/>
    <m/>
    <m/>
  </r>
  <r>
    <s v="Quod et. al. 2002"/>
    <x v="10"/>
    <x v="1"/>
    <n v="2001"/>
    <s v="After"/>
    <x v="0"/>
    <s v="S Ajangoua"/>
    <s v="Longogori"/>
    <m/>
    <s v="Outer Slope"/>
    <n v="-6"/>
    <m/>
    <m/>
    <s v="Live Coral"/>
    <x v="0"/>
    <m/>
    <m/>
    <n v="22.3"/>
    <m/>
    <m/>
  </r>
  <r>
    <s v="Quod et. al. 2002"/>
    <x v="10"/>
    <x v="1"/>
    <n v="1999"/>
    <s v="After"/>
    <x v="0"/>
    <s v="Geyser/Zélée"/>
    <s v="Geyser"/>
    <m/>
    <s v="Reef Flat"/>
    <n v="-6"/>
    <m/>
    <m/>
    <s v="Live Coral"/>
    <x v="0"/>
    <m/>
    <m/>
    <n v="34.299999999999997"/>
    <m/>
    <m/>
  </r>
  <r>
    <s v="Quod et. al. 2002"/>
    <x v="10"/>
    <x v="8"/>
    <n v="1999"/>
    <s v="After"/>
    <x v="2"/>
    <s v="Geyser/Zélée"/>
    <s v="Geyser"/>
    <m/>
    <s v="Outer Slope"/>
    <n v="-6"/>
    <m/>
    <m/>
    <s v="Live Coral+Dead Coral"/>
    <x v="0"/>
    <m/>
    <m/>
    <n v="72.400000000000006"/>
    <m/>
    <m/>
  </r>
  <r>
    <s v="Quod et. al. 2002"/>
    <x v="10"/>
    <x v="1"/>
    <n v="2000"/>
    <s v="After"/>
    <x v="0"/>
    <s v="Geyser/Zélée"/>
    <s v="Geyser"/>
    <m/>
    <s v="Reef Flat"/>
    <n v="-6"/>
    <m/>
    <m/>
    <s v="Live Coral"/>
    <x v="0"/>
    <m/>
    <m/>
    <n v="46.7"/>
    <m/>
    <m/>
  </r>
  <r>
    <s v="Quod et. al. 2002"/>
    <x v="10"/>
    <x v="1"/>
    <n v="2000"/>
    <s v="After"/>
    <x v="0"/>
    <s v="Geyser/Zélée"/>
    <s v="Geyser"/>
    <m/>
    <s v="Outer Slope"/>
    <n v="-6"/>
    <m/>
    <m/>
    <s v="Live Coral"/>
    <x v="0"/>
    <m/>
    <m/>
    <n v="65.3"/>
    <m/>
    <m/>
  </r>
  <r>
    <s v="Quod et. al. 2002"/>
    <x v="6"/>
    <x v="1"/>
    <n v="1998"/>
    <s v="After"/>
    <x v="0"/>
    <m/>
    <s v="La Saline/PlanchAlizés"/>
    <m/>
    <s v="Reef Flat"/>
    <n v="-0.5"/>
    <m/>
    <m/>
    <s v="Live Coral"/>
    <x v="0"/>
    <m/>
    <m/>
    <n v="18"/>
    <m/>
    <m/>
  </r>
  <r>
    <s v="Quod et. al. 2002"/>
    <x v="6"/>
    <x v="1"/>
    <n v="1998"/>
    <s v="After"/>
    <x v="0"/>
    <m/>
    <s v="La Saline/PlanchAlizés"/>
    <m/>
    <s v="Outer Slope"/>
    <n v="-12"/>
    <m/>
    <m/>
    <s v="Live Coral"/>
    <x v="0"/>
    <m/>
    <m/>
    <n v="38"/>
    <m/>
    <m/>
  </r>
  <r>
    <s v="Quod et. al. 2002"/>
    <x v="6"/>
    <x v="11"/>
    <n v="1999"/>
    <s v="After"/>
    <x v="0"/>
    <m/>
    <s v="La Saline/PlanchAlizés"/>
    <m/>
    <s v="Reef Flat"/>
    <n v="-0.5"/>
    <m/>
    <m/>
    <s v="Live Coral"/>
    <x v="0"/>
    <m/>
    <m/>
    <n v="40"/>
    <m/>
    <m/>
  </r>
  <r>
    <s v="Quod et. al. 2002"/>
    <x v="6"/>
    <x v="11"/>
    <n v="1999"/>
    <s v="After"/>
    <x v="0"/>
    <m/>
    <s v="La Saline/PlanchAlizés"/>
    <m/>
    <s v="Outer Slope"/>
    <n v="-12"/>
    <m/>
    <m/>
    <s v="Live Coral"/>
    <x v="0"/>
    <m/>
    <m/>
    <n v="40"/>
    <m/>
    <m/>
  </r>
  <r>
    <s v="Quod et. al. 2002"/>
    <x v="6"/>
    <x v="1"/>
    <n v="2000"/>
    <s v="After"/>
    <x v="0"/>
    <m/>
    <s v="La Saline/PlanchAlizés"/>
    <m/>
    <s v="Reef Flat"/>
    <n v="-0.5"/>
    <m/>
    <m/>
    <s v="Live Coral"/>
    <x v="0"/>
    <m/>
    <m/>
    <n v="39.200000000000003"/>
    <m/>
    <m/>
  </r>
  <r>
    <s v="Quod et. al. 2002"/>
    <x v="6"/>
    <x v="1"/>
    <n v="2000"/>
    <s v="After"/>
    <x v="0"/>
    <m/>
    <s v="La Saline/PlanchAlizés"/>
    <m/>
    <s v="Outer Slope"/>
    <n v="-12"/>
    <m/>
    <m/>
    <s v="Live Coral"/>
    <x v="0"/>
    <m/>
    <m/>
    <n v="48.6"/>
    <m/>
    <m/>
  </r>
  <r>
    <s v="Quod et. al. 2002"/>
    <x v="6"/>
    <x v="1"/>
    <n v="2001"/>
    <s v="After"/>
    <x v="0"/>
    <m/>
    <s v="La Saline/PlanchAlizés"/>
    <m/>
    <s v="Reef Flat"/>
    <n v="-0.5"/>
    <m/>
    <m/>
    <s v="Live Coral"/>
    <x v="0"/>
    <m/>
    <m/>
    <n v="39.1"/>
    <m/>
    <m/>
  </r>
  <r>
    <s v="Quod et. al. 2002"/>
    <x v="6"/>
    <x v="1"/>
    <n v="2001"/>
    <s v="After"/>
    <x v="0"/>
    <m/>
    <s v="La Saline/PlanchAlizés"/>
    <m/>
    <s v="Outer Slope"/>
    <n v="-12"/>
    <m/>
    <m/>
    <s v="Live Coral"/>
    <x v="0"/>
    <m/>
    <m/>
    <n v="45.2"/>
    <m/>
    <m/>
  </r>
  <r>
    <s v="Quod et. al. 2002"/>
    <x v="6"/>
    <x v="1"/>
    <n v="2002"/>
    <s v="After"/>
    <x v="0"/>
    <m/>
    <s v="La Saline/PlanchAlizés"/>
    <m/>
    <s v="Reef Flat"/>
    <n v="-0.5"/>
    <m/>
    <m/>
    <s v="Live Coral"/>
    <x v="0"/>
    <m/>
    <m/>
    <n v="37.1"/>
    <m/>
    <m/>
  </r>
  <r>
    <s v="Quod et. al. 2002"/>
    <x v="6"/>
    <x v="1"/>
    <n v="2002"/>
    <s v="After"/>
    <x v="0"/>
    <m/>
    <s v="La Saline/PlanchAlizés"/>
    <m/>
    <s v="Outer Slope"/>
    <n v="-12"/>
    <m/>
    <m/>
    <s v="Live Coral"/>
    <x v="0"/>
    <m/>
    <m/>
    <n v="37"/>
    <m/>
    <m/>
  </r>
  <r>
    <s v="Quod et. al. 2002"/>
    <x v="6"/>
    <x v="1"/>
    <n v="1998"/>
    <s v="After"/>
    <x v="0"/>
    <m/>
    <s v="La Saline/3Chameaux"/>
    <m/>
    <s v="Reef Flat"/>
    <n v="-0.5"/>
    <m/>
    <m/>
    <s v="Live Coral"/>
    <x v="0"/>
    <m/>
    <m/>
    <n v="31"/>
    <m/>
    <m/>
  </r>
  <r>
    <s v="Quod et. al. 2002"/>
    <x v="6"/>
    <x v="1"/>
    <n v="1998"/>
    <s v="After"/>
    <x v="0"/>
    <m/>
    <s v="La Saline/3Chameaux"/>
    <m/>
    <s v="Outer Slope"/>
    <n v="-12"/>
    <m/>
    <m/>
    <s v="Live Coral"/>
    <x v="0"/>
    <m/>
    <m/>
    <n v="57"/>
    <m/>
    <m/>
  </r>
  <r>
    <s v="Quod et. al. 2002"/>
    <x v="6"/>
    <x v="11"/>
    <n v="1999"/>
    <s v="After"/>
    <x v="0"/>
    <m/>
    <s v="La Saline/3Chameaux"/>
    <m/>
    <s v="Reef Flat"/>
    <n v="-0.5"/>
    <m/>
    <m/>
    <s v="Live Coral"/>
    <x v="0"/>
    <m/>
    <m/>
    <n v="30"/>
    <m/>
    <m/>
  </r>
  <r>
    <s v="Quod et. al. 2002"/>
    <x v="6"/>
    <x v="11"/>
    <n v="1999"/>
    <s v="After"/>
    <x v="0"/>
    <m/>
    <s v="La Saline/3Chameaux"/>
    <m/>
    <s v="Outer Slope"/>
    <n v="-12"/>
    <m/>
    <m/>
    <s v="Live Coral"/>
    <x v="0"/>
    <m/>
    <m/>
    <n v="50"/>
    <m/>
    <m/>
  </r>
  <r>
    <s v="Quod et. al. 2002"/>
    <x v="6"/>
    <x v="1"/>
    <n v="2000"/>
    <s v="After"/>
    <x v="0"/>
    <m/>
    <s v="La Saline/3Chameaux"/>
    <m/>
    <s v="Reef Flat"/>
    <n v="-0.5"/>
    <m/>
    <m/>
    <s v="Live Coral"/>
    <x v="0"/>
    <m/>
    <m/>
    <n v="23.4"/>
    <m/>
    <m/>
  </r>
  <r>
    <s v="Quod et. al. 2002"/>
    <x v="6"/>
    <x v="1"/>
    <n v="2000"/>
    <s v="After"/>
    <x v="0"/>
    <m/>
    <s v="La Saline/3Chameaux"/>
    <m/>
    <s v="Outer Slope"/>
    <n v="-12"/>
    <m/>
    <m/>
    <s v="Live Coral"/>
    <x v="0"/>
    <m/>
    <m/>
    <n v="39.4"/>
    <m/>
    <m/>
  </r>
  <r>
    <s v="Quod et. al. 2002"/>
    <x v="6"/>
    <x v="1"/>
    <n v="2001"/>
    <s v="After"/>
    <x v="0"/>
    <m/>
    <s v="La Saline/3Chameaux"/>
    <m/>
    <s v="Reef Flat"/>
    <n v="-0.5"/>
    <m/>
    <m/>
    <s v="Live Coral"/>
    <x v="0"/>
    <m/>
    <m/>
    <n v="36.6"/>
    <m/>
    <m/>
  </r>
  <r>
    <s v="Quod et. al. 2002"/>
    <x v="6"/>
    <x v="1"/>
    <n v="2001"/>
    <s v="After"/>
    <x v="0"/>
    <m/>
    <s v="La Saline/3Chameaux"/>
    <m/>
    <s v="Outer Slope"/>
    <n v="-12"/>
    <m/>
    <m/>
    <s v="Live Coral"/>
    <x v="0"/>
    <m/>
    <m/>
    <n v="42.9"/>
    <m/>
    <m/>
  </r>
  <r>
    <s v="Quod et. al. 2002"/>
    <x v="6"/>
    <x v="1"/>
    <n v="2002"/>
    <s v="After"/>
    <x v="0"/>
    <m/>
    <s v="La Saline/3Chameaux"/>
    <m/>
    <s v="Reef Flat"/>
    <n v="-0.5"/>
    <m/>
    <m/>
    <s v="Live Coral"/>
    <x v="0"/>
    <m/>
    <m/>
    <n v="35.700000000000003"/>
    <m/>
    <m/>
  </r>
  <r>
    <s v="Quod et. al. 2002"/>
    <x v="6"/>
    <x v="1"/>
    <n v="2002"/>
    <s v="After"/>
    <x v="0"/>
    <m/>
    <s v="La Saline/3Chameaux"/>
    <m/>
    <s v="Outer Slope"/>
    <n v="-12"/>
    <m/>
    <m/>
    <s v="Live Coral"/>
    <x v="0"/>
    <m/>
    <m/>
    <n v="38.700000000000003"/>
    <m/>
    <m/>
  </r>
  <r>
    <s v="Quod et. al. 2002"/>
    <x v="6"/>
    <x v="11"/>
    <n v="1999"/>
    <s v="After"/>
    <x v="0"/>
    <m/>
    <s v="Saint Leu/Corne Nord"/>
    <m/>
    <s v="Reef Flat"/>
    <n v="-0.5"/>
    <m/>
    <m/>
    <s v="Live Coral+Dead Coral"/>
    <x v="0"/>
    <m/>
    <m/>
    <n v="53.5"/>
    <m/>
    <m/>
  </r>
  <r>
    <s v="Quod et. al. 2002"/>
    <x v="6"/>
    <x v="11"/>
    <n v="1999"/>
    <s v="After"/>
    <x v="0"/>
    <m/>
    <s v="Saint Leu/Corne Nord"/>
    <m/>
    <s v="Outer Slope"/>
    <n v="8"/>
    <m/>
    <m/>
    <s v="Live Coral+Dead Coral"/>
    <x v="0"/>
    <m/>
    <m/>
    <n v="63.6"/>
    <m/>
    <m/>
  </r>
  <r>
    <s v="Quod et. al. 2002"/>
    <x v="6"/>
    <x v="1"/>
    <n v="2000"/>
    <s v="After"/>
    <x v="0"/>
    <m/>
    <s v="Saint Leu/Corne Nord"/>
    <m/>
    <s v="Reef Flat"/>
    <n v="-0.5"/>
    <m/>
    <m/>
    <s v="Live Coral"/>
    <x v="0"/>
    <m/>
    <m/>
    <n v="53.4"/>
    <m/>
    <m/>
  </r>
  <r>
    <s v="Quod et. al. 2002"/>
    <x v="6"/>
    <x v="1"/>
    <n v="2000"/>
    <s v="After"/>
    <x v="0"/>
    <m/>
    <s v="Saint Leu/Corne Nord"/>
    <m/>
    <s v="Outer Slope"/>
    <n v="-0.8"/>
    <m/>
    <m/>
    <s v="Live Coral"/>
    <x v="0"/>
    <m/>
    <m/>
    <n v="73.5"/>
    <m/>
    <m/>
  </r>
  <r>
    <s v="Quod et. al. 2002"/>
    <x v="6"/>
    <x v="1"/>
    <n v="2001"/>
    <s v="After"/>
    <x v="0"/>
    <m/>
    <s v="Saint Leu/Corne Nord"/>
    <m/>
    <s v="Reef Flat"/>
    <n v="-0.5"/>
    <m/>
    <m/>
    <s v="Live Coral"/>
    <x v="0"/>
    <m/>
    <m/>
    <n v="62.6"/>
    <m/>
    <m/>
  </r>
  <r>
    <s v="Quod et. al. 2002"/>
    <x v="6"/>
    <x v="1"/>
    <n v="2001"/>
    <s v="After"/>
    <x v="0"/>
    <m/>
    <s v="Saint Leu/Corne Nord"/>
    <m/>
    <s v="Outer Slope"/>
    <n v="-0.8"/>
    <m/>
    <m/>
    <s v="Live Coral"/>
    <x v="0"/>
    <m/>
    <m/>
    <n v="77.099999999999994"/>
    <m/>
    <m/>
  </r>
  <r>
    <s v="Quod et. al. 2002"/>
    <x v="6"/>
    <x v="1"/>
    <n v="2002"/>
    <s v="After"/>
    <x v="0"/>
    <m/>
    <s v="Saint Leu/Corne Nord"/>
    <m/>
    <s v="Reef Flat"/>
    <n v="-0.5"/>
    <m/>
    <m/>
    <s v="Live Coral"/>
    <x v="0"/>
    <m/>
    <m/>
    <n v="44.2"/>
    <m/>
    <m/>
  </r>
  <r>
    <s v="Quod et. al. 2002"/>
    <x v="6"/>
    <x v="1"/>
    <n v="2002"/>
    <s v="After"/>
    <x v="0"/>
    <m/>
    <s v="Saint Leu/Corne Nord"/>
    <m/>
    <s v="Outer Slope"/>
    <n v="-0.8"/>
    <m/>
    <m/>
    <s v="Live Coral"/>
    <x v="0"/>
    <m/>
    <m/>
    <n v="74.400000000000006"/>
    <m/>
    <m/>
  </r>
  <r>
    <s v="Webster &amp; McMahon 2002"/>
    <x v="3"/>
    <x v="1"/>
    <n v="1999"/>
    <s v="After"/>
    <x v="0"/>
    <m/>
    <s v="Nosy Mitsio"/>
    <m/>
    <m/>
    <n v="2.8"/>
    <s v="S 12º 50' 20&quot;"/>
    <s v="E 48º 36' 49''"/>
    <s v="Acropora"/>
    <x v="1"/>
    <m/>
    <m/>
    <n v="28.2"/>
    <m/>
    <n v="5.9"/>
  </r>
  <r>
    <s v="Webster &amp; McMahon 2002"/>
    <x v="3"/>
    <x v="1"/>
    <n v="1999"/>
    <s v="After"/>
    <x v="0"/>
    <m/>
    <s v="Nosy Mitsio"/>
    <m/>
    <m/>
    <n v="2.8"/>
    <s v="S 12º 50' 20&quot;"/>
    <s v="E 48º 36' 49''"/>
    <s v="Montipora"/>
    <x v="1"/>
    <m/>
    <m/>
    <n v="21.5"/>
    <m/>
    <n v="6.2"/>
  </r>
  <r>
    <s v="Webster &amp; McMahon 2002"/>
    <x v="3"/>
    <x v="1"/>
    <n v="1999"/>
    <s v="After"/>
    <x v="0"/>
    <m/>
    <s v="Nosy Mitsio"/>
    <m/>
    <m/>
    <n v="2.8"/>
    <s v="S 12º 50' 20&quot;"/>
    <s v="E 48º 36' 49''"/>
    <s v="Leptastrea"/>
    <x v="1"/>
    <m/>
    <m/>
    <n v="4"/>
    <m/>
    <n v="4"/>
  </r>
  <r>
    <s v="Webster &amp; McMahon 2002"/>
    <x v="3"/>
    <x v="1"/>
    <n v="1999"/>
    <s v="After"/>
    <x v="0"/>
    <m/>
    <s v="Nosy Mitsio"/>
    <m/>
    <m/>
    <n v="2.8"/>
    <s v="S 12º 50' 20&quot;"/>
    <s v="E 48º 36' 49''"/>
    <s v="Goniastrea"/>
    <x v="1"/>
    <m/>
    <m/>
    <n v="0.9"/>
    <m/>
    <n v="0.9"/>
  </r>
  <r>
    <s v="Webster &amp; McMahon 2002"/>
    <x v="3"/>
    <x v="1"/>
    <n v="1999"/>
    <s v="After"/>
    <x v="0"/>
    <m/>
    <s v="Nosy Sakatia"/>
    <m/>
    <m/>
    <n v="5.8"/>
    <s v="S 13º 19' 13&quot;"/>
    <s v="E 48º 09' 13&quot;"/>
    <s v="Acropora"/>
    <x v="1"/>
    <m/>
    <m/>
    <n v="11.5"/>
    <m/>
    <n v="1.2"/>
  </r>
  <r>
    <s v="Webster &amp; McMahon 2002"/>
    <x v="3"/>
    <x v="1"/>
    <n v="1999"/>
    <s v="After"/>
    <x v="0"/>
    <m/>
    <s v="Nosy Sakatia"/>
    <m/>
    <m/>
    <n v="5.8"/>
    <s v="S 13º 19' 13&quot;"/>
    <s v="E 48º 09' 13&quot;"/>
    <s v="Diploastrea"/>
    <x v="1"/>
    <m/>
    <m/>
    <n v="10.7"/>
    <m/>
    <n v="2"/>
  </r>
  <r>
    <s v="Webster &amp; McMahon 2002"/>
    <x v="3"/>
    <x v="1"/>
    <n v="1999"/>
    <s v="After"/>
    <x v="0"/>
    <m/>
    <s v="Nosy Sakatia"/>
    <m/>
    <m/>
    <n v="5.8"/>
    <s v="S 13º 19' 13&quot;"/>
    <s v="E 48º 09' 13&quot;"/>
    <s v="Porites"/>
    <x v="1"/>
    <m/>
    <m/>
    <n v="5.3"/>
    <m/>
    <n v="3.1"/>
  </r>
  <r>
    <s v="Webster &amp; McMahon 2002"/>
    <x v="3"/>
    <x v="1"/>
    <n v="1999"/>
    <s v="After"/>
    <x v="0"/>
    <m/>
    <s v="Nosy Sakatia"/>
    <m/>
    <m/>
    <n v="5.8"/>
    <s v="S 13º 19' 13&quot;"/>
    <s v="E 48º 09' 13&quot;"/>
    <s v="Favia"/>
    <x v="1"/>
    <m/>
    <m/>
    <n v="1.3"/>
    <m/>
    <n v="0.8"/>
  </r>
  <r>
    <s v="Webster &amp; McMahon 2002"/>
    <x v="3"/>
    <x v="1"/>
    <n v="1999"/>
    <s v="After"/>
    <x v="0"/>
    <m/>
    <s v="Nosy Sakatia"/>
    <m/>
    <m/>
    <n v="5.8"/>
    <s v="S 13º 19' 13&quot;"/>
    <s v="E 48º 09' 13&quot;"/>
    <s v="Favites"/>
    <x v="1"/>
    <m/>
    <m/>
    <n v="1.3"/>
    <m/>
    <n v="0.8"/>
  </r>
  <r>
    <s v="Webster &amp; McMahon 2002"/>
    <x v="3"/>
    <x v="1"/>
    <n v="1999"/>
    <s v="After"/>
    <x v="0"/>
    <m/>
    <s v="Nosy Tanikely"/>
    <m/>
    <m/>
    <n v="4"/>
    <s v="S 13º 28' 40&quot;"/>
    <s v="E 48º 14' 30&quot;"/>
    <s v="Acropora"/>
    <x v="1"/>
    <m/>
    <m/>
    <n v="26.2"/>
    <m/>
    <n v="10.5"/>
  </r>
  <r>
    <s v="Webster &amp; McMahon 2002"/>
    <x v="3"/>
    <x v="1"/>
    <n v="1999"/>
    <s v="After"/>
    <x v="0"/>
    <m/>
    <s v="Nosy Tanikely"/>
    <m/>
    <m/>
    <n v="4"/>
    <s v="S 13º 28' 40&quot;"/>
    <s v="E 48º 14' 30&quot;"/>
    <s v="Leptastrea"/>
    <x v="1"/>
    <m/>
    <m/>
    <n v="3.5"/>
    <m/>
    <n v="2.2000000000000002"/>
  </r>
  <r>
    <s v="Webster &amp; McMahon 2002"/>
    <x v="3"/>
    <x v="1"/>
    <n v="1999"/>
    <s v="After"/>
    <x v="0"/>
    <m/>
    <s v="Nosy Tanikely"/>
    <m/>
    <m/>
    <n v="4"/>
    <s v="S 13º 28' 40&quot;"/>
    <s v="E 48º 14' 30&quot;"/>
    <s v="Favites"/>
    <x v="1"/>
    <m/>
    <m/>
    <n v="1.8"/>
    <m/>
    <n v="1.2"/>
  </r>
  <r>
    <s v="Webster &amp; McMahon 2002"/>
    <x v="3"/>
    <x v="1"/>
    <n v="1999"/>
    <s v="After"/>
    <x v="0"/>
    <m/>
    <s v="Nosy Tanikely"/>
    <m/>
    <m/>
    <n v="4"/>
    <s v="S 13º 28' 40&quot;"/>
    <s v="E 48º 14' 30&quot;"/>
    <s v="Galaxea"/>
    <x v="1"/>
    <m/>
    <m/>
    <n v="1.8"/>
    <m/>
    <n v="0.4"/>
  </r>
  <r>
    <s v="Webster &amp; McMahon 2002"/>
    <x v="3"/>
    <x v="1"/>
    <n v="1999"/>
    <s v="After"/>
    <x v="0"/>
    <m/>
    <s v="Nosy Tanikely"/>
    <m/>
    <m/>
    <n v="4"/>
    <s v="S 13º 28' 40&quot;"/>
    <s v="E 48º 14' 30&quot;"/>
    <s v="Goniastrea"/>
    <x v="1"/>
    <m/>
    <m/>
    <n v="1.8"/>
    <m/>
    <n v="1.2"/>
  </r>
  <r>
    <s v="Webster &amp; McMahon 2002"/>
    <x v="3"/>
    <x v="1"/>
    <n v="1999"/>
    <s v="After"/>
    <x v="0"/>
    <m/>
    <s v="Nosy Be – North"/>
    <m/>
    <m/>
    <n v="2.9"/>
    <s v="S 13º 12' 20&quot;"/>
    <s v="E 48º 15' 50&quot;"/>
    <s v="Montipora"/>
    <x v="1"/>
    <m/>
    <m/>
    <n v="26.2"/>
    <m/>
    <n v="8"/>
  </r>
  <r>
    <s v="Webster &amp; McMahon 2002"/>
    <x v="3"/>
    <x v="1"/>
    <n v="1999"/>
    <s v="After"/>
    <x v="0"/>
    <m/>
    <s v="Nosy Be – North"/>
    <m/>
    <m/>
    <n v="2.9"/>
    <s v="S 13º 12' 20&quot;"/>
    <s v="E 48º 15' 50&quot;"/>
    <s v="Acropora"/>
    <x v="1"/>
    <m/>
    <m/>
    <n v="25.8"/>
    <m/>
    <n v="11.3"/>
  </r>
  <r>
    <s v="Webster &amp; McMahon 2002"/>
    <x v="3"/>
    <x v="1"/>
    <n v="1999"/>
    <s v="After"/>
    <x v="0"/>
    <m/>
    <s v="Nosy Be – North"/>
    <m/>
    <m/>
    <n v="2.9"/>
    <s v="S 13º 12' 20&quot;"/>
    <s v="E 48º 15' 50&quot;"/>
    <s v="Favites"/>
    <x v="1"/>
    <m/>
    <m/>
    <n v="1.3"/>
    <m/>
    <n v="1.33"/>
  </r>
  <r>
    <s v="Webster &amp; McMahon 2002"/>
    <x v="3"/>
    <x v="1"/>
    <n v="1999"/>
    <s v="After"/>
    <x v="0"/>
    <m/>
    <s v="Nosy Be – North"/>
    <m/>
    <m/>
    <n v="2.9"/>
    <s v="S 13º 12' 20&quot;"/>
    <s v="E 48º 15' 50&quot;"/>
    <s v="Astreopora"/>
    <x v="1"/>
    <m/>
    <m/>
    <n v="0.4"/>
    <m/>
    <n v="0.4"/>
  </r>
  <r>
    <s v="Webster &amp; McMahon 2002"/>
    <x v="3"/>
    <x v="1"/>
    <n v="1999"/>
    <s v="After"/>
    <x v="0"/>
    <m/>
    <s v="Nosy Be – North"/>
    <m/>
    <m/>
    <n v="2.9"/>
    <s v="S 13º 12' 20&quot;"/>
    <s v="E 48º 15' 50&quot;"/>
    <s v="Pscammocora"/>
    <x v="1"/>
    <m/>
    <m/>
    <n v="0.4"/>
    <m/>
    <n v="0.4"/>
  </r>
  <r>
    <s v="Webster &amp; McMahon 2002"/>
    <x v="3"/>
    <x v="1"/>
    <n v="1999"/>
    <s v="After"/>
    <x v="0"/>
    <m/>
    <s v="Nosy Be – Northwest"/>
    <m/>
    <m/>
    <n v="4.3"/>
    <s v="S 13º 14' 20&quot;"/>
    <s v="E 48º 11' 40''"/>
    <s v="Acropora"/>
    <x v="1"/>
    <m/>
    <m/>
    <n v="20.399999999999999"/>
    <m/>
    <n v="6.7"/>
  </r>
  <r>
    <s v="Webster &amp; McMahon 2002"/>
    <x v="3"/>
    <x v="1"/>
    <n v="1999"/>
    <s v="After"/>
    <x v="0"/>
    <m/>
    <s v="Nosy Be – Northwest"/>
    <m/>
    <m/>
    <n v="4.3"/>
    <s v="S 13º 14' 20&quot;"/>
    <s v="E 48º 11' 40''"/>
    <s v="Montipora"/>
    <x v="1"/>
    <m/>
    <m/>
    <n v="4.4000000000000004"/>
    <m/>
    <n v="1.8"/>
  </r>
  <r>
    <s v="Webster &amp; McMahon 2002"/>
    <x v="3"/>
    <x v="1"/>
    <n v="1999"/>
    <s v="After"/>
    <x v="0"/>
    <m/>
    <s v="Nosy Be – Northwest"/>
    <m/>
    <m/>
    <n v="4.3"/>
    <s v="S 13º 14' 20&quot;"/>
    <s v="E 48º 11' 40''"/>
    <s v="Astreopora"/>
    <x v="1"/>
    <m/>
    <m/>
    <n v="1.3"/>
    <m/>
    <n v="1.3"/>
  </r>
  <r>
    <s v="Webster &amp; McMahon 2002"/>
    <x v="3"/>
    <x v="1"/>
    <n v="1999"/>
    <s v="After"/>
    <x v="0"/>
    <m/>
    <s v="Nosy Be – Northwest"/>
    <m/>
    <m/>
    <n v="4.3"/>
    <s v="S 13º 14' 20&quot;"/>
    <s v="E 48º 11' 40''"/>
    <s v="Porites"/>
    <x v="1"/>
    <m/>
    <m/>
    <n v="1.3"/>
    <m/>
    <n v="0.8"/>
  </r>
  <r>
    <s v="Webster &amp; McMahon 2002"/>
    <x v="3"/>
    <x v="1"/>
    <n v="1999"/>
    <s v="After"/>
    <x v="0"/>
    <m/>
    <s v="Nosy Be – Lokebe Reef"/>
    <m/>
    <m/>
    <n v="4"/>
    <s v="S 13º 25' 27&quot;"/>
    <s v="E 48º 18' 30&quot;"/>
    <s v="Montipora"/>
    <x v="1"/>
    <m/>
    <m/>
    <n v="29.3"/>
    <m/>
    <n v="25.4"/>
  </r>
  <r>
    <s v="Webster &amp; McMahon 2002"/>
    <x v="3"/>
    <x v="1"/>
    <n v="1999"/>
    <s v="After"/>
    <x v="0"/>
    <m/>
    <s v="Nosy Be – Lokebe Reef"/>
    <m/>
    <m/>
    <n v="4"/>
    <s v="S 13º 25' 27&quot;"/>
    <s v="E 48º 18' 30&quot;"/>
    <s v="Acropora"/>
    <x v="1"/>
    <m/>
    <m/>
    <n v="19.100000000000001"/>
    <m/>
    <n v="16.5"/>
  </r>
  <r>
    <s v="Webster &amp; McMahon 2002"/>
    <x v="3"/>
    <x v="1"/>
    <n v="1999"/>
    <s v="After"/>
    <x v="0"/>
    <m/>
    <s v="Nosy Be – Lokebe Reef"/>
    <m/>
    <m/>
    <n v="4"/>
    <s v="S 13º 25' 27&quot;"/>
    <s v="E 48º 18' 30&quot;"/>
    <s v="Porites"/>
    <x v="1"/>
    <m/>
    <m/>
    <n v="1.8"/>
    <m/>
    <n v="0.4"/>
  </r>
  <r>
    <s v="Webster &amp; McMahon 2002"/>
    <x v="3"/>
    <x v="1"/>
    <n v="1999"/>
    <s v="After"/>
    <x v="0"/>
    <m/>
    <s v="Nosy Be – Lokebe Reef"/>
    <m/>
    <m/>
    <n v="4"/>
    <s v="S 13º 25' 27&quot;"/>
    <s v="E 48º 18' 30&quot;"/>
    <s v="Pocillopora"/>
    <x v="1"/>
    <m/>
    <m/>
    <n v="0.4"/>
    <m/>
    <n v="0.4"/>
  </r>
  <r>
    <s v="Muhando 1999"/>
    <x v="1"/>
    <x v="0"/>
    <n v="1997"/>
    <s v="Before"/>
    <x v="2"/>
    <m/>
    <s v="Chapwani"/>
    <m/>
    <m/>
    <m/>
    <m/>
    <m/>
    <s v="Hard Coral"/>
    <x v="0"/>
    <m/>
    <m/>
    <n v="44.31"/>
    <m/>
    <m/>
  </r>
  <r>
    <s v="Muhando 1999"/>
    <x v="1"/>
    <x v="0"/>
    <n v="1997"/>
    <s v="Before"/>
    <x v="2"/>
    <m/>
    <s v="Changuu"/>
    <m/>
    <m/>
    <m/>
    <m/>
    <m/>
    <s v="Hard Coral"/>
    <x v="0"/>
    <m/>
    <m/>
    <n v="50.11"/>
    <m/>
    <m/>
  </r>
  <r>
    <s v="Muhando 1999"/>
    <x v="1"/>
    <x v="0"/>
    <n v="1997"/>
    <s v="Before"/>
    <x v="2"/>
    <m/>
    <s v="Bawe"/>
    <m/>
    <m/>
    <m/>
    <m/>
    <m/>
    <s v="Hard Coral"/>
    <x v="0"/>
    <m/>
    <m/>
    <n v="53.11"/>
    <m/>
    <m/>
  </r>
  <r>
    <s v="Muhando 1999"/>
    <x v="1"/>
    <x v="0"/>
    <n v="1997"/>
    <s v="Before"/>
    <x v="2"/>
    <m/>
    <s v="Chumbe"/>
    <m/>
    <m/>
    <m/>
    <m/>
    <m/>
    <s v="Hard Coral"/>
    <x v="0"/>
    <m/>
    <m/>
    <n v="51.85"/>
    <m/>
    <m/>
  </r>
  <r>
    <s v="Muhando 1999"/>
    <x v="1"/>
    <x v="0"/>
    <n v="1997"/>
    <s v="Before"/>
    <x v="2"/>
    <m/>
    <s v="Kwale"/>
    <m/>
    <m/>
    <m/>
    <m/>
    <m/>
    <s v="Hard Coral"/>
    <x v="0"/>
    <m/>
    <m/>
    <n v="29.73"/>
    <m/>
    <m/>
  </r>
  <r>
    <s v="Muhando 1999"/>
    <x v="1"/>
    <x v="1"/>
    <n v="1997"/>
    <s v="Before"/>
    <x v="7"/>
    <m/>
    <s v="Mnemba"/>
    <m/>
    <m/>
    <m/>
    <m/>
    <m/>
    <s v="Hard Coral"/>
    <x v="0"/>
    <m/>
    <m/>
    <n v="13.95"/>
    <m/>
    <m/>
  </r>
  <r>
    <s v="Muhando 1999"/>
    <x v="1"/>
    <x v="1"/>
    <n v="1998"/>
    <s v="After"/>
    <x v="0"/>
    <m/>
    <s v="Chapwani"/>
    <m/>
    <m/>
    <m/>
    <m/>
    <m/>
    <s v="Hard Coral"/>
    <x v="0"/>
    <m/>
    <m/>
    <n v="25"/>
    <m/>
    <m/>
  </r>
  <r>
    <s v="Muhando 1999"/>
    <x v="1"/>
    <x v="1"/>
    <n v="1998"/>
    <s v="After"/>
    <x v="0"/>
    <m/>
    <s v="Changuu"/>
    <m/>
    <m/>
    <m/>
    <m/>
    <m/>
    <s v="Hard Coral"/>
    <x v="0"/>
    <m/>
    <m/>
    <n v="33"/>
    <m/>
    <m/>
  </r>
  <r>
    <s v="Muhando 1999"/>
    <x v="1"/>
    <x v="1"/>
    <n v="1998"/>
    <s v="After"/>
    <x v="0"/>
    <m/>
    <s v="Bawe"/>
    <m/>
    <m/>
    <m/>
    <m/>
    <m/>
    <s v="Hard Coral"/>
    <x v="0"/>
    <m/>
    <m/>
    <n v="45"/>
    <m/>
    <m/>
  </r>
  <r>
    <s v="Muhando 1999"/>
    <x v="1"/>
    <x v="1"/>
    <n v="1998"/>
    <s v="After"/>
    <x v="0"/>
    <m/>
    <s v="Chumbe"/>
    <m/>
    <m/>
    <m/>
    <m/>
    <m/>
    <s v="Hard Coral"/>
    <x v="0"/>
    <m/>
    <m/>
    <n v="42"/>
    <m/>
    <m/>
  </r>
  <r>
    <s v="Muhando 1999"/>
    <x v="1"/>
    <x v="1"/>
    <n v="1998"/>
    <s v="After"/>
    <x v="0"/>
    <m/>
    <s v="Kwale"/>
    <m/>
    <m/>
    <m/>
    <m/>
    <m/>
    <s v="Hard Coral"/>
    <x v="0"/>
    <m/>
    <m/>
    <n v="15"/>
    <m/>
    <m/>
  </r>
  <r>
    <s v="Quod &amp; Bigot"/>
    <x v="4"/>
    <x v="1"/>
    <n v="1999"/>
    <s v="After"/>
    <x v="0"/>
    <s v="North-West Mitsamiouli Reef"/>
    <m/>
    <m/>
    <m/>
    <m/>
    <m/>
    <s v="Live Coral"/>
    <m/>
    <x v="1"/>
    <m/>
    <m/>
    <n v="40"/>
    <m/>
    <m/>
  </r>
  <r>
    <s v="Quod &amp; Bigot"/>
    <x v="4"/>
    <x v="1"/>
    <n v="1999"/>
    <s v="After"/>
    <x v="0"/>
    <s v="North-West Mitsamiouli Reef"/>
    <m/>
    <m/>
    <m/>
    <m/>
    <m/>
    <s v="Recently dead coral"/>
    <m/>
    <x v="1"/>
    <m/>
    <m/>
    <n v="15"/>
    <m/>
    <m/>
  </r>
  <r>
    <s v="Quod &amp; Bigot"/>
    <x v="4"/>
    <x v="6"/>
    <n v="1999"/>
    <s v="After"/>
    <x v="0"/>
    <s v="North-West Mitsamiouli Reef"/>
    <m/>
    <m/>
    <m/>
    <m/>
    <m/>
    <s v="Hard Substrate with Algae"/>
    <m/>
    <x v="1"/>
    <m/>
    <m/>
    <n v="32"/>
    <m/>
    <m/>
  </r>
  <r>
    <s v="Quod &amp; Bigot"/>
    <x v="4"/>
    <x v="1"/>
    <n v="1999"/>
    <s v="After"/>
    <x v="8"/>
    <s v="Itsamia"/>
    <m/>
    <m/>
    <m/>
    <m/>
    <m/>
    <m/>
    <s v="Live Coral"/>
    <x v="1"/>
    <m/>
    <m/>
    <n v="36"/>
    <m/>
    <m/>
  </r>
  <r>
    <s v="Quod &amp; Bigot"/>
    <x v="4"/>
    <x v="1"/>
    <n v="1999"/>
    <s v="After"/>
    <x v="9"/>
    <s v="Itsamia"/>
    <m/>
    <m/>
    <m/>
    <m/>
    <m/>
    <m/>
    <s v="Recently dead coral"/>
    <x v="1"/>
    <m/>
    <m/>
    <n v="18"/>
    <m/>
    <m/>
  </r>
  <r>
    <s v="Quod &amp; Bigot"/>
    <x v="4"/>
    <x v="8"/>
    <n v="1999"/>
    <s v="After"/>
    <x v="2"/>
    <s v="Itsamia"/>
    <m/>
    <m/>
    <m/>
    <m/>
    <m/>
    <m/>
    <s v="Combined LC+RDC"/>
    <x v="0"/>
    <m/>
    <m/>
    <n v="54"/>
    <m/>
    <m/>
  </r>
  <r>
    <s v="Quod &amp; Bigot"/>
    <x v="4"/>
    <x v="1"/>
    <n v="1999"/>
    <s v="After"/>
    <x v="10"/>
    <s v="Itsamia"/>
    <m/>
    <m/>
    <m/>
    <m/>
    <m/>
    <s v="Hard Substrate with Algae"/>
    <m/>
    <x v="1"/>
    <m/>
    <m/>
    <n v="47"/>
    <m/>
    <m/>
  </r>
  <r>
    <s v="Quod &amp; Bigot"/>
    <x v="4"/>
    <x v="8"/>
    <n v="1998"/>
    <s v="During"/>
    <x v="0"/>
    <s v="Mitsamiouli"/>
    <m/>
    <m/>
    <m/>
    <m/>
    <m/>
    <s v="Live Coral"/>
    <m/>
    <x v="1"/>
    <m/>
    <m/>
    <n v="47"/>
    <m/>
    <m/>
  </r>
  <r>
    <s v="Quod &amp; Bigot"/>
    <x v="3"/>
    <x v="1"/>
    <n v="1999"/>
    <s v="After"/>
    <x v="8"/>
    <s v="Toliara"/>
    <s v="Ifaty"/>
    <m/>
    <m/>
    <m/>
    <m/>
    <m/>
    <s v="Live Coral"/>
    <x v="1"/>
    <m/>
    <m/>
    <n v="40.700000000000003"/>
    <m/>
    <m/>
  </r>
  <r>
    <s v="Quod &amp; Bigot"/>
    <x v="3"/>
    <x v="1"/>
    <n v="1999"/>
    <s v="After"/>
    <x v="9"/>
    <s v="Toliara"/>
    <s v="Ifaty"/>
    <m/>
    <m/>
    <m/>
    <m/>
    <m/>
    <s v="Recently dead coral"/>
    <x v="1"/>
    <m/>
    <m/>
    <n v="14"/>
    <m/>
    <m/>
  </r>
  <r>
    <s v="Quod &amp; Bigot"/>
    <x v="3"/>
    <x v="4"/>
    <n v="1999"/>
    <s v="After"/>
    <x v="2"/>
    <s v="Toliara"/>
    <s v="Ifaty"/>
    <m/>
    <m/>
    <m/>
    <m/>
    <m/>
    <s v="Combined LC+RDC"/>
    <x v="0"/>
    <m/>
    <m/>
    <n v="54.8"/>
    <m/>
    <m/>
  </r>
  <r>
    <s v="Quod &amp; Bigot"/>
    <x v="3"/>
    <x v="1"/>
    <n v="1999"/>
    <s v="After"/>
    <x v="0"/>
    <s v="Toliara"/>
    <s v="Ifaty"/>
    <m/>
    <m/>
    <m/>
    <m/>
    <s v="Dead Substrate"/>
    <m/>
    <x v="1"/>
    <m/>
    <m/>
    <n v="40.799999999999997"/>
    <m/>
    <m/>
  </r>
  <r>
    <s v="Quod &amp; Bigot"/>
    <x v="10"/>
    <x v="8"/>
    <n v="1999"/>
    <s v="After"/>
    <x v="2"/>
    <s v="Surprise"/>
    <m/>
    <s v="Reef Flat"/>
    <m/>
    <m/>
    <m/>
    <s v="Live Coral"/>
    <s v="Live Coral+RDC"/>
    <x v="0"/>
    <m/>
    <m/>
    <n v="94.6"/>
    <m/>
    <m/>
  </r>
  <r>
    <s v="Quod &amp; Bigot"/>
    <x v="10"/>
    <x v="1"/>
    <n v="1998"/>
    <s v="During"/>
    <x v="0"/>
    <s v="Longogori"/>
    <m/>
    <s v="Reef Flat"/>
    <m/>
    <m/>
    <m/>
    <s v="Live Coral"/>
    <m/>
    <x v="1"/>
    <m/>
    <m/>
    <n v="6.4"/>
    <m/>
    <m/>
  </r>
  <r>
    <s v="Quod &amp; Bigot"/>
    <x v="10"/>
    <x v="1"/>
    <n v="1999"/>
    <s v="After"/>
    <x v="0"/>
    <s v="Longogori"/>
    <m/>
    <s v="Reef Flat"/>
    <m/>
    <m/>
    <m/>
    <s v="Live Coral"/>
    <m/>
    <x v="1"/>
    <m/>
    <m/>
    <n v="6.2"/>
    <m/>
    <m/>
  </r>
  <r>
    <s v="Quod &amp; Bigot"/>
    <x v="10"/>
    <x v="8"/>
    <n v="1999"/>
    <s v="After"/>
    <x v="2"/>
    <s v="Surprise"/>
    <m/>
    <s v="Deeper Reefs"/>
    <m/>
    <m/>
    <m/>
    <s v="Live Coral"/>
    <s v="Live Coral+RDC"/>
    <x v="0"/>
    <m/>
    <m/>
    <n v="97.2"/>
    <m/>
    <m/>
  </r>
  <r>
    <s v="Quod &amp; Bigot"/>
    <x v="10"/>
    <x v="1"/>
    <n v="1998"/>
    <s v="During"/>
    <x v="0"/>
    <s v="Longogori"/>
    <m/>
    <s v="Deeper Reefs"/>
    <m/>
    <m/>
    <m/>
    <s v="Live Coral"/>
    <m/>
    <x v="1"/>
    <m/>
    <m/>
    <n v="11.1"/>
    <m/>
    <m/>
  </r>
  <r>
    <s v="Quod &amp; Bigot"/>
    <x v="10"/>
    <x v="1"/>
    <n v="1999"/>
    <s v="After"/>
    <x v="0"/>
    <s v="Longogori"/>
    <m/>
    <s v="Deeper Reefs"/>
    <m/>
    <m/>
    <m/>
    <s v="Live Coral"/>
    <m/>
    <x v="1"/>
    <m/>
    <m/>
    <n v="21"/>
    <m/>
    <m/>
  </r>
  <r>
    <s v="Quod &amp; Bigot"/>
    <x v="10"/>
    <x v="8"/>
    <n v="1999"/>
    <s v="After"/>
    <x v="2"/>
    <s v="Geyser bank"/>
    <m/>
    <m/>
    <s v="Inner Reef Flat"/>
    <m/>
    <m/>
    <s v="Live Coral"/>
    <s v="Live Coral+Dead Coral"/>
    <x v="0"/>
    <m/>
    <m/>
    <n v="59.3"/>
    <m/>
    <m/>
  </r>
  <r>
    <s v="Quod &amp; Bigot"/>
    <x v="10"/>
    <x v="1"/>
    <n v="1999"/>
    <s v="After"/>
    <x v="0"/>
    <s v="Geyser bank"/>
    <m/>
    <m/>
    <m/>
    <m/>
    <m/>
    <s v="Live Coral"/>
    <m/>
    <x v="1"/>
    <m/>
    <m/>
    <n v="63.1"/>
    <m/>
    <m/>
  </r>
  <r>
    <s v="Obura - BSc thesis 1989"/>
    <x v="0"/>
    <x v="0"/>
    <n v="1988"/>
    <s v="Before"/>
    <x v="1"/>
    <m/>
    <s v="Diani"/>
    <s v="Diani"/>
    <m/>
    <m/>
    <m/>
    <m/>
    <s v="Hard coral"/>
    <x v="0"/>
    <m/>
    <m/>
    <n v="19"/>
    <m/>
    <m/>
  </r>
  <r>
    <s v="Obura - BSc thesis 1989"/>
    <x v="0"/>
    <x v="0"/>
    <n v="1988"/>
    <s v="Before"/>
    <x v="1"/>
    <m/>
    <s v="Diani"/>
    <s v="Diani 2"/>
    <m/>
    <m/>
    <m/>
    <m/>
    <s v="Hard coral"/>
    <x v="0"/>
    <m/>
    <m/>
    <n v="24.5"/>
    <m/>
    <m/>
  </r>
  <r>
    <s v="Obura - BSc thesis 1989"/>
    <x v="0"/>
    <x v="0"/>
    <n v="1988"/>
    <s v="Before"/>
    <x v="2"/>
    <m/>
    <s v="Malindi"/>
    <s v="Malindi"/>
    <m/>
    <m/>
    <m/>
    <m/>
    <s v="Hard coral"/>
    <x v="0"/>
    <m/>
    <m/>
    <n v="41.7"/>
    <m/>
    <m/>
  </r>
  <r>
    <s v="Obura - Phd thesis 1995"/>
    <x v="0"/>
    <x v="0"/>
    <n v="1993"/>
    <s v="Before"/>
    <x v="2"/>
    <m/>
    <s v="Malindi"/>
    <s v="MFR-4m."/>
    <m/>
    <m/>
    <m/>
    <m/>
    <s v="Hard coral"/>
    <x v="0"/>
    <m/>
    <m/>
    <n v="40.6"/>
    <m/>
    <m/>
  </r>
  <r>
    <s v="Obura - Phd thesis 1995"/>
    <x v="0"/>
    <x v="0"/>
    <n v="1993"/>
    <s v="Before"/>
    <x v="2"/>
    <m/>
    <s v="Malindi"/>
    <s v="MHR - Malindi harbour fringing reef"/>
    <m/>
    <m/>
    <m/>
    <m/>
    <s v="Hard coral"/>
    <x v="0"/>
    <m/>
    <m/>
    <n v="28.7"/>
    <m/>
    <m/>
  </r>
  <r>
    <s v="Obura - Phd thesis 1995"/>
    <x v="0"/>
    <x v="0"/>
    <n v="1993"/>
    <s v="Before"/>
    <x v="2"/>
    <m/>
    <s v="Malindi"/>
    <s v="MHR-6"/>
    <m/>
    <m/>
    <m/>
    <m/>
    <s v="Hard coral"/>
    <x v="0"/>
    <m/>
    <m/>
    <n v="40"/>
    <m/>
    <m/>
  </r>
  <r>
    <s v="Obura - Phd thesis 1995"/>
    <x v="0"/>
    <x v="0"/>
    <n v="1993"/>
    <s v="Before"/>
    <x v="2"/>
    <m/>
    <s v="Malindi"/>
    <s v="MNR"/>
    <m/>
    <m/>
    <m/>
    <m/>
    <s v="Hard coral"/>
    <x v="0"/>
    <m/>
    <m/>
    <n v="37.5"/>
    <m/>
    <m/>
  </r>
  <r>
    <s v="Obura - Phd thesis 1995"/>
    <x v="0"/>
    <x v="0"/>
    <n v="1993"/>
    <s v="Before"/>
    <x v="2"/>
    <m/>
    <s v="Malindi"/>
    <s v="MNR - 11 -12.5 m."/>
    <m/>
    <m/>
    <m/>
    <m/>
    <s v="Hard coral"/>
    <x v="0"/>
    <m/>
    <m/>
    <n v="32"/>
    <m/>
    <m/>
  </r>
  <r>
    <s v="Obura - Phd thesis 1995"/>
    <x v="0"/>
    <x v="0"/>
    <n v="1993"/>
    <s v="Before"/>
    <x v="2"/>
    <m/>
    <s v="Malindi"/>
    <s v="MNR, 4-6 meters depth"/>
    <m/>
    <m/>
    <m/>
    <m/>
    <s v="Hard coral"/>
    <x v="0"/>
    <m/>
    <m/>
    <n v="29.1"/>
    <m/>
    <m/>
  </r>
  <r>
    <s v="Obura - Phd thesis 1995"/>
    <x v="0"/>
    <x v="0"/>
    <n v="1993"/>
    <s v="Before"/>
    <x v="2"/>
    <m/>
    <s v="Malindi"/>
    <s v="MPR"/>
    <m/>
    <m/>
    <m/>
    <m/>
    <s v="Hard coral"/>
    <x v="0"/>
    <m/>
    <m/>
    <n v="32.1"/>
    <m/>
    <m/>
  </r>
  <r>
    <s v="Obura - Phd thesis 1995"/>
    <x v="0"/>
    <x v="0"/>
    <n v="1993"/>
    <s v="Before"/>
    <x v="2"/>
    <m/>
    <s v="Malindi"/>
    <s v="MPR4-6"/>
    <m/>
    <m/>
    <m/>
    <m/>
    <s v="Hard coral"/>
    <x v="0"/>
    <m/>
    <m/>
    <n v="49.5"/>
    <m/>
    <m/>
  </r>
  <r>
    <s v="Obura - Phd thesis 1995"/>
    <x v="0"/>
    <x v="0"/>
    <n v="1993"/>
    <s v="Before"/>
    <x v="2"/>
    <m/>
    <s v="Malindi"/>
    <s v="MVG - 5-6  m. below datum"/>
    <m/>
    <m/>
    <m/>
    <m/>
    <s v="Hard coral"/>
    <x v="0"/>
    <m/>
    <m/>
    <n v="27.3"/>
    <m/>
    <m/>
  </r>
  <r>
    <s v="Obura - BSc thesis 1989"/>
    <x v="0"/>
    <x v="0"/>
    <n v="1988"/>
    <s v="Before"/>
    <x v="1"/>
    <m/>
    <s v="Tiwi"/>
    <s v="Tiwi"/>
    <m/>
    <m/>
    <m/>
    <m/>
    <s v="Hard coral"/>
    <x v="0"/>
    <m/>
    <m/>
    <n v="25.6"/>
    <m/>
    <m/>
  </r>
  <r>
    <s v="Obura - BSc thesis 1989"/>
    <x v="0"/>
    <x v="0"/>
    <n v="1988"/>
    <s v="Before"/>
    <x v="1"/>
    <m/>
    <s v="Vipingo"/>
    <s v="Vipingo"/>
    <m/>
    <m/>
    <m/>
    <m/>
    <s v="Hard coral"/>
    <x v="0"/>
    <m/>
    <m/>
    <n v="22.8"/>
    <m/>
    <m/>
  </r>
  <r>
    <s v="Obura - BSc thesis 1989"/>
    <x v="0"/>
    <x v="0"/>
    <n v="1988"/>
    <s v="Before"/>
    <x v="2"/>
    <m/>
    <s v="Watamu"/>
    <s v="Watamu"/>
    <m/>
    <m/>
    <m/>
    <m/>
    <s v="Hard coral"/>
    <x v="0"/>
    <m/>
    <m/>
    <n v="31.1"/>
    <m/>
    <m/>
  </r>
  <r>
    <s v="Obura - Phd thesis 1995"/>
    <x v="0"/>
    <x v="0"/>
    <n v="1994"/>
    <s v="Before"/>
    <x v="2"/>
    <m/>
    <s v="Watamu"/>
    <s v="Watamu Deep fore reef"/>
    <m/>
    <m/>
    <m/>
    <m/>
    <s v="Hard coral"/>
    <x v="0"/>
    <m/>
    <m/>
    <n v="32"/>
    <m/>
    <m/>
  </r>
  <r>
    <s v="Obura - Phd thesis 1995"/>
    <x v="0"/>
    <x v="0"/>
    <n v="1994"/>
    <s v="Before"/>
    <x v="2"/>
    <m/>
    <s v="Watamu"/>
    <s v="Watamuu Turtle REef, 7 m."/>
    <m/>
    <m/>
    <m/>
    <m/>
    <s v="Hard coral"/>
    <x v="0"/>
    <m/>
    <m/>
    <n v="50"/>
    <m/>
    <m/>
  </r>
  <r>
    <s v="Obura - Phd thesis 1995"/>
    <x v="0"/>
    <x v="0"/>
    <n v="1994"/>
    <s v="Before"/>
    <x v="2"/>
    <m/>
    <s v="Watamu"/>
    <s v="WInt - 7 m. depth. Off plots 15/16"/>
    <m/>
    <m/>
    <m/>
    <m/>
    <s v="Hard coral"/>
    <x v="0"/>
    <m/>
    <m/>
    <n v="19.2"/>
    <m/>
    <m/>
  </r>
  <r>
    <s v="Porter &amp; Schleyer 2017"/>
    <x v="9"/>
    <x v="1"/>
    <n v="1993"/>
    <s v="Before"/>
    <x v="0"/>
    <s v=" Maputaland coastline - Norher Natal"/>
    <s v="Nine-mile Reef"/>
    <m/>
    <m/>
    <s v="13-17"/>
    <m/>
    <m/>
    <s v="Hard coral"/>
    <x v="0"/>
    <m/>
    <m/>
    <n v="13.3"/>
    <m/>
    <m/>
  </r>
  <r>
    <s v="Porter &amp; Schleyer 2017"/>
    <x v="9"/>
    <x v="1"/>
    <n v="1994"/>
    <s v="Before"/>
    <x v="0"/>
    <s v=" Maputaland coastline - Norher Natal"/>
    <s v="Nine-mile Reef"/>
    <m/>
    <m/>
    <s v="13-17"/>
    <m/>
    <m/>
    <s v="Hard coral"/>
    <x v="0"/>
    <m/>
    <m/>
    <n v="13.5"/>
    <m/>
    <m/>
  </r>
  <r>
    <s v="Porter &amp; Schleyer 2017"/>
    <x v="9"/>
    <x v="1"/>
    <n v="1995"/>
    <s v="Before"/>
    <x v="0"/>
    <s v=" Maputaland coastline - Norher Natal"/>
    <s v="Nine-mile Reef"/>
    <m/>
    <m/>
    <s v="13-17"/>
    <m/>
    <m/>
    <s v="Hard coral"/>
    <x v="0"/>
    <m/>
    <m/>
    <n v="14.7"/>
    <m/>
    <m/>
  </r>
  <r>
    <s v="Porter &amp; Schleyer 2017"/>
    <x v="9"/>
    <x v="1"/>
    <n v="1996"/>
    <s v="Before"/>
    <x v="0"/>
    <s v=" Maputaland coastline - Norher Natal"/>
    <s v="Nine-mile Reef"/>
    <m/>
    <m/>
    <s v="13-17"/>
    <m/>
    <m/>
    <s v="Hard coral"/>
    <x v="0"/>
    <m/>
    <m/>
    <n v="13.4"/>
    <m/>
    <m/>
  </r>
  <r>
    <s v="Porter &amp; Schleyer 2017"/>
    <x v="9"/>
    <x v="1"/>
    <n v="1997"/>
    <s v="Before"/>
    <x v="0"/>
    <s v=" Maputaland coastline - Norher Natal"/>
    <s v="Nine-mile Reef"/>
    <m/>
    <m/>
    <s v="13-17"/>
    <m/>
    <m/>
    <s v="Hard coral"/>
    <x v="0"/>
    <m/>
    <m/>
    <n v="14.5"/>
    <m/>
    <m/>
  </r>
  <r>
    <s v="Porter &amp; Schleyer 2017"/>
    <x v="9"/>
    <x v="1"/>
    <n v="1998"/>
    <s v="Before"/>
    <x v="0"/>
    <s v=" Maputaland coastline - Norher Natal"/>
    <s v="Nine-mile Reef"/>
    <m/>
    <m/>
    <s v="13-17"/>
    <m/>
    <m/>
    <s v="Hard coral"/>
    <x v="0"/>
    <m/>
    <m/>
    <n v="14.8"/>
    <m/>
    <m/>
  </r>
  <r>
    <s v="Porter &amp; Schleyer 2017"/>
    <x v="9"/>
    <x v="1"/>
    <n v="1999"/>
    <s v="Before"/>
    <x v="0"/>
    <s v=" Maputaland coastline - Norher Natal"/>
    <s v="Nine-mile Reef"/>
    <m/>
    <m/>
    <s v="13-17"/>
    <m/>
    <m/>
    <s v="Hard coral"/>
    <x v="0"/>
    <m/>
    <m/>
    <n v="15"/>
    <m/>
    <m/>
  </r>
  <r>
    <s v="Porter &amp; Schleyer 2019"/>
    <x v="9"/>
    <x v="1"/>
    <s v="1999-2005"/>
    <s v="During: Only negligible bleaching of the coral communities was recorded during this time, and there was no bleaching-related mortality attibutable to the warm regional temperatures of 1998, 2000, and 2005 (Schleyer &amp; Celliers 2000; Celliers and Schleyer 2002; sebastian et al. 2009)."/>
    <x v="0"/>
    <s v=" Maputaland coastline - Norher Natal"/>
    <s v="Multiple sites extending across all reef complexes from Leadsman Shoal in the south to Kosi in the north"/>
    <m/>
    <m/>
    <m/>
    <m/>
    <m/>
    <s v="Hard coral"/>
    <x v="0"/>
    <m/>
    <m/>
    <n v="22.5"/>
    <n v="14.7"/>
    <m/>
  </r>
  <r>
    <s v="Schleyer &amp; Porter 2018"/>
    <x v="9"/>
    <x v="1"/>
    <s v="1999-2006"/>
    <s v="During: Only negligible bleaching of the coral communities was recorded during this time, and there was no bleaching-related mortality attibutable to the warm regional temperatures of 1998, 2000, and 2005 (Schleyer &amp; Celliers 2000; Celliers and Schleyer 2002; sebastian et al. 2009)."/>
    <x v="0"/>
    <s v=" Maputaland coastline - Norher Natal"/>
    <s v="Based on same data as Porter &amp; Schleyer 2019 but will give you %cover at each of the 3 reef complexes and for each reef surveyed in the electronic supplementary material if you are prepared to manually at up the different % covers of each hard coral genus!"/>
    <m/>
    <m/>
    <m/>
    <m/>
    <m/>
    <s v="Hard coral"/>
    <x v="0"/>
    <m/>
    <m/>
    <m/>
    <m/>
    <m/>
  </r>
  <r>
    <s v="Riegl et al. 1995"/>
    <x v="9"/>
    <x v="1"/>
    <s v="n.d"/>
    <s v="Before"/>
    <x v="0"/>
    <s v=" Maputaland coastline - Norher Natal"/>
    <s v="Across all 3 reef complexes ie. 5 reefs see below"/>
    <m/>
    <m/>
    <m/>
    <m/>
    <m/>
    <s v="Hard coral"/>
    <x v="0"/>
    <m/>
    <m/>
    <n v="29"/>
    <m/>
    <m/>
  </r>
  <r>
    <s v="Riegl et al. 1995"/>
    <x v="9"/>
    <x v="3"/>
    <s v="n.d"/>
    <s v="Before"/>
    <x v="2"/>
    <s v=" Maputaland coastline - Norher Natal"/>
    <s v="Kosi"/>
    <m/>
    <m/>
    <m/>
    <m/>
    <m/>
    <s v="Hard coral"/>
    <x v="0"/>
    <m/>
    <m/>
    <n v="47.4"/>
    <m/>
    <m/>
  </r>
  <r>
    <s v="Riegl et al. 1995"/>
    <x v="9"/>
    <x v="3"/>
    <s v="n.d"/>
    <s v="Before"/>
    <x v="2"/>
    <s v=" Maputaland coastline - Norher Natal"/>
    <s v="Nine-mile Reef"/>
    <m/>
    <m/>
    <m/>
    <m/>
    <m/>
    <s v="Hard coral"/>
    <x v="0"/>
    <m/>
    <m/>
    <n v="20.7"/>
    <m/>
    <m/>
  </r>
  <r>
    <s v="Riegl et al. 1995"/>
    <x v="9"/>
    <x v="1"/>
    <s v="n.d"/>
    <s v="Before"/>
    <x v="0"/>
    <s v=" Maputaland coastline - Norher Natal"/>
    <s v="Four-mile Reef"/>
    <m/>
    <m/>
    <m/>
    <m/>
    <m/>
    <s v="Hard coral"/>
    <x v="0"/>
    <m/>
    <m/>
    <n v="43"/>
    <m/>
    <m/>
  </r>
  <r>
    <s v="Riegl et al. 1995"/>
    <x v="9"/>
    <x v="3"/>
    <s v="n.d"/>
    <s v="Before"/>
    <x v="2"/>
    <s v=" Maputaland coastline - Norher Natal"/>
    <s v="Two-mile Reef"/>
    <m/>
    <m/>
    <m/>
    <m/>
    <m/>
    <s v="Hard coral"/>
    <x v="0"/>
    <m/>
    <m/>
    <n v="22.7"/>
    <m/>
    <m/>
  </r>
  <r>
    <s v="Riegl et al. 1995"/>
    <x v="9"/>
    <x v="3"/>
    <s v="n.d"/>
    <s v="Before"/>
    <x v="2"/>
    <s v=" Maputaland coastline - Norher Natal"/>
    <s v="Red Sands"/>
    <m/>
    <m/>
    <m/>
    <m/>
    <m/>
    <s v="Hard coral"/>
    <x v="0"/>
    <m/>
    <m/>
    <n v="16.8"/>
    <m/>
    <m/>
  </r>
  <r>
    <s v="McClanahan et al. 2009"/>
    <x v="1"/>
    <x v="0"/>
    <n v="1995"/>
    <s v="Before"/>
    <x v="2"/>
    <s v="Dar es Salaam"/>
    <s v="Bongoyo"/>
    <m/>
    <m/>
    <m/>
    <m/>
    <m/>
    <s v="Hard Coral"/>
    <x v="0"/>
    <m/>
    <n v="1"/>
    <n v="32.4"/>
    <m/>
    <m/>
  </r>
  <r>
    <s v="McClanahan et al. 2009"/>
    <x v="1"/>
    <x v="0"/>
    <n v="1995"/>
    <s v="Before"/>
    <x v="2"/>
    <s v="Dar es Salaam"/>
    <s v="Mbudya"/>
    <m/>
    <m/>
    <m/>
    <m/>
    <m/>
    <s v="Hard Coral"/>
    <x v="0"/>
    <m/>
    <m/>
    <n v="52.8"/>
    <m/>
    <m/>
  </r>
  <r>
    <s v="McClanahan et al. 2009"/>
    <x v="1"/>
    <x v="0"/>
    <n v="1996"/>
    <s v="Before"/>
    <x v="0"/>
    <s v="Tanga"/>
    <s v="Tanga"/>
    <m/>
    <m/>
    <m/>
    <m/>
    <m/>
    <s v="Hard Coral"/>
    <x v="0"/>
    <m/>
    <m/>
    <n v="33.799999999999997"/>
    <m/>
    <m/>
  </r>
  <r>
    <s v="McClanahan et al. 2009"/>
    <x v="1"/>
    <x v="0"/>
    <n v="1996"/>
    <s v="Before"/>
    <x v="0"/>
    <s v="Zanzibar"/>
    <s v="Changuu"/>
    <m/>
    <m/>
    <m/>
    <m/>
    <m/>
    <s v="Hard Coral"/>
    <x v="0"/>
    <m/>
    <m/>
    <n v="44.7"/>
    <m/>
    <m/>
  </r>
  <r>
    <s v="McClanahan et al. 2009"/>
    <x v="1"/>
    <x v="0"/>
    <n v="1996"/>
    <s v="Before"/>
    <x v="0"/>
    <s v="Zanzibar"/>
    <s v="Chapwani"/>
    <m/>
    <m/>
    <m/>
    <m/>
    <m/>
    <s v="Hard Coral"/>
    <x v="0"/>
    <m/>
    <m/>
    <n v="52.3"/>
    <m/>
    <m/>
  </r>
  <r>
    <s v="McClanahan et al. 2009"/>
    <x v="1"/>
    <x v="0"/>
    <n v="1996"/>
    <s v="Before"/>
    <x v="0"/>
    <s v="Zanzibar"/>
    <s v="Chumbe"/>
    <m/>
    <m/>
    <m/>
    <m/>
    <m/>
    <s v="Hard Coral"/>
    <x v="0"/>
    <m/>
    <m/>
    <n v="62.7"/>
    <m/>
    <m/>
  </r>
  <r>
    <s v="McClanahan et al. 2007"/>
    <x v="1"/>
    <x v="2"/>
    <n v="1997"/>
    <s v="Before"/>
    <x v="2"/>
    <s v="Mafia"/>
    <s v="Mange"/>
    <m/>
    <m/>
    <m/>
    <n v="-8.0306300000000004"/>
    <n v="39.353009999999998"/>
    <s v="Hard Coral"/>
    <x v="0"/>
    <m/>
    <m/>
    <n v="70"/>
    <m/>
    <m/>
  </r>
  <r>
    <s v="McClanahan et al. 2007"/>
    <x v="1"/>
    <x v="2"/>
    <n v="1997"/>
    <s v="Before"/>
    <x v="2"/>
    <s v="Mafia"/>
    <s v="Juani"/>
    <m/>
    <m/>
    <m/>
    <n v="-7.5851800000000003"/>
    <n v="39.48518"/>
    <s v="Hard Coral"/>
    <x v="0"/>
    <m/>
    <m/>
    <n v="70"/>
    <m/>
    <m/>
  </r>
  <r>
    <s v="McClanahan et al. 2007"/>
    <x v="1"/>
    <x v="2"/>
    <n v="1997"/>
    <s v="Before"/>
    <x v="2"/>
    <s v="Mnazi Bay "/>
    <s v="Chumbo"/>
    <m/>
    <m/>
    <m/>
    <n v="-10.19162"/>
    <n v="40.21349"/>
    <s v="Hard Coral"/>
    <x v="0"/>
    <m/>
    <m/>
    <n v="60"/>
    <m/>
    <m/>
  </r>
  <r>
    <s v="McClanahan et al. 2007"/>
    <x v="1"/>
    <x v="2"/>
    <n v="1997"/>
    <s v="Before"/>
    <x v="2"/>
    <s v="Mnazi Bay "/>
    <s v="Cha Kati "/>
    <m/>
    <m/>
    <m/>
    <n v="-10.185370000000001"/>
    <n v="40.220799999999997"/>
    <s v="Hard Coral"/>
    <x v="0"/>
    <m/>
    <m/>
    <n v="60"/>
    <m/>
    <m/>
  </r>
  <r>
    <s v="McClanahan et al. 2007"/>
    <x v="1"/>
    <x v="0"/>
    <n v="1997"/>
    <s v="Before"/>
    <x v="2"/>
    <s v="Pemba"/>
    <s v="Misali 3"/>
    <m/>
    <m/>
    <m/>
    <n v="-5.1512700000000002"/>
    <n v="39.350659999999998"/>
    <s v="Hard Coral"/>
    <x v="0"/>
    <m/>
    <m/>
    <n v="30"/>
    <m/>
    <m/>
  </r>
  <r>
    <s v="McClanahan et al. 2007"/>
    <x v="1"/>
    <x v="0"/>
    <n v="1997"/>
    <s v="Before"/>
    <x v="2"/>
    <s v="Pemba"/>
    <s v="Misali 1"/>
    <m/>
    <m/>
    <m/>
    <n v="-5.1413700000000002"/>
    <n v="39.353960000000001"/>
    <s v="Hard Coral"/>
    <x v="0"/>
    <m/>
    <m/>
    <n v="74"/>
    <m/>
    <m/>
  </r>
  <r>
    <s v="McClanahan et al. 2007"/>
    <x v="1"/>
    <x v="0"/>
    <n v="1997"/>
    <s v="Before"/>
    <x v="2"/>
    <s v="Pemba"/>
    <s v="Misali 2"/>
    <m/>
    <m/>
    <m/>
    <n v="-5.1401199999999996"/>
    <n v="39.354529999999997"/>
    <s v="Hard Coral"/>
    <x v="0"/>
    <m/>
    <m/>
    <n v="57"/>
    <m/>
    <m/>
  </r>
  <r>
    <s v="McClanahan et al. 2007"/>
    <x v="1"/>
    <x v="2"/>
    <n v="1997"/>
    <s v="Before"/>
    <x v="2"/>
    <s v="Songo songo "/>
    <s v="Amana"/>
    <m/>
    <m/>
    <m/>
    <n v="-8.4218700000000002"/>
    <n v="39.2622"/>
    <s v="Hard Coral"/>
    <x v="0"/>
    <m/>
    <m/>
    <n v="35"/>
    <m/>
    <m/>
  </r>
  <r>
    <s v="McClanahan et al. 2007"/>
    <x v="1"/>
    <x v="2"/>
    <n v="1997"/>
    <s v="Before"/>
    <x v="0"/>
    <s v="Songo songo "/>
    <s v="Jewe"/>
    <m/>
    <m/>
    <m/>
    <n v="-8.3805899999999998"/>
    <n v="39.261510000000001"/>
    <s v="Hard Coral"/>
    <x v="0"/>
    <m/>
    <m/>
    <n v="30"/>
    <m/>
    <m/>
  </r>
  <r>
    <s v="McClanahan et al. 2007"/>
    <x v="1"/>
    <x v="0"/>
    <n v="1997"/>
    <s v="Before"/>
    <x v="2"/>
    <s v="Tanga"/>
    <s v="Upangu"/>
    <m/>
    <m/>
    <m/>
    <n v="-5.1856999999999998"/>
    <n v="39.044440000000002"/>
    <s v="Hard Coral"/>
    <x v="0"/>
    <m/>
    <m/>
    <n v="50"/>
    <m/>
    <m/>
  </r>
  <r>
    <s v="McClanahan et al. 2007"/>
    <x v="1"/>
    <x v="0"/>
    <n v="1997"/>
    <s v="Before"/>
    <x v="2"/>
    <s v="Tanga"/>
    <s v="Chanjale"/>
    <m/>
    <m/>
    <m/>
    <n v="-5.1830800000000004"/>
    <n v="39.035290000000003"/>
    <s v="Hard Coral"/>
    <x v="0"/>
    <m/>
    <m/>
    <n v="45"/>
    <m/>
    <m/>
  </r>
  <r>
    <s v="McClanahan et al. 2007"/>
    <x v="1"/>
    <x v="0"/>
    <n v="1997"/>
    <s v="Before"/>
    <x v="2"/>
    <s v="Tanga"/>
    <s v="Taa"/>
    <m/>
    <m/>
    <m/>
    <n v="-5.1735699999999998"/>
    <n v="39.054609999999997"/>
    <s v="Hard Coral"/>
    <x v="0"/>
    <m/>
    <m/>
    <n v="67"/>
    <m/>
    <m/>
  </r>
  <r>
    <s v="McClanahan et al. 2007"/>
    <x v="1"/>
    <x v="0"/>
    <n v="1997"/>
    <s v="Before"/>
    <x v="2"/>
    <s v="Tanga"/>
    <s v="Kitanga"/>
    <m/>
    <m/>
    <m/>
    <n v="-5.1712999999999996"/>
    <n v="39.043039999999998"/>
    <s v="Hard Coral"/>
    <x v="0"/>
    <m/>
    <m/>
    <n v="50"/>
    <m/>
    <m/>
  </r>
  <r>
    <s v="Muhando and Francis 2000"/>
    <x v="1"/>
    <x v="0"/>
    <n v="1997"/>
    <s v="Before"/>
    <x v="2"/>
    <s v="Pangavini Marine Reserve"/>
    <s v="Pangavini SW"/>
    <m/>
    <m/>
    <m/>
    <m/>
    <m/>
    <s v="Hard Coral"/>
    <x v="0"/>
    <m/>
    <m/>
    <n v="78.2"/>
    <m/>
    <m/>
  </r>
  <r>
    <s v="Muhando and Francis 2000"/>
    <x v="1"/>
    <x v="0"/>
    <n v="1997"/>
    <s v="Before"/>
    <x v="0"/>
    <s v="Fungu Yasini Marine Reserve"/>
    <s v="SE1"/>
    <m/>
    <m/>
    <m/>
    <m/>
    <m/>
    <s v="Hard Coral"/>
    <x v="0"/>
    <m/>
    <m/>
    <n v="8"/>
    <m/>
    <m/>
  </r>
  <r>
    <s v="Muhando and Francis 2000"/>
    <x v="1"/>
    <x v="0"/>
    <n v="1997"/>
    <s v="Before"/>
    <x v="0"/>
    <s v="Fungu Yasini Marine Reserve"/>
    <s v="SE2"/>
    <m/>
    <m/>
    <m/>
    <m/>
    <m/>
    <s v="Hard Coral"/>
    <x v="0"/>
    <m/>
    <m/>
    <n v="18.3"/>
    <m/>
    <m/>
  </r>
  <r>
    <s v="Muhando and Francis 2000"/>
    <x v="1"/>
    <x v="0"/>
    <n v="1997"/>
    <s v="Before"/>
    <x v="0"/>
    <s v="Fungu Yasini Marine Reserve"/>
    <s v="SE3"/>
    <m/>
    <m/>
    <m/>
    <m/>
    <m/>
    <s v="Hard Coral"/>
    <x v="0"/>
    <m/>
    <m/>
    <n v="20"/>
    <m/>
    <m/>
  </r>
  <r>
    <s v="Muhando and Francis 2000"/>
    <x v="1"/>
    <x v="0"/>
    <n v="1997"/>
    <s v="Before"/>
    <x v="0"/>
    <s v="Tanga"/>
    <s v="Tanga"/>
    <m/>
    <m/>
    <m/>
    <m/>
    <m/>
    <s v="Hard Coral"/>
    <x v="0"/>
    <m/>
    <n v="4"/>
    <n v="67"/>
    <m/>
    <m/>
  </r>
  <r>
    <s v="Muhando and Mohammad 2002"/>
    <x v="1"/>
    <x v="0"/>
    <n v="1994"/>
    <s v="Before"/>
    <x v="0"/>
    <s v="Pemba"/>
    <s v="Misali Reef"/>
    <m/>
    <m/>
    <m/>
    <m/>
    <m/>
    <s v="Hard Coral"/>
    <x v="0"/>
    <m/>
    <m/>
    <n v="20"/>
    <m/>
    <m/>
  </r>
  <r>
    <s v="Muhando and Mohammad 2002"/>
    <x v="1"/>
    <x v="2"/>
    <n v="1991"/>
    <s v="Before"/>
    <x v="2"/>
    <s v="Mafia Reef"/>
    <s v="Tutia"/>
    <m/>
    <m/>
    <m/>
    <m/>
    <m/>
    <s v="Hard Coral"/>
    <x v="0"/>
    <m/>
    <m/>
    <n v="80"/>
    <m/>
    <m/>
  </r>
  <r>
    <s v="Naim 1993"/>
    <x v="6"/>
    <x v="11"/>
    <n v="1985"/>
    <s v="Before"/>
    <x v="0"/>
    <s v="La Saline Reff"/>
    <s v="Planch'Alizés"/>
    <m/>
    <s v="Reef Flat"/>
    <m/>
    <s v="S 21º 7'"/>
    <s v="E 55º 13'"/>
    <s v="Dead coral"/>
    <x v="10"/>
    <m/>
    <m/>
    <n v="47"/>
    <m/>
    <m/>
  </r>
  <r>
    <s v="Naim 1993"/>
    <x v="6"/>
    <x v="11"/>
    <n v="1985"/>
    <s v="Before"/>
    <x v="0"/>
    <s v="La Saline Reff"/>
    <s v="Planch'Alizés"/>
    <m/>
    <s v="Reef Flat"/>
    <m/>
    <s v="S 21º 7'"/>
    <s v="E 55º 13'"/>
    <s v="Living coral"/>
    <x v="0"/>
    <m/>
    <m/>
    <n v="15"/>
    <m/>
    <m/>
  </r>
  <r>
    <s v="Naim 1993"/>
    <x v="6"/>
    <x v="11"/>
    <n v="1985"/>
    <s v="Before"/>
    <x v="0"/>
    <s v="La Saline Reff"/>
    <s v="Planch'Alizés"/>
    <m/>
    <s v="Reef Flat"/>
    <m/>
    <s v="S 21º 7'"/>
    <s v="E 55º 13'"/>
    <s v="Algae"/>
    <x v="1"/>
    <m/>
    <m/>
    <n v="50"/>
    <m/>
    <m/>
  </r>
  <r>
    <s v="Montaggioni et al. 1993"/>
    <x v="6"/>
    <x v="11"/>
    <n v="1985"/>
    <s v="Before"/>
    <x v="2"/>
    <s v="La Saline Reff"/>
    <s v="Planch'Alizés"/>
    <m/>
    <s v="Outer Reef Flat"/>
    <m/>
    <s v="S 21º 7'"/>
    <s v="E 55º 13'"/>
    <s v="Live Coral"/>
    <x v="0"/>
    <m/>
    <m/>
    <n v="50"/>
    <m/>
    <m/>
  </r>
  <r>
    <s v="Montaggioni et al. 1993"/>
    <x v="6"/>
    <x v="11"/>
    <n v="1985"/>
    <s v="Before"/>
    <x v="0"/>
    <s v="La Saline Reff"/>
    <s v="Planch'Alizés"/>
    <m/>
    <s v="Outer Reef Flat"/>
    <m/>
    <s v="S 21º 7'"/>
    <s v="E 55º 13'"/>
    <s v="Corraline Algae"/>
    <x v="1"/>
    <m/>
    <m/>
    <n v="25"/>
    <m/>
    <m/>
  </r>
  <r>
    <s v="Montaggioni et al. 1993"/>
    <x v="6"/>
    <x v="11"/>
    <n v="1985"/>
    <s v="Before"/>
    <x v="2"/>
    <s v="La Saline Reff"/>
    <s v="Planch'Alizés"/>
    <m/>
    <s v="Inner Reef Flat"/>
    <m/>
    <s v="S 21º 7'"/>
    <s v="E 55º 13'"/>
    <s v="Live Coral"/>
    <x v="0"/>
    <m/>
    <m/>
    <n v="60"/>
    <m/>
    <m/>
  </r>
  <r>
    <s v="Costa_et_al._2005"/>
    <x v="2"/>
    <x v="1"/>
    <n v="1999"/>
    <m/>
    <x v="0"/>
    <s v="Inhambane"/>
    <s v="Barra"/>
    <s v="Anchor's_Bay"/>
    <s v="NA"/>
    <s v="NA"/>
    <n v="-23.776944440000001"/>
    <n v="35.51055556"/>
    <m/>
    <x v="0"/>
    <s v="NA"/>
    <m/>
    <n v="16"/>
    <n v="4"/>
    <m/>
  </r>
  <r>
    <s v="Costa_et_al._2005"/>
    <x v="2"/>
    <x v="1"/>
    <n v="1999"/>
    <m/>
    <x v="0"/>
    <s v="Inhambane"/>
    <s v="Barra"/>
    <s v="Mike's_Cub_Board"/>
    <s v="NA"/>
    <s v="NA"/>
    <n v="-23.812222219999999"/>
    <n v="35.541666669999998"/>
    <m/>
    <x v="0"/>
    <s v="NA"/>
    <m/>
    <n v="11.9"/>
    <n v="5.3"/>
    <m/>
  </r>
  <r>
    <s v="Costa_et_al._2005"/>
    <x v="2"/>
    <x v="1"/>
    <n v="1999"/>
    <m/>
    <x v="0"/>
    <s v="Inhambane"/>
    <s v="Bazaruto_Archipelago"/>
    <s v="Lighthouse_Reef"/>
    <s v="NA"/>
    <s v="NA"/>
    <n v="-21.52033333"/>
    <n v="35.490666670000003"/>
    <m/>
    <x v="0"/>
    <s v="NA"/>
    <m/>
    <n v="70"/>
    <n v="30"/>
    <m/>
  </r>
  <r>
    <s v="Costa_et_al._2005"/>
    <x v="2"/>
    <x v="1"/>
    <n v="1999"/>
    <m/>
    <x v="0"/>
    <s v="Maputo"/>
    <s v="Inhaca_Island"/>
    <s v="Barreira_Vermelha"/>
    <s v="NA"/>
    <s v="NA"/>
    <n v="-26.019649999999999"/>
    <n v="32.902983329999998"/>
    <m/>
    <x v="0"/>
    <s v="NA"/>
    <m/>
    <n v="60.5"/>
    <n v="7.3"/>
    <m/>
  </r>
  <r>
    <s v="Costa_et_al._2005"/>
    <x v="2"/>
    <x v="1"/>
    <n v="1999"/>
    <m/>
    <x v="0"/>
    <s v="Maputo"/>
    <s v="Inhaca_Island"/>
    <s v="Ponta_Torres"/>
    <s v="NA"/>
    <s v="NA"/>
    <n v="-26.073601759999999"/>
    <n v="32.9527"/>
    <m/>
    <x v="0"/>
    <s v="NA"/>
    <m/>
    <n v="70"/>
    <n v="24"/>
    <m/>
  </r>
  <r>
    <s v="Costa_et_al._2005"/>
    <x v="2"/>
    <x v="1"/>
    <n v="1999"/>
    <m/>
    <x v="0"/>
    <s v="Nampula_Province"/>
    <s v="Mozambique_Island"/>
    <s v="Goa_Island"/>
    <s v="NA"/>
    <s v="NA"/>
    <n v="-15.048116670000001"/>
    <n v="40.783566669999999"/>
    <m/>
    <x v="0"/>
    <s v="NA"/>
    <m/>
    <n v="27.7"/>
    <n v="25.5"/>
    <m/>
  </r>
  <r>
    <s v="Costa_et_al._2005"/>
    <x v="2"/>
    <x v="1"/>
    <n v="1999"/>
    <m/>
    <x v="0"/>
    <s v="Nampula_Province"/>
    <s v="Mozambique_Island"/>
    <s v="Sete_Paus_Island"/>
    <s v="NA"/>
    <s v="NA"/>
    <n v="-14.9762"/>
    <n v="40.78981667"/>
    <m/>
    <x v="0"/>
    <s v="NA"/>
    <m/>
    <n v="48"/>
    <n v="37"/>
    <m/>
  </r>
  <r>
    <s v="Costa_et_al._2005"/>
    <x v="2"/>
    <x v="1"/>
    <n v="1999"/>
    <m/>
    <x v="0"/>
    <s v="Pemba_Bay"/>
    <s v="Pemba"/>
    <s v="Ponta_Maunhane"/>
    <s v="NA"/>
    <s v="NA"/>
    <n v="-12.958966670000001"/>
    <n v="40.55993333"/>
    <m/>
    <x v="0"/>
    <s v="NA"/>
    <m/>
    <n v="69.7"/>
    <n v="14.5"/>
    <m/>
  </r>
  <r>
    <s v="Costa_et_al._2005"/>
    <x v="2"/>
    <x v="1"/>
    <n v="1999"/>
    <m/>
    <x v="0"/>
    <s v="Quirimbas_Archipelago"/>
    <s v="Sencar"/>
    <s v="Sencar_Channel"/>
    <s v="NA"/>
    <s v="NA"/>
    <n v="-12.489050000000001"/>
    <n v="40.621099999999998"/>
    <m/>
    <x v="0"/>
    <s v="NA"/>
    <m/>
    <n v="27.1"/>
    <n v="9.1"/>
    <m/>
  </r>
  <r>
    <s v="Pereira_et_al._2004"/>
    <x v="2"/>
    <x v="3"/>
    <n v="2000"/>
    <m/>
    <x v="2"/>
    <s v="Gaza"/>
    <s v="Xai-xai"/>
    <s v="Xai-xai_Lagoon"/>
    <s v="NA"/>
    <s v="NA"/>
    <n v="-25.119688"/>
    <n v="33.730237000000002"/>
    <m/>
    <x v="0"/>
    <n v="16"/>
    <m/>
    <n v="28.23"/>
    <n v="6.61"/>
    <m/>
  </r>
  <r>
    <s v="Motta_et_al._2002"/>
    <x v="2"/>
    <x v="3"/>
    <n v="2000"/>
    <m/>
    <x v="2"/>
    <s v="Inhambane"/>
    <s v="Barra"/>
    <s v="Anchor's_Bay"/>
    <s v="NA"/>
    <s v="NA"/>
    <n v="-23.776944440000001"/>
    <n v="35.51055556"/>
    <m/>
    <x v="0"/>
    <n v="3"/>
    <m/>
    <n v="10.8"/>
    <n v="1.3"/>
    <m/>
  </r>
  <r>
    <s v="Motta_et_al._2002"/>
    <x v="2"/>
    <x v="3"/>
    <n v="2000"/>
    <m/>
    <x v="2"/>
    <s v="Inhambane"/>
    <s v="Barra"/>
    <s v="Anchor's_Bay"/>
    <s v="NA"/>
    <s v="NA"/>
    <n v="-23.776944440000001"/>
    <n v="35.51055556"/>
    <m/>
    <x v="10"/>
    <n v="3"/>
    <m/>
    <n v="0"/>
    <n v="0"/>
    <m/>
  </r>
  <r>
    <s v="Motta_et_al._2002"/>
    <x v="2"/>
    <x v="3"/>
    <n v="2000"/>
    <m/>
    <x v="2"/>
    <s v="Inhambane"/>
    <s v="Barra"/>
    <s v="Anchor's_Bay"/>
    <s v="NA"/>
    <s v="NA"/>
    <n v="-23.776944440000001"/>
    <n v="35.51055556"/>
    <m/>
    <x v="11"/>
    <n v="3"/>
    <m/>
    <n v="0"/>
    <n v="0"/>
    <m/>
  </r>
  <r>
    <s v="Motta_et_al._2002"/>
    <x v="2"/>
    <x v="3"/>
    <n v="2000"/>
    <m/>
    <x v="2"/>
    <s v="Inhambane"/>
    <s v="Barra"/>
    <s v="Anchor's_Bay"/>
    <s v="NA"/>
    <s v="NA"/>
    <n v="-23.776944440000001"/>
    <n v="35.51055556"/>
    <m/>
    <x v="12"/>
    <n v="3"/>
    <m/>
    <n v="0.9"/>
    <n v="1.4"/>
    <m/>
  </r>
  <r>
    <s v="Motta_et_al._2002"/>
    <x v="2"/>
    <x v="3"/>
    <n v="2000"/>
    <m/>
    <x v="2"/>
    <s v="Inhambane"/>
    <s v="Barra"/>
    <s v="Mike's_Cub_Board"/>
    <s v="NA"/>
    <s v="NA"/>
    <n v="-23.812222219999999"/>
    <n v="35.541666669999998"/>
    <m/>
    <x v="0"/>
    <n v="7"/>
    <m/>
    <n v="7.8"/>
    <n v="0.6"/>
    <m/>
  </r>
  <r>
    <s v="Motta_et_al._2002"/>
    <x v="2"/>
    <x v="3"/>
    <n v="2000"/>
    <m/>
    <x v="2"/>
    <s v="Inhambane"/>
    <s v="Barra"/>
    <s v="Mike's_Cub_Board"/>
    <s v="NA"/>
    <s v="NA"/>
    <n v="-23.812222219999999"/>
    <n v="35.541666669999998"/>
    <m/>
    <x v="10"/>
    <n v="7"/>
    <m/>
    <n v="0.4"/>
    <n v="0.6"/>
    <m/>
  </r>
  <r>
    <s v="Motta_et_al._2002"/>
    <x v="2"/>
    <x v="3"/>
    <n v="2000"/>
    <m/>
    <x v="2"/>
    <s v="Inhambane"/>
    <s v="Barra"/>
    <s v="Mike's_Cub_Board"/>
    <s v="NA"/>
    <s v="NA"/>
    <n v="-23.812222219999999"/>
    <n v="35.541666669999998"/>
    <m/>
    <x v="11"/>
    <n v="7"/>
    <m/>
    <n v="0"/>
    <n v="0"/>
    <m/>
  </r>
  <r>
    <s v="Motta_et_al._2002"/>
    <x v="2"/>
    <x v="3"/>
    <n v="2000"/>
    <m/>
    <x v="2"/>
    <s v="Inhambane"/>
    <s v="Barra"/>
    <s v="Mike's_Cub_Board"/>
    <s v="NA"/>
    <s v="NA"/>
    <n v="-23.812222219999999"/>
    <n v="35.541666669999998"/>
    <m/>
    <x v="12"/>
    <n v="7"/>
    <m/>
    <n v="0"/>
    <n v="0"/>
    <m/>
  </r>
  <r>
    <s v="Motta_et_al._2002"/>
    <x v="2"/>
    <x v="3"/>
    <n v="2000"/>
    <m/>
    <x v="2"/>
    <s v="Inhambane"/>
    <s v="Bazaruto_Archipelago"/>
    <s v="Lighthouse_Reef"/>
    <s v="NA"/>
    <s v="NA"/>
    <n v="-21.52033333"/>
    <n v="35.490666670000003"/>
    <m/>
    <x v="0"/>
    <n v="5"/>
    <m/>
    <n v="90.6"/>
    <n v="8.1999999999999993"/>
    <m/>
  </r>
  <r>
    <s v="Motta_et_al._2002"/>
    <x v="2"/>
    <x v="3"/>
    <n v="2000"/>
    <m/>
    <x v="2"/>
    <s v="Inhambane"/>
    <s v="Bazaruto_Archipelago"/>
    <s v="Lighthouse_Reef"/>
    <s v="NA"/>
    <s v="NA"/>
    <n v="-21.52033333"/>
    <n v="35.490666670000003"/>
    <m/>
    <x v="10"/>
    <n v="5"/>
    <m/>
    <n v="4.3"/>
    <n v="2.8"/>
    <m/>
  </r>
  <r>
    <s v="Motta_et_al._2002"/>
    <x v="2"/>
    <x v="3"/>
    <n v="2000"/>
    <m/>
    <x v="2"/>
    <s v="Inhambane"/>
    <s v="Bazaruto_Archipelago"/>
    <s v="Lighthouse_Reef"/>
    <s v="NA"/>
    <s v="NA"/>
    <n v="-21.52033333"/>
    <n v="35.490666670000003"/>
    <m/>
    <x v="12"/>
    <n v="5"/>
    <m/>
    <n v="0.2"/>
    <n v="0.2"/>
    <m/>
  </r>
  <r>
    <s v="Motta_et_al._2002"/>
    <x v="2"/>
    <x v="3"/>
    <n v="2000"/>
    <m/>
    <x v="2"/>
    <s v="Inhambane"/>
    <s v="Bazaruto_Archipelago"/>
    <s v="Two-mile_Reef"/>
    <s v="NA"/>
    <s v="NA"/>
    <n v="-21.80351667"/>
    <n v="35.502600000000001"/>
    <m/>
    <x v="0"/>
    <n v="6"/>
    <m/>
    <n v="85.6"/>
    <n v="27"/>
    <m/>
  </r>
  <r>
    <s v="Motta_et_al._2002"/>
    <x v="2"/>
    <x v="3"/>
    <n v="2000"/>
    <m/>
    <x v="2"/>
    <s v="Inhambane"/>
    <s v="Bazaruto_Archipelago"/>
    <s v="Two-mile_Reef"/>
    <s v="NA"/>
    <s v="NA"/>
    <n v="-21.80351667"/>
    <n v="35.502600000000001"/>
    <m/>
    <x v="10"/>
    <n v="6"/>
    <m/>
    <n v="4.0999999999999996"/>
    <n v="3.6"/>
    <m/>
  </r>
  <r>
    <s v="Motta_et_al._2002"/>
    <x v="2"/>
    <x v="3"/>
    <n v="2000"/>
    <m/>
    <x v="2"/>
    <s v="Inhambane"/>
    <s v="Bazaruto_Archipelago"/>
    <s v="Two-mile_Reef"/>
    <s v="NA"/>
    <s v="NA"/>
    <n v="-21.80351667"/>
    <n v="35.502600000000001"/>
    <m/>
    <x v="11"/>
    <n v="6"/>
    <m/>
    <n v="0.1"/>
    <n v="0.2"/>
    <m/>
  </r>
  <r>
    <s v="Motta_et_al._2002"/>
    <x v="2"/>
    <x v="3"/>
    <n v="2000"/>
    <m/>
    <x v="2"/>
    <s v="Inhambane"/>
    <s v="Bazaruto_Archipelago"/>
    <s v="Two-mile_Reef"/>
    <s v="NA"/>
    <s v="NA"/>
    <n v="-21.80351667"/>
    <n v="35.502600000000001"/>
    <m/>
    <x v="12"/>
    <n v="6"/>
    <m/>
    <n v="6.2"/>
    <n v="9.3000000000000007"/>
    <m/>
  </r>
  <r>
    <s v="Motta_et_al._2002"/>
    <x v="2"/>
    <x v="3"/>
    <n v="2000"/>
    <m/>
    <x v="2"/>
    <s v="Maputo"/>
    <s v="Inhaca_Island"/>
    <s v="Baixo_Danae"/>
    <s v="NA"/>
    <s v="NA"/>
    <n v="-25.90431667"/>
    <n v="33.052266670000002"/>
    <m/>
    <x v="0"/>
    <n v="3"/>
    <m/>
    <n v="31.1"/>
    <n v="0.5"/>
    <m/>
  </r>
  <r>
    <s v="Motta_et_al._2002"/>
    <x v="2"/>
    <x v="3"/>
    <n v="2000"/>
    <m/>
    <x v="2"/>
    <s v="Maputo"/>
    <s v="Inhaca_Island"/>
    <s v="Baixo_Danae"/>
    <s v="NA"/>
    <s v="NA"/>
    <n v="-25.90431667"/>
    <n v="33.052266670000002"/>
    <m/>
    <x v="10"/>
    <n v="3"/>
    <m/>
    <n v="0"/>
    <n v="0"/>
    <m/>
  </r>
  <r>
    <s v="Motta_et_al._2002"/>
    <x v="2"/>
    <x v="3"/>
    <n v="2000"/>
    <m/>
    <x v="2"/>
    <s v="Maputo"/>
    <s v="Inhaca_Island"/>
    <s v="Baixo_Danae"/>
    <s v="NA"/>
    <s v="NA"/>
    <n v="-25.90431667"/>
    <n v="33.052266670000002"/>
    <m/>
    <x v="11"/>
    <n v="3"/>
    <m/>
    <n v="0"/>
    <n v="0"/>
    <m/>
  </r>
  <r>
    <s v="Motta_et_al._2002"/>
    <x v="2"/>
    <x v="3"/>
    <n v="2000"/>
    <m/>
    <x v="2"/>
    <s v="Maputo"/>
    <s v="Inhaca_Island"/>
    <s v="Baixo_Danae"/>
    <s v="NA"/>
    <s v="NA"/>
    <n v="-25.90431667"/>
    <n v="33.052266670000002"/>
    <m/>
    <x v="12"/>
    <n v="3"/>
    <m/>
    <n v="0"/>
    <n v="0"/>
    <m/>
  </r>
  <r>
    <s v="Motta_et_al._2002"/>
    <x v="2"/>
    <x v="3"/>
    <n v="2000"/>
    <m/>
    <x v="2"/>
    <s v="Maputo"/>
    <s v="Inhaca_Island"/>
    <s v="Barreira_Vermelha"/>
    <s v="NA"/>
    <s v="NA"/>
    <n v="-26.019649999999999"/>
    <n v="32.902983329999998"/>
    <m/>
    <x v="0"/>
    <n v="5"/>
    <m/>
    <n v="61.8"/>
    <n v="18.2"/>
    <m/>
  </r>
  <r>
    <s v="Motta_et_al._2002"/>
    <x v="2"/>
    <x v="3"/>
    <n v="2000"/>
    <m/>
    <x v="2"/>
    <s v="Maputo"/>
    <s v="Inhaca_Island"/>
    <s v="Barreira_Vermelha"/>
    <s v="NA"/>
    <s v="NA"/>
    <n v="-26.019649999999999"/>
    <n v="32.902983329999998"/>
    <m/>
    <x v="10"/>
    <n v="5"/>
    <m/>
    <n v="0.2"/>
    <n v="0.2"/>
    <m/>
  </r>
  <r>
    <s v="Motta_et_al._2002"/>
    <x v="2"/>
    <x v="3"/>
    <n v="2000"/>
    <m/>
    <x v="2"/>
    <s v="Maputo"/>
    <s v="Inhaca_Island"/>
    <s v="Barreira_Vermelha"/>
    <s v="NA"/>
    <s v="NA"/>
    <n v="-26.019649999999999"/>
    <n v="32.902983329999998"/>
    <m/>
    <x v="11"/>
    <n v="5"/>
    <m/>
    <n v="0"/>
    <n v="0"/>
    <m/>
  </r>
  <r>
    <s v="Motta_et_al._2002"/>
    <x v="2"/>
    <x v="3"/>
    <n v="2000"/>
    <m/>
    <x v="2"/>
    <s v="Maputo"/>
    <s v="Inhaca_Island"/>
    <s v="Barreira_Vermelha"/>
    <s v="NA"/>
    <s v="NA"/>
    <n v="-26.019649999999999"/>
    <n v="32.902983329999998"/>
    <m/>
    <x v="12"/>
    <n v="5"/>
    <m/>
    <n v="2.7"/>
    <n v="2.4"/>
    <m/>
  </r>
  <r>
    <s v="Motta_et_al._2002"/>
    <x v="2"/>
    <x v="3"/>
    <n v="2000"/>
    <m/>
    <x v="2"/>
    <s v="Maputo"/>
    <s v="Inhaca_Island"/>
    <s v="Ponta_Torres"/>
    <s v="NA"/>
    <s v="NA"/>
    <n v="-26.073601759999999"/>
    <n v="32.9527"/>
    <m/>
    <x v="0"/>
    <n v="1"/>
    <m/>
    <n v="55.1"/>
    <s v="NA"/>
    <m/>
  </r>
  <r>
    <s v="Motta_et_al._2002"/>
    <x v="2"/>
    <x v="3"/>
    <n v="2000"/>
    <m/>
    <x v="2"/>
    <s v="Maputo"/>
    <s v="Inhaca_Island"/>
    <s v="Ponta_Torres"/>
    <s v="NA"/>
    <s v="NA"/>
    <n v="-26.073601759999999"/>
    <n v="32.9527"/>
    <m/>
    <x v="10"/>
    <n v="1"/>
    <m/>
    <n v="0.1"/>
    <s v="NA"/>
    <m/>
  </r>
  <r>
    <s v="Motta_et_al._2002"/>
    <x v="2"/>
    <x v="3"/>
    <n v="2000"/>
    <m/>
    <x v="2"/>
    <s v="Maputo"/>
    <s v="Inhaca_Island"/>
    <s v="Ponta_Torres"/>
    <s v="NA"/>
    <s v="NA"/>
    <n v="-26.073601759999999"/>
    <n v="32.9527"/>
    <m/>
    <x v="11"/>
    <n v="1"/>
    <m/>
    <n v="0"/>
    <s v="NA"/>
    <m/>
  </r>
  <r>
    <s v="Motta_et_al._2002"/>
    <x v="2"/>
    <x v="3"/>
    <n v="2000"/>
    <m/>
    <x v="2"/>
    <s v="Maputo"/>
    <s v="Inhaca_Island"/>
    <s v="Ponta_Torres"/>
    <s v="NA"/>
    <s v="NA"/>
    <n v="-26.073601759999999"/>
    <n v="32.9527"/>
    <m/>
    <x v="12"/>
    <n v="1"/>
    <m/>
    <n v="0"/>
    <s v="NA"/>
    <m/>
  </r>
  <r>
    <s v="Motta_et_al._2002"/>
    <x v="2"/>
    <x v="2"/>
    <n v="2000"/>
    <m/>
    <x v="2"/>
    <s v="Nampula_Province"/>
    <s v="Mozambique_Island"/>
    <s v="Goa_Island"/>
    <s v="NA"/>
    <s v="NA"/>
    <n v="-15.048116670000001"/>
    <n v="40.783566669999999"/>
    <m/>
    <x v="0"/>
    <n v="2"/>
    <m/>
    <n v="42.1"/>
    <n v="1"/>
    <m/>
  </r>
  <r>
    <s v="Motta_et_al._2002"/>
    <x v="2"/>
    <x v="2"/>
    <n v="2000"/>
    <m/>
    <x v="2"/>
    <s v="Nampula_Province"/>
    <s v="Mozambique_Island"/>
    <s v="Goa_Island"/>
    <s v="NA"/>
    <s v="NA"/>
    <n v="-15.048116670000001"/>
    <n v="40.783566669999999"/>
    <m/>
    <x v="11"/>
    <n v="2"/>
    <m/>
    <n v="1.9"/>
    <n v="0.6"/>
    <m/>
  </r>
  <r>
    <s v="Motta_et_al._2002"/>
    <x v="2"/>
    <x v="2"/>
    <n v="2000"/>
    <m/>
    <x v="2"/>
    <s v="Nampula_Province"/>
    <s v="Mozambique_Island"/>
    <s v="Goa_Island"/>
    <s v="NA"/>
    <s v="NA"/>
    <n v="-15.048116670000001"/>
    <n v="40.783566669999999"/>
    <m/>
    <x v="12"/>
    <n v="2"/>
    <m/>
    <n v="18"/>
    <n v="7.1"/>
    <m/>
  </r>
  <r>
    <s v="Motta_et_al._2002"/>
    <x v="2"/>
    <x v="2"/>
    <n v="2000"/>
    <m/>
    <x v="2"/>
    <s v="Nampula_Province"/>
    <s v="Mozambique_Island"/>
    <s v="Sete_Paus_Island"/>
    <s v="NA"/>
    <s v="NA"/>
    <n v="-14.9762"/>
    <n v="40.78981667"/>
    <m/>
    <x v="0"/>
    <n v="1"/>
    <m/>
    <n v="51.7"/>
    <s v="NA"/>
    <m/>
  </r>
  <r>
    <s v="Motta_et_al._2002"/>
    <x v="2"/>
    <x v="2"/>
    <n v="2000"/>
    <m/>
    <x v="2"/>
    <s v="Nampula_Province"/>
    <s v="Mozambique_Island"/>
    <s v="Sete_Paus_Island"/>
    <s v="NA"/>
    <s v="NA"/>
    <n v="-14.9762"/>
    <n v="40.78981667"/>
    <m/>
    <x v="10"/>
    <n v="1"/>
    <m/>
    <n v="0.2"/>
    <s v="NA"/>
    <m/>
  </r>
  <r>
    <s v="Motta_et_al._2002"/>
    <x v="2"/>
    <x v="2"/>
    <n v="2000"/>
    <m/>
    <x v="2"/>
    <s v="Nampula_Province"/>
    <s v="Mozambique_Island"/>
    <s v="Sete_Paus_Island"/>
    <s v="NA"/>
    <s v="NA"/>
    <n v="-14.9762"/>
    <n v="40.78981667"/>
    <m/>
    <x v="11"/>
    <n v="1"/>
    <m/>
    <n v="0"/>
    <s v="NA"/>
    <m/>
  </r>
  <r>
    <s v="Motta_et_al._2002"/>
    <x v="2"/>
    <x v="2"/>
    <n v="2000"/>
    <m/>
    <x v="2"/>
    <s v="Nampula_Province"/>
    <s v="Mozambique_Island"/>
    <s v="Sete_Paus_Island"/>
    <s v="NA"/>
    <s v="NA"/>
    <n v="-14.9762"/>
    <n v="40.78981667"/>
    <m/>
    <x v="12"/>
    <n v="1"/>
    <m/>
    <n v="6.2"/>
    <s v="NA"/>
    <m/>
  </r>
  <r>
    <s v="Motta_et_al._2002"/>
    <x v="2"/>
    <x v="2"/>
    <n v="2000"/>
    <m/>
    <x v="2"/>
    <s v="Pemba_Bay"/>
    <s v="Pemba"/>
    <s v="Ponta_Maunhane"/>
    <s v="NA"/>
    <s v="NA"/>
    <n v="-12.958966670000001"/>
    <n v="40.55993333"/>
    <m/>
    <x v="0"/>
    <n v="4"/>
    <m/>
    <n v="78.099999999999994"/>
    <n v="0.6"/>
    <m/>
  </r>
  <r>
    <s v="Motta_et_al._2002"/>
    <x v="2"/>
    <x v="2"/>
    <n v="2000"/>
    <m/>
    <x v="2"/>
    <s v="Pemba_Bay"/>
    <s v="Pemba"/>
    <s v="Ponta_Maunhane"/>
    <s v="NA"/>
    <s v="NA"/>
    <n v="-12.958966670000001"/>
    <n v="40.55993333"/>
    <m/>
    <x v="10"/>
    <n v="4"/>
    <m/>
    <n v="3.4"/>
    <n v="4.0999999999999996"/>
    <m/>
  </r>
  <r>
    <s v="Motta_et_al._2002"/>
    <x v="2"/>
    <x v="2"/>
    <n v="2000"/>
    <m/>
    <x v="2"/>
    <s v="Pemba_Bay"/>
    <s v="Pemba"/>
    <s v="Ponta_Maunhane"/>
    <s v="NA"/>
    <s v="NA"/>
    <n v="-12.958966670000001"/>
    <n v="40.55993333"/>
    <m/>
    <x v="11"/>
    <n v="4"/>
    <m/>
    <n v="0"/>
    <n v="0"/>
    <m/>
  </r>
  <r>
    <s v="Motta_et_al._2002"/>
    <x v="2"/>
    <x v="2"/>
    <n v="2000"/>
    <m/>
    <x v="2"/>
    <s v="Pemba_Bay"/>
    <s v="Pemba"/>
    <s v="Ponta_Maunhane"/>
    <s v="NA"/>
    <s v="NA"/>
    <n v="-12.958966670000001"/>
    <n v="40.55993333"/>
    <m/>
    <x v="12"/>
    <n v="4"/>
    <m/>
    <n v="0.5"/>
    <n v="0.4"/>
    <m/>
  </r>
  <r>
    <s v="Motta_et_al._2002"/>
    <x v="2"/>
    <x v="2"/>
    <n v="2000"/>
    <m/>
    <x v="2"/>
    <s v="Quirimbas_Archipelago"/>
    <s v="Sencar"/>
    <s v="Sencar_Channel"/>
    <s v="NA"/>
    <s v="NA"/>
    <n v="-12.489050000000001"/>
    <n v="40.621099999999998"/>
    <m/>
    <x v="0"/>
    <n v="1"/>
    <m/>
    <n v="31.8"/>
    <s v="NA"/>
    <m/>
  </r>
  <r>
    <s v="Motta_et_al._2002"/>
    <x v="2"/>
    <x v="2"/>
    <n v="2000"/>
    <m/>
    <x v="2"/>
    <s v="Quirimbas_Archipelago"/>
    <s v="Sencar"/>
    <s v="Sencar_Channel"/>
    <s v="NA"/>
    <s v="NA"/>
    <n v="-12.489050000000001"/>
    <n v="40.621099999999998"/>
    <m/>
    <x v="10"/>
    <n v="1"/>
    <m/>
    <n v="0"/>
    <s v="NA"/>
    <m/>
  </r>
  <r>
    <s v="Motta_et_al._2002"/>
    <x v="2"/>
    <x v="2"/>
    <n v="2000"/>
    <m/>
    <x v="2"/>
    <s v="Quirimbas_Archipelago"/>
    <s v="Sencar"/>
    <s v="Sencar_Channel"/>
    <s v="NA"/>
    <s v="NA"/>
    <n v="-12.489050000000001"/>
    <n v="40.621099999999998"/>
    <m/>
    <x v="11"/>
    <n v="1"/>
    <m/>
    <n v="0"/>
    <s v="NA"/>
    <m/>
  </r>
  <r>
    <s v="Motta_et_al._2002"/>
    <x v="2"/>
    <x v="2"/>
    <n v="2000"/>
    <m/>
    <x v="2"/>
    <s v="Quirimbas_Archipelago"/>
    <s v="Sencar"/>
    <s v="Sencar_Channel"/>
    <s v="NA"/>
    <s v="NA"/>
    <n v="-12.489050000000001"/>
    <n v="40.621099999999998"/>
    <m/>
    <x v="12"/>
    <n v="1"/>
    <m/>
    <n v="0.4"/>
    <s v="NA"/>
    <m/>
  </r>
  <r>
    <s v="Costa_et_al._2005"/>
    <x v="2"/>
    <x v="1"/>
    <n v="2002"/>
    <m/>
    <x v="0"/>
    <s v="Inhambane"/>
    <s v="Barra"/>
    <s v="Anchor's_Bay"/>
    <s v="NA"/>
    <s v="NA"/>
    <n v="-23.776944440000001"/>
    <n v="35.51055556"/>
    <m/>
    <x v="0"/>
    <s v="NA"/>
    <m/>
    <n v="5"/>
    <n v="4"/>
    <m/>
  </r>
  <r>
    <s v="Costa_et_al._2005"/>
    <x v="2"/>
    <x v="1"/>
    <n v="2002"/>
    <m/>
    <x v="0"/>
    <s v="Inhambane"/>
    <s v="Barra"/>
    <s v="Mike's_Cub_Board"/>
    <s v="NA"/>
    <s v="NA"/>
    <n v="-23.812222219999999"/>
    <n v="35.541666669999998"/>
    <m/>
    <x v="0"/>
    <s v="NA"/>
    <m/>
    <n v="11"/>
    <n v="5.8"/>
    <m/>
  </r>
  <r>
    <s v="Costa_et_al._2005"/>
    <x v="2"/>
    <x v="1"/>
    <n v="2002"/>
    <m/>
    <x v="0"/>
    <s v="Inhambane"/>
    <s v="Bazaruto_Archipelago"/>
    <s v="Two-mile_Reef"/>
    <s v="NA"/>
    <s v="NA"/>
    <n v="-21.80351667"/>
    <n v="35.502600000000001"/>
    <m/>
    <x v="0"/>
    <s v="NA"/>
    <m/>
    <n v="23"/>
    <n v="15"/>
    <m/>
  </r>
  <r>
    <s v="Costa_et_al._2005"/>
    <x v="2"/>
    <x v="1"/>
    <n v="2002"/>
    <m/>
    <x v="0"/>
    <s v="Maputo"/>
    <s v="Inhaca_Island"/>
    <s v="Baixo_Danae"/>
    <s v="NA"/>
    <s v="NA"/>
    <n v="-25.90431667"/>
    <n v="33.052266670000002"/>
    <m/>
    <x v="0"/>
    <n v="1"/>
    <m/>
    <n v="33"/>
    <s v="NA"/>
    <m/>
  </r>
  <r>
    <s v="Costa_et_al._2005"/>
    <x v="2"/>
    <x v="1"/>
    <n v="2002"/>
    <m/>
    <x v="0"/>
    <s v="Maputo"/>
    <s v="Inhaca_Island"/>
    <s v="Barreira_Vermelha"/>
    <s v="NA"/>
    <s v="NA"/>
    <n v="-26.019649999999999"/>
    <n v="32.902983329999998"/>
    <m/>
    <x v="0"/>
    <s v="NA"/>
    <m/>
    <n v="37.799999999999997"/>
    <n v="14.2"/>
    <m/>
  </r>
  <r>
    <s v="Costa_et_al._2005"/>
    <x v="2"/>
    <x v="1"/>
    <n v="2002"/>
    <m/>
    <x v="0"/>
    <s v="Nampula_Province"/>
    <s v="Mozambique_Island"/>
    <s v="Goa_Island"/>
    <s v="NA"/>
    <s v="NA"/>
    <n v="-15.048116670000001"/>
    <n v="40.783566669999999"/>
    <m/>
    <x v="0"/>
    <s v="NA"/>
    <m/>
    <n v="13.2"/>
    <n v="9.5"/>
    <m/>
  </r>
  <r>
    <s v="Costa_et_al._2005"/>
    <x v="2"/>
    <x v="1"/>
    <n v="2002"/>
    <m/>
    <x v="0"/>
    <s v="Nampula_Province"/>
    <s v="Mozambique_Island"/>
    <s v="Sete_Paus_Island"/>
    <s v="NA"/>
    <s v="NA"/>
    <n v="-14.9762"/>
    <n v="40.78981667"/>
    <m/>
    <x v="0"/>
    <s v="NA"/>
    <m/>
    <n v="42"/>
    <n v="6"/>
    <m/>
  </r>
  <r>
    <s v="Costa_et_al._2005"/>
    <x v="2"/>
    <x v="1"/>
    <n v="2002"/>
    <m/>
    <x v="0"/>
    <s v="Pemba_Bay"/>
    <s v="Pemba"/>
    <s v="Ponta_Maunhane"/>
    <s v="NA"/>
    <s v="NA"/>
    <n v="-12.958966670000001"/>
    <n v="40.55993333"/>
    <m/>
    <x v="0"/>
    <n v="4"/>
    <m/>
    <n v="80"/>
    <n v="4.4000000000000004"/>
    <m/>
  </r>
  <r>
    <s v="Costa_et_al._2005"/>
    <x v="2"/>
    <x v="1"/>
    <n v="2002"/>
    <m/>
    <x v="0"/>
    <s v="Quirimbas_Archipelago"/>
    <s v="Sencar"/>
    <s v="Sencar_Channel"/>
    <s v="NA"/>
    <s v="NA"/>
    <n v="-12.489050000000001"/>
    <n v="40.621099999999998"/>
    <m/>
    <x v="0"/>
    <s v="NA"/>
    <m/>
    <n v="55.9"/>
    <n v="8.9"/>
    <m/>
  </r>
  <r>
    <s v="Pereira_et_al._2008"/>
    <x v="2"/>
    <x v="1"/>
    <n v="2005"/>
    <m/>
    <x v="0"/>
    <s v="Inhambane"/>
    <s v="Bazaruto_Archipelago"/>
    <s v="Coral_Garden"/>
    <s v="NA"/>
    <s v="NA"/>
    <n v="-21.518083000000001"/>
    <n v="35.487625000000001"/>
    <m/>
    <x v="0"/>
    <n v="8"/>
    <m/>
    <n v="33.200000000000003"/>
    <n v="11.3"/>
    <m/>
  </r>
  <r>
    <s v="Pereira_et_al._2008"/>
    <x v="2"/>
    <x v="1"/>
    <n v="2005"/>
    <m/>
    <x v="0"/>
    <s v="Inhambane"/>
    <s v="Bazaruto_Archipelago"/>
    <s v="Coral_Garden"/>
    <s v="NA"/>
    <s v="NA"/>
    <n v="-21.518083000000001"/>
    <n v="35.487625000000001"/>
    <m/>
    <x v="10"/>
    <n v="8"/>
    <m/>
    <n v="8.6"/>
    <n v="7.4"/>
    <m/>
  </r>
  <r>
    <s v="Pereira_et_al._2008"/>
    <x v="2"/>
    <x v="1"/>
    <n v="2005"/>
    <m/>
    <x v="0"/>
    <s v="Inhambane"/>
    <s v="Bazaruto_Archipelago"/>
    <s v="Coral_Garden"/>
    <s v="NA"/>
    <s v="NA"/>
    <n v="-21.518083000000001"/>
    <n v="35.487625000000001"/>
    <m/>
    <x v="12"/>
    <n v="8"/>
    <m/>
    <n v="5.8"/>
    <n v="7.7"/>
    <m/>
  </r>
  <r>
    <s v="Pereira_et_al._2008"/>
    <x v="2"/>
    <x v="1"/>
    <n v="2005"/>
    <m/>
    <x v="0"/>
    <s v="Inhambane"/>
    <s v="Bazaruto_Archipelago"/>
    <s v="Two-mile_Reef"/>
    <s v="NA"/>
    <s v="NA"/>
    <n v="-21.80351667"/>
    <n v="35.502600000000001"/>
    <m/>
    <x v="0"/>
    <n v="5"/>
    <m/>
    <n v="39"/>
    <n v="7"/>
    <m/>
  </r>
  <r>
    <s v="Pereira_et_al._2008"/>
    <x v="2"/>
    <x v="1"/>
    <n v="2005"/>
    <m/>
    <x v="0"/>
    <s v="Inhambane"/>
    <s v="Bazaruto_Archipelago"/>
    <s v="Two-mile_Reef"/>
    <s v="NA"/>
    <s v="NA"/>
    <n v="-21.80351667"/>
    <n v="35.502600000000001"/>
    <m/>
    <x v="10"/>
    <n v="5"/>
    <m/>
    <n v="15.1"/>
    <n v="17.2"/>
    <m/>
  </r>
  <r>
    <s v="Pereira_et_al._2008"/>
    <x v="2"/>
    <x v="1"/>
    <n v="2005"/>
    <m/>
    <x v="0"/>
    <s v="Inhambane"/>
    <s v="Bazaruto_Archipelago"/>
    <s v="Two-mile_Reef"/>
    <s v="NA"/>
    <s v="NA"/>
    <n v="-21.80351667"/>
    <n v="35.502600000000001"/>
    <m/>
    <x v="12"/>
    <n v="5"/>
    <m/>
    <n v="28.3"/>
    <n v="10.8"/>
    <m/>
  </r>
  <r>
    <s v="Hardman 1999"/>
    <x v="7"/>
    <x v="11"/>
    <n v="1999"/>
    <s v="After"/>
    <x v="2"/>
    <s v="Mauritius Island"/>
    <s v="LeMorne"/>
    <m/>
    <s v="Lagoonal patch reef"/>
    <s v="0.5-2"/>
    <s v="20 24.937"/>
    <s v="57 19.499"/>
    <s v="Hard Coral"/>
    <x v="0"/>
    <m/>
    <m/>
    <n v="63"/>
    <m/>
    <m/>
  </r>
  <r>
    <s v="Hardman 1999"/>
    <x v="7"/>
    <x v="11"/>
    <n v="1999"/>
    <s v="After"/>
    <x v="2"/>
    <s v="Mauritius Island"/>
    <s v="Point Harmonie"/>
    <m/>
    <s v="Lagoonal patch reef"/>
    <s v="0-7"/>
    <s v="20 22.077"/>
    <s v="57 21.119"/>
    <s v="Hard Coral"/>
    <x v="0"/>
    <m/>
    <m/>
    <n v="63"/>
    <m/>
    <m/>
  </r>
  <r>
    <s v="Hardman 1999"/>
    <x v="7"/>
    <x v="11"/>
    <n v="1999"/>
    <s v="After"/>
    <x v="2"/>
    <s v="Mauritius Island"/>
    <s v="Le Morne (Cannion)"/>
    <m/>
    <s v="Fore reef"/>
    <s v="5-13.8"/>
    <m/>
    <m/>
    <s v="Hard Coral"/>
    <x v="0"/>
    <m/>
    <m/>
    <n v="40.5"/>
    <m/>
    <m/>
  </r>
  <r>
    <s v="Hardman 1999"/>
    <x v="7"/>
    <x v="11"/>
    <n v="1999"/>
    <s v="After"/>
    <x v="0"/>
    <s v="Mauritius Island"/>
    <s v="Trou aux Biches"/>
    <s v="Trou aux Biches_4"/>
    <s v="Fore reef"/>
    <s v="0-10"/>
    <s v="20 02.292"/>
    <s v="57 32.296"/>
    <s v="Hard Coral"/>
    <x v="0"/>
    <m/>
    <m/>
    <n v="40.5"/>
    <m/>
    <m/>
  </r>
  <r>
    <s v="Hardman 1999"/>
    <x v="7"/>
    <x v="11"/>
    <n v="1999"/>
    <s v="After"/>
    <x v="0"/>
    <s v="Mauritius Island"/>
    <s v="Trou aux Biches"/>
    <s v="Trou aux Biches_5"/>
    <s v="Fore reef"/>
    <s v="0-10"/>
    <s v="20 01.383"/>
    <s v="57 32.339"/>
    <s v="Hard Coral"/>
    <x v="0"/>
    <m/>
    <m/>
    <n v="40.5"/>
    <m/>
    <m/>
  </r>
  <r>
    <s v="Hardman 1999"/>
    <x v="7"/>
    <x v="11"/>
    <n v="1999"/>
    <s v="After"/>
    <x v="0"/>
    <s v="Mauritius Island"/>
    <s v="Trou aux Biches"/>
    <s v="Trou aux Biches_6"/>
    <s v="Lagoonal patch reef"/>
    <s v="0-3"/>
    <s v="20 01.432"/>
    <s v="57 32.643"/>
    <s v="Hard Coral"/>
    <x v="0"/>
    <m/>
    <m/>
    <n v="63"/>
    <m/>
    <m/>
  </r>
  <r>
    <s v="Hardman 1999"/>
    <x v="7"/>
    <x v="11"/>
    <n v="1999"/>
    <s v="After"/>
    <x v="0"/>
    <s v="Mauritius Island"/>
    <s v="Trou aux Biches"/>
    <s v="Trou aux Biches_7"/>
    <s v="Lagoonal patch reef"/>
    <s v="0-3"/>
    <s v="20 00.442"/>
    <s v="57 32.809"/>
    <s v="Hard Coral"/>
    <x v="0"/>
    <m/>
    <m/>
    <n v="88"/>
    <m/>
    <m/>
  </r>
  <r>
    <s v="Hardman 1999"/>
    <x v="7"/>
    <x v="11"/>
    <n v="1999"/>
    <s v="After"/>
    <x v="0"/>
    <s v="Mauritius Island"/>
    <s v="Trou aux Biches"/>
    <s v="Trou aux Biches_8"/>
    <s v="Lagoonal patch reef"/>
    <s v="0-3"/>
    <s v="20 01.523"/>
    <s v="57 32.701"/>
    <s v="Hard Coral"/>
    <x v="0"/>
    <m/>
    <m/>
    <n v="63"/>
    <m/>
    <m/>
  </r>
  <r>
    <s v="Hardman 1999"/>
    <x v="7"/>
    <x v="11"/>
    <n v="1999"/>
    <s v="After"/>
    <x v="2"/>
    <s v="Mauritius Island"/>
    <s v="Perybere"/>
    <m/>
    <s v="Fore reef"/>
    <s v="005-17"/>
    <s v="19 58.452"/>
    <s v="57 35.377"/>
    <s v="Hard Coral"/>
    <x v="0"/>
    <m/>
    <m/>
    <n v="20.5"/>
    <m/>
    <m/>
  </r>
  <r>
    <s v="Hardman 1999"/>
    <x v="7"/>
    <x v="11"/>
    <n v="1999"/>
    <s v="After"/>
    <x v="2"/>
    <s v="Mauritius Island"/>
    <s v="Calodyne Reef"/>
    <m/>
    <s v="Fore reef"/>
    <s v="005-17"/>
    <s v="19 58.447"/>
    <s v="57 38.972"/>
    <s v="Hard Coral"/>
    <x v="0"/>
    <m/>
    <m/>
    <n v="20.5"/>
    <m/>
    <m/>
  </r>
  <r>
    <s v="Hardman 1999"/>
    <x v="7"/>
    <x v="11"/>
    <n v="1999"/>
    <s v="After"/>
    <x v="2"/>
    <s v="Mauritius Island"/>
    <s v="Flat Island South"/>
    <m/>
    <s v="Lagoonal patch reef"/>
    <s v="0-2"/>
    <s v="19 53.007"/>
    <s v="57 39.979"/>
    <s v="Hard Coral"/>
    <x v="0"/>
    <m/>
    <m/>
    <n v="63"/>
    <m/>
    <m/>
  </r>
  <r>
    <s v="Hardman 1999"/>
    <x v="7"/>
    <x v="11"/>
    <n v="1999"/>
    <s v="After"/>
    <x v="2"/>
    <s v="Mauritius Island"/>
    <s v="Flat Island North"/>
    <m/>
    <s v="Reef crest"/>
    <s v="0-2"/>
    <s v="19 52.937"/>
    <s v="57 39.991"/>
    <s v="Hard Coral"/>
    <x v="0"/>
    <m/>
    <m/>
    <n v="20.5"/>
    <m/>
    <m/>
  </r>
  <r>
    <s v="Hardman 1999"/>
    <x v="7"/>
    <x v="11"/>
    <n v="1999"/>
    <s v="After"/>
    <x v="2"/>
    <s v="Mauritius Island"/>
    <s v="Flat Island"/>
    <m/>
    <s v="Fringing reef"/>
    <s v="0-2"/>
    <m/>
    <m/>
    <s v="Hard Coral"/>
    <x v="0"/>
    <m/>
    <m/>
    <n v="20.5"/>
    <m/>
    <m/>
  </r>
  <r>
    <s v="Hardman 1999"/>
    <x v="7"/>
    <x v="11"/>
    <n v="1999"/>
    <s v="After"/>
    <x v="0"/>
    <s v="Mauritius Island"/>
    <s v="Trou aux Biches"/>
    <s v="Trou aux Biches_14"/>
    <s v="Fore reef"/>
    <s v="005-19"/>
    <s v="20 02.284"/>
    <s v="57 32.136"/>
    <s v="Hard Coral"/>
    <x v="0"/>
    <m/>
    <m/>
    <n v="20.5"/>
    <m/>
    <m/>
  </r>
  <r>
    <s v="Hardman 1999"/>
    <x v="7"/>
    <x v="11"/>
    <n v="1999"/>
    <s v="After"/>
    <x v="2"/>
    <s v="Mauritius Island"/>
    <s v="Ile d'Ambre"/>
    <s v="Ile d'Ambre_15"/>
    <s v="Lagoonal patch reef"/>
    <s v="0-2"/>
    <s v="20 02.859"/>
    <s v="57 41.972"/>
    <s v="Hard Coral"/>
    <x v="0"/>
    <m/>
    <m/>
    <n v="88"/>
    <m/>
    <m/>
  </r>
  <r>
    <s v="Hardman 1999"/>
    <x v="7"/>
    <x v="11"/>
    <n v="1999"/>
    <s v="After"/>
    <x v="0"/>
    <s v="Mauritius Island"/>
    <s v="Ile d'Ambre"/>
    <s v="Ile d'Ambre_16"/>
    <s v="Reef crest"/>
    <s v="0-2"/>
    <s v="20 03.830"/>
    <s v="57 43.539"/>
    <s v="Hard Coral"/>
    <x v="0"/>
    <m/>
    <m/>
    <n v="5.5"/>
    <m/>
    <m/>
  </r>
  <r>
    <s v="Hardman 1999"/>
    <x v="7"/>
    <x v="11"/>
    <n v="1999"/>
    <s v="After"/>
    <x v="2"/>
    <s v="Mauritius Island"/>
    <s v="Ile d'Ambre"/>
    <s v="Ile d'Ambre_17"/>
    <s v="Reef crest"/>
    <s v="0-2"/>
    <s v="20 04.007"/>
    <s v="57 43.794"/>
    <s v="Hard Coral"/>
    <x v="0"/>
    <m/>
    <m/>
    <n v="40.5"/>
    <m/>
    <m/>
  </r>
  <r>
    <s v="Hardman 1999"/>
    <x v="7"/>
    <x v="11"/>
    <n v="1999"/>
    <s v="After"/>
    <x v="2"/>
    <s v="Mauritius Island"/>
    <s v="Ile d'Ambre"/>
    <s v="Ile d'Ambre_18"/>
    <s v="Lagoonal patch reef"/>
    <s v="0-2"/>
    <s v="20 04.268"/>
    <s v="57 42.625"/>
    <s v="Hard Coral"/>
    <x v="0"/>
    <m/>
    <m/>
    <n v="63"/>
    <m/>
    <m/>
  </r>
  <r>
    <s v="Hardman 1999"/>
    <x v="7"/>
    <x v="11"/>
    <n v="1999"/>
    <s v="After"/>
    <x v="2"/>
    <s v="Mauritius Island"/>
    <s v="Ile d'Ambre"/>
    <s v="Ile d'Ambre_19"/>
    <s v="Lagoonal patch reef"/>
    <s v="0-2"/>
    <s v="20 03.923"/>
    <s v="57 42.643"/>
    <s v="Hard Coral"/>
    <x v="0"/>
    <m/>
    <m/>
    <n v="63"/>
    <m/>
    <m/>
  </r>
  <r>
    <s v="Hardman 1999"/>
    <x v="7"/>
    <x v="11"/>
    <n v="1999"/>
    <s v="After"/>
    <x v="2"/>
    <s v="Mauritius Island"/>
    <s v="Trou d'Eau Douce"/>
    <s v="Trou d'Eau Douce_20"/>
    <s v="Lagoonal patch reef"/>
    <s v="0-4"/>
    <s v="20 17.796"/>
    <s v="57 48.019"/>
    <s v="Hard Coral"/>
    <x v="0"/>
    <m/>
    <m/>
    <n v="40.5"/>
    <m/>
    <m/>
  </r>
  <r>
    <s v="Hardman 1999"/>
    <x v="7"/>
    <x v="11"/>
    <n v="1999"/>
    <s v="After"/>
    <x v="2"/>
    <s v="Mauritius Island"/>
    <s v="Trou d'Eau Douce"/>
    <s v="Trou d'Eau Douce_21"/>
    <s v="Lagoonal patch reef"/>
    <s v="0-2"/>
    <s v="20 18.044"/>
    <s v="57 47.746"/>
    <s v="Hard Coral"/>
    <x v="0"/>
    <m/>
    <m/>
    <n v="63"/>
    <m/>
    <m/>
  </r>
  <r>
    <s v="Hardman 1999"/>
    <x v="7"/>
    <x v="11"/>
    <n v="1999"/>
    <s v="After"/>
    <x v="2"/>
    <s v="Mauritius Island"/>
    <s v="Trou d'Eau Douce"/>
    <s v="Trou d'Eau Douce_22"/>
    <s v="Lagoonal patch reef"/>
    <s v="0-2"/>
    <s v="20 15.969"/>
    <s v="57 49.143"/>
    <s v="Hard Coral"/>
    <x v="0"/>
    <m/>
    <m/>
    <n v="20.5"/>
    <m/>
    <m/>
  </r>
  <r>
    <s v="Hardman 1999"/>
    <x v="7"/>
    <x v="11"/>
    <n v="1999"/>
    <s v="After"/>
    <x v="2"/>
    <s v="Mauritius Island"/>
    <s v="Trou d'Eau Douce"/>
    <s v="Trou d'Eau Douce_23"/>
    <s v="Lagoonal patch reef"/>
    <s v="0-2"/>
    <s v="20 14.505"/>
    <s v="57 47.783"/>
    <s v="Hard Coral"/>
    <x v="0"/>
    <m/>
    <m/>
    <n v="63"/>
    <m/>
    <m/>
  </r>
  <r>
    <s v="Hardman 1999"/>
    <x v="7"/>
    <x v="11"/>
    <n v="1999"/>
    <s v="After"/>
    <x v="2"/>
    <s v="Mauritius Island"/>
    <s v="Balaclava"/>
    <m/>
    <s v="Lagoonal patch reef"/>
    <s v="0-3"/>
    <s v="20 04.728"/>
    <s v="57 30.698"/>
    <s v="Hard Coral"/>
    <x v="0"/>
    <m/>
    <m/>
    <n v="63"/>
    <m/>
    <m/>
  </r>
  <r>
    <s v="Hardman 1999"/>
    <x v="7"/>
    <x v="11"/>
    <n v="1999"/>
    <s v="After"/>
    <x v="2"/>
    <s v="Mauritius Island"/>
    <s v="Grande Baie Aquarium"/>
    <m/>
    <s v="Fore reef"/>
    <s v="005-14"/>
    <s v="19 59.650"/>
    <s v="57 33.822"/>
    <s v="Hard Coral"/>
    <x v="0"/>
    <m/>
    <m/>
    <n v="20.5"/>
    <m/>
    <m/>
  </r>
  <r>
    <s v="Hardman 1999"/>
    <x v="7"/>
    <x v="11"/>
    <n v="1999"/>
    <s v="After"/>
    <x v="2"/>
    <s v="Mauritius Island"/>
    <s v="Blue Bay"/>
    <m/>
    <s v="Lagoonal patch reef"/>
    <s v="0-8"/>
    <s v="20 26.170"/>
    <s v="57 42.622"/>
    <s v="Hard Coral"/>
    <x v="0"/>
    <m/>
    <m/>
    <n v="88"/>
    <m/>
    <m/>
  </r>
  <r>
    <s v="Hardman 1999"/>
    <x v="7"/>
    <x v="11"/>
    <n v="1999"/>
    <s v="After"/>
    <x v="2"/>
    <s v="Mauritius Island"/>
    <s v="Blue Bay (shallow)"/>
    <m/>
    <s v="Lagoonal patch reef"/>
    <s v="0-2"/>
    <s v="20 26.591"/>
    <s v="57 42.385"/>
    <s v="Hard Coral"/>
    <x v="0"/>
    <m/>
    <m/>
    <n v="63"/>
    <m/>
    <m/>
  </r>
  <r>
    <s v="Hardman 1999"/>
    <x v="7"/>
    <x v="11"/>
    <n v="1999"/>
    <s v="After"/>
    <x v="2"/>
    <s v="Mauritius Island"/>
    <s v="Ile aux Aigrettes"/>
    <m/>
    <s v="Lagoonal patch reef"/>
    <s v="0-3"/>
    <s v="20 26.170"/>
    <s v="57 44.065"/>
    <s v="Hard Coral"/>
    <x v="0"/>
    <m/>
    <m/>
    <n v="63"/>
    <m/>
    <m/>
  </r>
  <r>
    <s v="Hardman 1999"/>
    <x v="7"/>
    <x v="11"/>
    <n v="1999"/>
    <s v="After"/>
    <x v="2"/>
    <s v="Mauritius Island"/>
    <s v="Barrier Reef"/>
    <m/>
    <s v="Barrier Reef"/>
    <s v="0-3"/>
    <s v="20 23.533"/>
    <s v="57 46.677"/>
    <s v="Hard Coral"/>
    <x v="0"/>
    <m/>
    <m/>
    <n v="40.5"/>
    <m/>
    <m/>
  </r>
  <r>
    <s v="Hardman 1999"/>
    <x v="7"/>
    <x v="11"/>
    <n v="1999"/>
    <s v="After"/>
    <x v="2"/>
    <s v="Mauritius Island"/>
    <s v="Flic en Flac (south)"/>
    <m/>
    <s v="Lagoonal patch reef"/>
    <s v="0.5-2"/>
    <s v="21 17.800"/>
    <s v="57 21.759"/>
    <s v="Hard Coral"/>
    <x v="0"/>
    <m/>
    <m/>
    <n v="20.5"/>
    <m/>
    <m/>
  </r>
  <r>
    <s v="Hardman 1999"/>
    <x v="7"/>
    <x v="11"/>
    <n v="1999"/>
    <s v="After"/>
    <x v="2"/>
    <s v="Mauritius Island"/>
    <s v="Flic en Flac (middle)"/>
    <m/>
    <s v="Lagoonal patch reef"/>
    <s v="0-2"/>
    <s v="20 17.281"/>
    <s v="57 21.801"/>
    <s v="Hard Coral"/>
    <x v="0"/>
    <m/>
    <m/>
    <n v="20.5"/>
    <m/>
    <m/>
  </r>
  <r>
    <s v="Hardman 1999"/>
    <x v="7"/>
    <x v="11"/>
    <n v="1999"/>
    <s v="After"/>
    <x v="2"/>
    <s v="Mauritius Island"/>
    <s v="Flic en Flac (Baie Dangereux)"/>
    <m/>
    <s v="Lagoonal patch reef"/>
    <s v="0-2"/>
    <s v="20 16.763"/>
    <s v="57 21.900"/>
    <s v="Hard Coral"/>
    <x v="0"/>
    <m/>
    <m/>
    <n v="40.5"/>
    <m/>
    <m/>
  </r>
  <r>
    <s v="Hardman 1999"/>
    <x v="7"/>
    <x v="11"/>
    <n v="1999"/>
    <s v="After"/>
    <x v="2"/>
    <s v="Mauritius Island"/>
    <s v="Balaclava Maritime Hotel"/>
    <m/>
    <s v="Lagoonal patch reef"/>
    <s v="002-7"/>
    <s v="20 05.206"/>
    <s v="57 31.037"/>
    <s v="Hard Coral"/>
    <x v="0"/>
    <m/>
    <m/>
    <n v="88"/>
    <m/>
    <m/>
  </r>
  <r>
    <s v="Hardman 1999"/>
    <x v="7"/>
    <x v="11"/>
    <n v="1999"/>
    <s v="After"/>
    <x v="2"/>
    <s v="Mauritius Island"/>
    <s v="Hibiscus Hotel"/>
    <m/>
    <s v="Lagoonal patch reef"/>
    <s v="005-7"/>
    <s v="19 59.675"/>
    <s v="57 35.313"/>
    <s v="Hard Coral"/>
    <x v="0"/>
    <m/>
    <m/>
    <n v="40.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EF3C19-92EA-436F-A280-7DAF433A48C5}" name="PivotTable1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compact="0" compactData="0" multipleFieldFilters="0">
  <location ref="A5:F16" firstHeaderRow="0" firstDataRow="1" firstDataCol="1" rowPageCount="2" colPageCount="1"/>
  <pivotFields count="20">
    <pivotField compact="0" outline="0" showAll="0"/>
    <pivotField axis="axisRow" compact="0" outline="0" showAll="0" defaultSubtotal="0">
      <items count="11">
        <item x="4"/>
        <item x="0"/>
        <item x="3"/>
        <item x="7"/>
        <item x="10"/>
        <item x="2"/>
        <item x="6"/>
        <item x="8"/>
        <item x="9"/>
        <item x="5"/>
        <item x="1"/>
      </items>
    </pivotField>
    <pivotField compact="0" outline="0" showAll="0" sortType="ascending">
      <items count="13">
        <item x="8"/>
        <item x="3"/>
        <item x="6"/>
        <item x="5"/>
        <item x="4"/>
        <item x="7"/>
        <item x="11"/>
        <item x="2"/>
        <item x="0"/>
        <item x="10"/>
        <item x="9"/>
        <item x="1"/>
        <item t="default"/>
      </items>
    </pivotField>
    <pivotField compact="0" outline="0" multipleItemSelectionAllowed="1" showAll="0"/>
    <pivotField compact="0" outline="0" showAll="0"/>
    <pivotField axis="axisPage" compact="0" outline="0" multipleItemSelectionAllowed="1" showAll="0">
      <items count="12">
        <item h="1" x="1"/>
        <item x="2"/>
        <item h="1" x="0"/>
        <item h="1" x="10"/>
        <item h="1" x="3"/>
        <item h="1" x="4"/>
        <item h="1" x="5"/>
        <item h="1" x="6"/>
        <item h="1" x="7"/>
        <item h="1" x="8"/>
        <item h="1"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multipleItemSelectionAllowed="1" showAll="0"/>
    <pivotField axis="axisPage" compact="0" outline="0" multipleItemSelectionAllowed="1" showAll="0">
      <items count="14">
        <item h="1" x="3"/>
        <item h="1" x="7"/>
        <item x="0"/>
        <item h="1" x="8"/>
        <item h="1" x="5"/>
        <item h="1" x="2"/>
        <item h="1" x="4"/>
        <item h="1" x="9"/>
        <item h="1" x="6"/>
        <item h="1" x="1"/>
        <item h="1" x="10"/>
        <item h="1" x="11"/>
        <item h="1" x="1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5" hier="-1"/>
    <pageField fld="14" hier="-1"/>
  </pageFields>
  <dataFields count="5">
    <dataField name="Count of mean cover (%)" fld="17" subtotal="count" baseField="0" baseItem="0"/>
    <dataField name="Average of mean cover (%)2" fld="17" subtotal="average" baseField="0" baseItem="0"/>
    <dataField name="StdDev of mean cover (%)2" fld="17" subtotal="stdDev" baseField="0" baseItem="0"/>
    <dataField name="Min. of mean cover (%)3" fld="17" subtotal="min" baseField="0" baseItem="0"/>
    <dataField name="Max. of mean cover (%)4" fld="17" subtotal="max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B5486-8FC6-B542-B4AC-5D43E0ABF2B7}">
  <dimension ref="A2:W18"/>
  <sheetViews>
    <sheetView zoomScale="110" zoomScaleNormal="110" workbookViewId="0">
      <selection activeCell="C7" sqref="C7:D7"/>
    </sheetView>
  </sheetViews>
  <sheetFormatPr defaultColWidth="9.81640625" defaultRowHeight="14.5"/>
  <cols>
    <col min="1" max="1" width="15.453125" bestFit="1" customWidth="1"/>
    <col min="2" max="2" width="23.26953125" bestFit="1" customWidth="1"/>
    <col min="3" max="3" width="26.453125" bestFit="1" customWidth="1"/>
    <col min="4" max="4" width="25.26953125" bestFit="1" customWidth="1"/>
    <col min="5" max="5" width="23" bestFit="1" customWidth="1"/>
    <col min="6" max="6" width="23.26953125" bestFit="1" customWidth="1"/>
    <col min="17" max="17" width="12.81640625" customWidth="1"/>
  </cols>
  <sheetData>
    <row r="2" spans="1:23">
      <c r="A2" s="29" t="s">
        <v>730</v>
      </c>
      <c r="B2" t="s">
        <v>732</v>
      </c>
    </row>
    <row r="3" spans="1:23">
      <c r="A3" s="29" t="s">
        <v>12</v>
      </c>
      <c r="B3" t="s">
        <v>27</v>
      </c>
    </row>
    <row r="5" spans="1:23">
      <c r="A5" s="29" t="s">
        <v>2</v>
      </c>
      <c r="B5" t="s">
        <v>724</v>
      </c>
      <c r="C5" t="s">
        <v>725</v>
      </c>
      <c r="D5" t="s">
        <v>726</v>
      </c>
      <c r="E5" t="s">
        <v>727</v>
      </c>
      <c r="F5" t="s">
        <v>728</v>
      </c>
      <c r="K5" t="s">
        <v>742</v>
      </c>
      <c r="L5" t="s">
        <v>744</v>
      </c>
      <c r="M5" t="s">
        <v>991</v>
      </c>
      <c r="N5" t="s">
        <v>752</v>
      </c>
      <c r="O5" t="s">
        <v>988</v>
      </c>
      <c r="Q5" t="s">
        <v>2</v>
      </c>
      <c r="R5" t="s">
        <v>742</v>
      </c>
      <c r="S5" t="s">
        <v>985</v>
      </c>
      <c r="T5" t="s">
        <v>752</v>
      </c>
      <c r="U5" t="s">
        <v>986</v>
      </c>
      <c r="V5" t="s">
        <v>987</v>
      </c>
      <c r="W5" t="s">
        <v>988</v>
      </c>
    </row>
    <row r="6" spans="1:23">
      <c r="A6" t="s">
        <v>122</v>
      </c>
      <c r="B6">
        <v>4</v>
      </c>
      <c r="C6">
        <v>62.15</v>
      </c>
      <c r="D6">
        <v>16.595883023609606</v>
      </c>
      <c r="E6">
        <v>52.6</v>
      </c>
      <c r="F6">
        <v>87</v>
      </c>
      <c r="K6" s="31">
        <v>13</v>
      </c>
      <c r="L6" t="s">
        <v>747</v>
      </c>
      <c r="M6" s="34">
        <v>41.471538461538458</v>
      </c>
      <c r="N6" s="34">
        <v>27.548551639530846</v>
      </c>
      <c r="O6" s="47">
        <f>N6/M6</f>
        <v>0.66427609540166754</v>
      </c>
      <c r="Q6" t="s">
        <v>122</v>
      </c>
      <c r="R6">
        <v>3</v>
      </c>
      <c r="S6" s="34">
        <v>54.333333333333336</v>
      </c>
      <c r="T6" s="34">
        <v>0.57735026918936316</v>
      </c>
      <c r="U6">
        <v>54</v>
      </c>
      <c r="V6">
        <v>55</v>
      </c>
      <c r="W6" s="47">
        <f>T6/S6</f>
        <v>1.0626078574037358E-2</v>
      </c>
    </row>
    <row r="7" spans="1:23">
      <c r="A7" t="s">
        <v>17</v>
      </c>
      <c r="B7">
        <v>26</v>
      </c>
      <c r="C7">
        <v>31.069615384615396</v>
      </c>
      <c r="D7">
        <v>9.3542681085242183</v>
      </c>
      <c r="E7">
        <v>15</v>
      </c>
      <c r="F7">
        <v>50</v>
      </c>
      <c r="K7">
        <v>4</v>
      </c>
      <c r="L7" t="s">
        <v>748</v>
      </c>
      <c r="M7" s="34">
        <v>56.524999999999999</v>
      </c>
      <c r="N7" s="34">
        <v>4.4086090020927919</v>
      </c>
      <c r="O7" s="47">
        <f t="shared" ref="O7:O15" si="0">N7/M7</f>
        <v>7.7993967308143161E-2</v>
      </c>
      <c r="Q7" t="s">
        <v>17</v>
      </c>
      <c r="R7">
        <v>31</v>
      </c>
      <c r="S7" s="34">
        <v>31.699354838709688</v>
      </c>
      <c r="T7" s="34">
        <v>8.9217243981507597</v>
      </c>
      <c r="U7">
        <v>15</v>
      </c>
      <c r="V7">
        <v>50</v>
      </c>
      <c r="W7" s="47">
        <f t="shared" ref="W7:W15" si="1">T7/S7</f>
        <v>0.28144813809446967</v>
      </c>
    </row>
    <row r="8" spans="1:23">
      <c r="A8" t="s">
        <v>135</v>
      </c>
      <c r="B8">
        <v>5</v>
      </c>
      <c r="C8">
        <v>55.56</v>
      </c>
      <c r="D8">
        <v>8.0229670322143924</v>
      </c>
      <c r="E8">
        <v>47.1</v>
      </c>
      <c r="F8">
        <v>68.3</v>
      </c>
      <c r="K8">
        <v>1</v>
      </c>
      <c r="L8" t="s">
        <v>772</v>
      </c>
      <c r="M8" s="34">
        <v>54.7</v>
      </c>
      <c r="N8" s="34"/>
      <c r="O8" s="47">
        <f t="shared" si="0"/>
        <v>0</v>
      </c>
      <c r="Q8" t="s">
        <v>135</v>
      </c>
      <c r="R8">
        <v>3</v>
      </c>
      <c r="S8" s="34">
        <v>50.900000000000006</v>
      </c>
      <c r="T8" s="34">
        <v>3.7999999999998875</v>
      </c>
      <c r="U8">
        <v>47.1</v>
      </c>
      <c r="V8">
        <v>54.7</v>
      </c>
      <c r="W8" s="47">
        <f t="shared" si="1"/>
        <v>7.4656188605105839E-2</v>
      </c>
    </row>
    <row r="9" spans="1:23">
      <c r="A9" t="s">
        <v>210</v>
      </c>
      <c r="B9">
        <v>32</v>
      </c>
      <c r="C9">
        <v>47.684375000000003</v>
      </c>
      <c r="D9">
        <v>21.292374969806417</v>
      </c>
      <c r="E9">
        <v>20.5</v>
      </c>
      <c r="F9">
        <v>88</v>
      </c>
      <c r="K9">
        <v>1</v>
      </c>
      <c r="L9" t="s">
        <v>774</v>
      </c>
      <c r="M9" s="34">
        <v>50.9</v>
      </c>
      <c r="N9" s="34"/>
      <c r="O9" s="47">
        <f t="shared" si="0"/>
        <v>0</v>
      </c>
      <c r="Q9" t="s">
        <v>210</v>
      </c>
      <c r="R9">
        <v>31</v>
      </c>
      <c r="S9" s="34">
        <v>47.193548387096776</v>
      </c>
      <c r="T9" s="34">
        <v>21.459526796334089</v>
      </c>
      <c r="U9">
        <v>20.5</v>
      </c>
      <c r="V9">
        <v>88</v>
      </c>
      <c r="W9" s="47">
        <f t="shared" si="1"/>
        <v>0.45471314469334023</v>
      </c>
    </row>
    <row r="10" spans="1:23">
      <c r="A10" t="s">
        <v>676</v>
      </c>
      <c r="B10">
        <v>4</v>
      </c>
      <c r="C10">
        <v>80.875</v>
      </c>
      <c r="D10">
        <v>18.185960702329329</v>
      </c>
      <c r="E10">
        <v>59.3</v>
      </c>
      <c r="F10">
        <v>97.2</v>
      </c>
      <c r="K10">
        <v>1</v>
      </c>
      <c r="L10" t="s">
        <v>773</v>
      </c>
      <c r="M10" s="34">
        <v>47.1</v>
      </c>
      <c r="N10" s="34"/>
      <c r="O10" s="47">
        <f t="shared" si="0"/>
        <v>0</v>
      </c>
      <c r="Q10" t="s">
        <v>676</v>
      </c>
      <c r="R10">
        <v>1</v>
      </c>
      <c r="S10" s="34">
        <v>63.1</v>
      </c>
      <c r="T10" s="34" t="e">
        <v>#DIV/0!</v>
      </c>
      <c r="U10">
        <v>63.1</v>
      </c>
      <c r="V10">
        <v>63.1</v>
      </c>
      <c r="W10" s="47"/>
    </row>
    <row r="11" spans="1:23">
      <c r="A11" t="s">
        <v>21</v>
      </c>
      <c r="B11">
        <v>13</v>
      </c>
      <c r="C11">
        <v>48.825384615384614</v>
      </c>
      <c r="D11">
        <v>26.61109812821979</v>
      </c>
      <c r="E11">
        <v>7.8</v>
      </c>
      <c r="F11">
        <v>90.6</v>
      </c>
      <c r="K11" s="31">
        <v>4</v>
      </c>
      <c r="L11" t="s">
        <v>751</v>
      </c>
      <c r="M11" s="34">
        <v>44.5</v>
      </c>
      <c r="N11" s="34">
        <v>15.154757228892407</v>
      </c>
      <c r="O11" s="47">
        <f t="shared" si="0"/>
        <v>0.3405563422223013</v>
      </c>
      <c r="Q11" t="s">
        <v>21</v>
      </c>
      <c r="R11" s="31">
        <v>13</v>
      </c>
      <c r="S11" s="34">
        <v>48.863846153846154</v>
      </c>
      <c r="T11" s="34">
        <v>26.628950266724583</v>
      </c>
      <c r="U11">
        <v>7.8</v>
      </c>
      <c r="V11">
        <v>90.6</v>
      </c>
      <c r="W11" s="47">
        <f t="shared" si="1"/>
        <v>0.5449622238676064</v>
      </c>
    </row>
    <row r="12" spans="1:23">
      <c r="A12" t="s">
        <v>220</v>
      </c>
      <c r="B12">
        <v>14</v>
      </c>
      <c r="C12">
        <v>47.471428571428575</v>
      </c>
      <c r="D12">
        <v>10.138079667306798</v>
      </c>
      <c r="E12">
        <v>31</v>
      </c>
      <c r="F12">
        <v>60</v>
      </c>
      <c r="K12" s="31">
        <v>44</v>
      </c>
      <c r="L12" t="s">
        <v>749</v>
      </c>
      <c r="M12" s="34">
        <v>47</v>
      </c>
      <c r="N12" s="34">
        <v>18.8</v>
      </c>
      <c r="O12" s="47">
        <f t="shared" si="0"/>
        <v>0.4</v>
      </c>
      <c r="Q12" t="s">
        <v>220</v>
      </c>
      <c r="R12">
        <v>13</v>
      </c>
      <c r="S12" s="34">
        <v>46.57692307692308</v>
      </c>
      <c r="T12" s="34">
        <v>10.568755354515027</v>
      </c>
      <c r="U12">
        <v>30</v>
      </c>
      <c r="V12">
        <v>60</v>
      </c>
      <c r="W12" s="47">
        <f t="shared" si="1"/>
        <v>0.22690969382113185</v>
      </c>
    </row>
    <row r="13" spans="1:23">
      <c r="A13" t="s">
        <v>296</v>
      </c>
      <c r="B13">
        <v>4</v>
      </c>
      <c r="C13">
        <v>26.9</v>
      </c>
      <c r="D13">
        <v>13.884523758487363</v>
      </c>
      <c r="E13">
        <v>16.8</v>
      </c>
      <c r="F13">
        <v>47.4</v>
      </c>
      <c r="K13" s="31">
        <v>32</v>
      </c>
      <c r="L13" t="s">
        <v>746</v>
      </c>
      <c r="M13" s="34">
        <v>44.203125</v>
      </c>
      <c r="N13" s="34">
        <v>15.934897478844668</v>
      </c>
      <c r="O13" s="47">
        <f t="shared" si="0"/>
        <v>0.36049255519478923</v>
      </c>
      <c r="Q13" t="s">
        <v>296</v>
      </c>
      <c r="R13">
        <v>4</v>
      </c>
      <c r="S13" s="34">
        <v>26.9</v>
      </c>
      <c r="T13" s="34">
        <v>13.884523758487363</v>
      </c>
      <c r="U13">
        <v>16.8</v>
      </c>
      <c r="V13">
        <v>47.4</v>
      </c>
      <c r="W13" s="47">
        <f t="shared" si="1"/>
        <v>0.51615329957202094</v>
      </c>
    </row>
    <row r="14" spans="1:23">
      <c r="A14" t="s">
        <v>166</v>
      </c>
      <c r="B14">
        <v>14</v>
      </c>
      <c r="C14">
        <v>34.322857142857146</v>
      </c>
      <c r="D14">
        <v>13.25356000277859</v>
      </c>
      <c r="E14">
        <v>14.8</v>
      </c>
      <c r="F14">
        <v>64</v>
      </c>
      <c r="K14">
        <v>49</v>
      </c>
      <c r="L14" t="s">
        <v>745</v>
      </c>
      <c r="M14" s="34">
        <v>37.200000000000003</v>
      </c>
      <c r="N14" s="34">
        <v>14.1</v>
      </c>
      <c r="O14" s="47">
        <f t="shared" si="0"/>
        <v>0.37903225806451607</v>
      </c>
      <c r="Q14" t="s">
        <v>166</v>
      </c>
      <c r="R14" s="31">
        <v>14</v>
      </c>
      <c r="S14" s="34">
        <v>34.322857142857146</v>
      </c>
      <c r="T14" s="34">
        <v>13.25356000277859</v>
      </c>
      <c r="U14">
        <v>14.8</v>
      </c>
      <c r="V14">
        <v>64</v>
      </c>
      <c r="W14" s="47">
        <f>T14/S14</f>
        <v>0.38614384424977161</v>
      </c>
    </row>
    <row r="15" spans="1:23">
      <c r="A15" t="s">
        <v>40</v>
      </c>
      <c r="B15">
        <v>46</v>
      </c>
      <c r="C15">
        <v>44.634999999999998</v>
      </c>
      <c r="D15">
        <v>15.786842165409642</v>
      </c>
      <c r="E15">
        <v>20</v>
      </c>
      <c r="F15">
        <v>80</v>
      </c>
      <c r="K15">
        <v>10</v>
      </c>
      <c r="L15" t="s">
        <v>750</v>
      </c>
      <c r="M15" s="34">
        <v>30.252000000000002</v>
      </c>
      <c r="N15" s="34">
        <v>10.617194440047591</v>
      </c>
      <c r="O15" s="47">
        <f t="shared" si="0"/>
        <v>0.35095843051856374</v>
      </c>
      <c r="Q15" t="s">
        <v>40</v>
      </c>
      <c r="R15">
        <v>46</v>
      </c>
      <c r="S15" s="34">
        <v>44.634999999999998</v>
      </c>
      <c r="T15" s="34">
        <v>15.786842165409642</v>
      </c>
      <c r="U15">
        <v>20</v>
      </c>
      <c r="V15">
        <v>80</v>
      </c>
      <c r="W15" s="47">
        <f t="shared" si="1"/>
        <v>0.35368751350755334</v>
      </c>
    </row>
    <row r="16" spans="1:23" ht="15" thickBot="1">
      <c r="A16" t="s">
        <v>729</v>
      </c>
      <c r="B16">
        <v>162</v>
      </c>
      <c r="C16">
        <v>43.976975308641975</v>
      </c>
      <c r="D16">
        <v>18.882718349991375</v>
      </c>
      <c r="E16">
        <v>7.8</v>
      </c>
      <c r="F16">
        <v>97.2</v>
      </c>
      <c r="M16" s="34"/>
      <c r="N16" s="34"/>
      <c r="Q16" s="35" t="s">
        <v>729</v>
      </c>
      <c r="R16" s="35">
        <v>159</v>
      </c>
      <c r="S16" s="46">
        <v>42.179496855345903</v>
      </c>
      <c r="T16" s="46">
        <v>17.495051951429552</v>
      </c>
      <c r="U16" s="35">
        <v>7.8</v>
      </c>
      <c r="V16" s="35">
        <v>90.6</v>
      </c>
    </row>
    <row r="17" spans="11:14" ht="15" thickBot="1">
      <c r="K17" s="35">
        <v>159</v>
      </c>
      <c r="L17" t="s">
        <v>753</v>
      </c>
      <c r="M17" s="46">
        <v>42.179496855345917</v>
      </c>
      <c r="N17" s="46">
        <v>17.49505195142952</v>
      </c>
    </row>
    <row r="18" spans="11:14">
      <c r="N18" s="34">
        <f>AVERAGE(N6:N15)</f>
        <v>15.223429969915474</v>
      </c>
    </row>
  </sheetData>
  <sortState xmlns:xlrd2="http://schemas.microsoft.com/office/spreadsheetml/2017/richdata2" ref="K6:N15">
    <sortCondition descending="1" ref="M6:M15"/>
  </sortState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5F87C-DB58-460C-84F3-D56F081F0D7A}">
  <dimension ref="A1:P28"/>
  <sheetViews>
    <sheetView workbookViewId="0">
      <selection activeCell="R10" sqref="R10"/>
    </sheetView>
  </sheetViews>
  <sheetFormatPr defaultRowHeight="14.5"/>
  <cols>
    <col min="1" max="1" width="13.7265625" customWidth="1"/>
    <col min="7" max="7" width="10" bestFit="1" customWidth="1"/>
  </cols>
  <sheetData>
    <row r="1" spans="1:16">
      <c r="A1" s="26" t="s">
        <v>989</v>
      </c>
      <c r="J1" s="26" t="s">
        <v>989</v>
      </c>
    </row>
    <row r="2" spans="1:16">
      <c r="A2" t="s">
        <v>2</v>
      </c>
      <c r="B2" t="s">
        <v>742</v>
      </c>
      <c r="C2" t="s">
        <v>985</v>
      </c>
      <c r="D2" t="s">
        <v>752</v>
      </c>
      <c r="E2" t="s">
        <v>986</v>
      </c>
      <c r="F2" t="s">
        <v>987</v>
      </c>
      <c r="G2" t="s">
        <v>988</v>
      </c>
      <c r="J2" t="s">
        <v>2</v>
      </c>
      <c r="K2" t="s">
        <v>742</v>
      </c>
      <c r="L2" t="s">
        <v>985</v>
      </c>
      <c r="M2" t="s">
        <v>752</v>
      </c>
      <c r="N2" t="s">
        <v>986</v>
      </c>
      <c r="O2" t="s">
        <v>987</v>
      </c>
      <c r="P2" t="s">
        <v>988</v>
      </c>
    </row>
    <row r="3" spans="1:16">
      <c r="A3" t="s">
        <v>122</v>
      </c>
      <c r="B3">
        <v>4</v>
      </c>
      <c r="C3" s="34">
        <v>62.15</v>
      </c>
      <c r="D3" s="34">
        <v>16.595883023609606</v>
      </c>
      <c r="E3">
        <v>52.6</v>
      </c>
      <c r="F3">
        <v>87</v>
      </c>
      <c r="G3" s="47">
        <f>D3/C3</f>
        <v>0.26702949354158656</v>
      </c>
      <c r="J3" t="s">
        <v>17</v>
      </c>
      <c r="K3">
        <v>26</v>
      </c>
      <c r="L3" s="34">
        <v>31.069615384615396</v>
      </c>
      <c r="M3" s="34">
        <v>9.3542681085242183</v>
      </c>
      <c r="N3">
        <v>15</v>
      </c>
      <c r="O3">
        <v>50</v>
      </c>
      <c r="P3" s="47">
        <f t="shared" ref="P3" si="0">M3/L3</f>
        <v>0.30107447397485743</v>
      </c>
    </row>
    <row r="4" spans="1:16">
      <c r="A4" t="s">
        <v>17</v>
      </c>
      <c r="B4">
        <v>26</v>
      </c>
      <c r="C4" s="34">
        <v>31.069615384615396</v>
      </c>
      <c r="D4" s="34">
        <v>9.3542681085242183</v>
      </c>
      <c r="E4">
        <v>15</v>
      </c>
      <c r="F4">
        <v>50</v>
      </c>
      <c r="G4" s="47">
        <f t="shared" ref="G4:G12" si="1">D4/C4</f>
        <v>0.30107447397485743</v>
      </c>
      <c r="J4" t="s">
        <v>994</v>
      </c>
      <c r="K4">
        <v>14</v>
      </c>
      <c r="L4" s="34">
        <v>34.322857142857146</v>
      </c>
      <c r="M4" s="34">
        <v>13.25356000277859</v>
      </c>
      <c r="N4">
        <v>14.8</v>
      </c>
      <c r="O4">
        <v>64</v>
      </c>
      <c r="P4" s="47">
        <f>M4/L4</f>
        <v>0.38614384424977161</v>
      </c>
    </row>
    <row r="5" spans="1:16">
      <c r="A5" t="s">
        <v>135</v>
      </c>
      <c r="B5">
        <v>5</v>
      </c>
      <c r="C5" s="34">
        <v>55.56</v>
      </c>
      <c r="D5" s="34">
        <v>8.0229670322143924</v>
      </c>
      <c r="E5">
        <v>47.1</v>
      </c>
      <c r="F5">
        <v>68.3</v>
      </c>
      <c r="G5" s="47">
        <f t="shared" si="1"/>
        <v>0.14440185443150455</v>
      </c>
      <c r="J5" t="s">
        <v>40</v>
      </c>
      <c r="K5">
        <v>46</v>
      </c>
      <c r="L5" s="34">
        <v>44.634999999999998</v>
      </c>
      <c r="M5" s="34">
        <v>15.786842165409642</v>
      </c>
      <c r="N5">
        <v>20</v>
      </c>
      <c r="O5">
        <v>80</v>
      </c>
      <c r="P5" s="47">
        <f t="shared" ref="P5" si="2">M5/L5</f>
        <v>0.35368751350755334</v>
      </c>
    </row>
    <row r="6" spans="1:16">
      <c r="A6" t="s">
        <v>210</v>
      </c>
      <c r="B6">
        <v>32</v>
      </c>
      <c r="C6" s="34">
        <v>47.684375000000003</v>
      </c>
      <c r="D6" s="34">
        <v>21.292374969806417</v>
      </c>
      <c r="E6">
        <v>20.5</v>
      </c>
      <c r="F6">
        <v>88</v>
      </c>
      <c r="G6" s="47">
        <f t="shared" si="1"/>
        <v>0.44652729473347225</v>
      </c>
      <c r="J6" t="s">
        <v>21</v>
      </c>
      <c r="K6">
        <v>13</v>
      </c>
      <c r="L6" s="34">
        <v>48.825384615384614</v>
      </c>
      <c r="M6" s="34">
        <v>26.61109812821979</v>
      </c>
      <c r="N6">
        <v>7.8</v>
      </c>
      <c r="O6">
        <v>90.6</v>
      </c>
      <c r="P6" s="47">
        <f t="shared" ref="P6" si="3">M6/L6</f>
        <v>0.5450258781952283</v>
      </c>
    </row>
    <row r="7" spans="1:16">
      <c r="A7" t="s">
        <v>676</v>
      </c>
      <c r="B7">
        <v>4</v>
      </c>
      <c r="C7" s="34">
        <v>80.875</v>
      </c>
      <c r="D7" s="34">
        <v>18.185960702329329</v>
      </c>
      <c r="E7">
        <v>59.3</v>
      </c>
      <c r="F7">
        <v>97.2</v>
      </c>
      <c r="G7" s="47"/>
      <c r="J7" t="s">
        <v>122</v>
      </c>
      <c r="K7">
        <v>4</v>
      </c>
      <c r="L7" s="34">
        <v>62.15</v>
      </c>
      <c r="M7" s="34">
        <v>16.595883023609606</v>
      </c>
      <c r="N7">
        <v>52.6</v>
      </c>
      <c r="O7">
        <v>87</v>
      </c>
      <c r="P7" s="47">
        <f>M7/L7</f>
        <v>0.26702949354158656</v>
      </c>
    </row>
    <row r="8" spans="1:16">
      <c r="A8" t="s">
        <v>21</v>
      </c>
      <c r="B8">
        <v>13</v>
      </c>
      <c r="C8" s="34">
        <v>48.825384615384614</v>
      </c>
      <c r="D8" s="34">
        <v>26.61109812821979</v>
      </c>
      <c r="E8">
        <v>7.8</v>
      </c>
      <c r="F8">
        <v>90.6</v>
      </c>
      <c r="G8" s="47">
        <f t="shared" si="1"/>
        <v>0.5450258781952283</v>
      </c>
      <c r="J8" t="s">
        <v>676</v>
      </c>
      <c r="K8">
        <v>4</v>
      </c>
      <c r="L8" s="34">
        <v>80.875</v>
      </c>
      <c r="M8" s="34">
        <v>18.185960702329329</v>
      </c>
      <c r="N8">
        <v>59.3</v>
      </c>
      <c r="O8">
        <v>97.2</v>
      </c>
      <c r="P8" s="47">
        <f>M8/L8</f>
        <v>0.22486504732401025</v>
      </c>
    </row>
    <row r="9" spans="1:16">
      <c r="A9" t="s">
        <v>220</v>
      </c>
      <c r="B9">
        <v>14</v>
      </c>
      <c r="C9" s="34">
        <v>47.471428571428575</v>
      </c>
      <c r="D9" s="34">
        <v>10.138079667306798</v>
      </c>
      <c r="E9">
        <v>31</v>
      </c>
      <c r="F9">
        <v>60</v>
      </c>
      <c r="G9" s="47">
        <f t="shared" si="1"/>
        <v>0.21356171432785909</v>
      </c>
      <c r="J9" t="s">
        <v>135</v>
      </c>
      <c r="K9">
        <v>5</v>
      </c>
      <c r="L9" s="34">
        <v>55.56</v>
      </c>
      <c r="M9" s="34">
        <v>8.0229670322143924</v>
      </c>
      <c r="N9">
        <v>47.1</v>
      </c>
      <c r="O9">
        <v>68.3</v>
      </c>
      <c r="P9" s="47">
        <f t="shared" ref="P9:P13" si="4">M9/L9</f>
        <v>0.14440185443150455</v>
      </c>
    </row>
    <row r="10" spans="1:16">
      <c r="A10" t="s">
        <v>296</v>
      </c>
      <c r="B10">
        <v>4</v>
      </c>
      <c r="C10" s="34">
        <v>26.9</v>
      </c>
      <c r="D10" s="34">
        <v>13.884523758487363</v>
      </c>
      <c r="E10">
        <v>16.8</v>
      </c>
      <c r="F10">
        <v>47.4</v>
      </c>
      <c r="G10" s="47">
        <f t="shared" si="1"/>
        <v>0.51615329957202094</v>
      </c>
      <c r="J10" t="s">
        <v>210</v>
      </c>
      <c r="K10">
        <v>32</v>
      </c>
      <c r="L10" s="34">
        <v>47.684375000000003</v>
      </c>
      <c r="M10" s="34">
        <v>21.292374969806417</v>
      </c>
      <c r="N10">
        <v>20.5</v>
      </c>
      <c r="O10">
        <v>88</v>
      </c>
      <c r="P10" s="47">
        <f t="shared" si="4"/>
        <v>0.44652729473347225</v>
      </c>
    </row>
    <row r="11" spans="1:16">
      <c r="A11" t="s">
        <v>166</v>
      </c>
      <c r="B11">
        <v>14</v>
      </c>
      <c r="C11" s="34">
        <v>34.322857142857146</v>
      </c>
      <c r="D11" s="34">
        <v>13.25356000277859</v>
      </c>
      <c r="E11">
        <v>14.8</v>
      </c>
      <c r="F11">
        <v>64</v>
      </c>
      <c r="G11" s="47">
        <f>D11/C11</f>
        <v>0.38614384424977161</v>
      </c>
      <c r="J11" t="s">
        <v>220</v>
      </c>
      <c r="K11">
        <v>14</v>
      </c>
      <c r="L11" s="34">
        <v>47.471428571428575</v>
      </c>
      <c r="M11" s="34">
        <v>10.138079667306798</v>
      </c>
      <c r="N11">
        <v>31</v>
      </c>
      <c r="O11">
        <v>60</v>
      </c>
      <c r="P11" s="47">
        <f t="shared" si="4"/>
        <v>0.21356171432785909</v>
      </c>
    </row>
    <row r="12" spans="1:16">
      <c r="A12" t="s">
        <v>40</v>
      </c>
      <c r="B12">
        <v>46</v>
      </c>
      <c r="C12" s="34">
        <v>44.634999999999998</v>
      </c>
      <c r="D12" s="34">
        <v>15.786842165409642</v>
      </c>
      <c r="E12">
        <v>20</v>
      </c>
      <c r="F12">
        <v>80</v>
      </c>
      <c r="G12" s="47">
        <f t="shared" si="1"/>
        <v>0.35368751350755334</v>
      </c>
      <c r="J12" t="s">
        <v>296</v>
      </c>
      <c r="K12">
        <v>4</v>
      </c>
      <c r="L12" s="34">
        <v>26.9</v>
      </c>
      <c r="M12" s="34">
        <v>13.884523758487363</v>
      </c>
      <c r="N12">
        <v>16.8</v>
      </c>
      <c r="O12">
        <v>47.4</v>
      </c>
      <c r="P12" s="47">
        <f t="shared" si="4"/>
        <v>0.51615329957202094</v>
      </c>
    </row>
    <row r="13" spans="1:16" ht="15" thickBot="1">
      <c r="A13" s="35" t="s">
        <v>729</v>
      </c>
      <c r="B13" s="35">
        <v>162</v>
      </c>
      <c r="C13" s="46">
        <v>43.83993827160495</v>
      </c>
      <c r="D13" s="46">
        <v>18.951940017606319</v>
      </c>
      <c r="E13" s="35">
        <v>7.8</v>
      </c>
      <c r="F13" s="35">
        <v>97.2</v>
      </c>
      <c r="G13" s="49">
        <f>D13/C13</f>
        <v>0.4322985105542782</v>
      </c>
      <c r="J13" s="35" t="s">
        <v>995</v>
      </c>
      <c r="K13" s="35">
        <v>162</v>
      </c>
      <c r="L13" s="46">
        <v>43.83993827160495</v>
      </c>
      <c r="M13" s="46">
        <v>18.951940017606319</v>
      </c>
      <c r="N13" s="35">
        <v>7.8</v>
      </c>
      <c r="O13" s="35">
        <v>97.2</v>
      </c>
      <c r="P13" s="47">
        <f t="shared" si="4"/>
        <v>0.4322985105542782</v>
      </c>
    </row>
    <row r="15" spans="1:16" ht="15" thickBot="1">
      <c r="A15" s="26" t="s">
        <v>990</v>
      </c>
    </row>
    <row r="16" spans="1:16">
      <c r="A16" s="48" t="s">
        <v>744</v>
      </c>
      <c r="B16" t="s">
        <v>742</v>
      </c>
      <c r="C16" t="s">
        <v>985</v>
      </c>
      <c r="D16" t="s">
        <v>752</v>
      </c>
      <c r="E16" t="s">
        <v>986</v>
      </c>
      <c r="F16" t="s">
        <v>987</v>
      </c>
      <c r="G16" t="s">
        <v>988</v>
      </c>
      <c r="J16" s="48" t="s">
        <v>744</v>
      </c>
      <c r="K16" t="s">
        <v>742</v>
      </c>
      <c r="L16" t="s">
        <v>985</v>
      </c>
      <c r="M16" t="s">
        <v>752</v>
      </c>
      <c r="N16" t="s">
        <v>986</v>
      </c>
      <c r="O16" t="s">
        <v>987</v>
      </c>
      <c r="P16" t="s">
        <v>988</v>
      </c>
    </row>
    <row r="17" spans="1:16">
      <c r="A17" t="s">
        <v>748</v>
      </c>
      <c r="B17">
        <v>8</v>
      </c>
      <c r="C17" s="34">
        <v>71.512500000000003</v>
      </c>
      <c r="D17" s="34">
        <v>18.972569484841596</v>
      </c>
      <c r="E17">
        <v>52.6</v>
      </c>
      <c r="F17">
        <v>97.2</v>
      </c>
      <c r="G17" s="47">
        <f>D17/C17</f>
        <v>0.26530424030542349</v>
      </c>
      <c r="J17" t="s">
        <v>745</v>
      </c>
      <c r="K17">
        <v>44</v>
      </c>
      <c r="L17" s="34">
        <v>37.504999999999988</v>
      </c>
      <c r="M17" s="34">
        <v>14.796140995952085</v>
      </c>
      <c r="N17">
        <v>15</v>
      </c>
      <c r="O17">
        <v>78.2</v>
      </c>
      <c r="P17" s="47">
        <f t="shared" ref="P17" si="5">M17/L17</f>
        <v>0.39451115840426848</v>
      </c>
    </row>
    <row r="18" spans="1:16">
      <c r="A18" t="s">
        <v>747</v>
      </c>
      <c r="B18">
        <v>13</v>
      </c>
      <c r="C18" s="34">
        <v>41.433076923076925</v>
      </c>
      <c r="D18" s="34">
        <v>27.520105796979113</v>
      </c>
      <c r="E18">
        <v>7.8</v>
      </c>
      <c r="F18">
        <v>90.6</v>
      </c>
      <c r="G18" s="47">
        <f t="shared" ref="G18:G28" si="6">D18/C18</f>
        <v>0.66420618116467423</v>
      </c>
      <c r="J18" t="s">
        <v>746</v>
      </c>
      <c r="K18">
        <v>32</v>
      </c>
      <c r="L18" s="34">
        <v>44.203125</v>
      </c>
      <c r="M18" s="34">
        <v>15.934897478844668</v>
      </c>
      <c r="N18">
        <v>20</v>
      </c>
      <c r="O18">
        <v>80</v>
      </c>
      <c r="P18" s="47">
        <f t="shared" ref="P18" si="7">M18/L18</f>
        <v>0.36049255519478923</v>
      </c>
    </row>
    <row r="19" spans="1:16">
      <c r="A19" t="s">
        <v>773</v>
      </c>
      <c r="B19">
        <v>1</v>
      </c>
      <c r="C19" s="34">
        <v>47.1</v>
      </c>
      <c r="D19" s="34" t="e">
        <v>#DIV/0!</v>
      </c>
      <c r="E19">
        <v>47.1</v>
      </c>
      <c r="F19">
        <v>47.1</v>
      </c>
      <c r="G19" s="47" t="e">
        <f t="shared" si="6"/>
        <v>#DIV/0!</v>
      </c>
      <c r="J19" t="s">
        <v>748</v>
      </c>
      <c r="K19">
        <v>8</v>
      </c>
      <c r="L19" s="34">
        <v>71.512500000000003</v>
      </c>
      <c r="M19" s="34">
        <v>18.972569484841596</v>
      </c>
      <c r="N19">
        <v>52.6</v>
      </c>
      <c r="O19">
        <v>97.2</v>
      </c>
      <c r="P19" s="47">
        <f>M19/L19</f>
        <v>0.26530424030542349</v>
      </c>
    </row>
    <row r="20" spans="1:16">
      <c r="A20" t="s">
        <v>774</v>
      </c>
      <c r="B20">
        <v>1</v>
      </c>
      <c r="C20" s="34">
        <v>50.9</v>
      </c>
      <c r="D20" s="34" t="e">
        <v>#DIV/0!</v>
      </c>
      <c r="E20">
        <v>50.9</v>
      </c>
      <c r="F20">
        <v>50.9</v>
      </c>
      <c r="G20" s="47" t="e">
        <f t="shared" si="6"/>
        <v>#DIV/0!</v>
      </c>
      <c r="J20" t="s">
        <v>774</v>
      </c>
      <c r="K20">
        <v>1</v>
      </c>
      <c r="L20" s="34">
        <v>50.9</v>
      </c>
      <c r="M20" s="34"/>
      <c r="N20" s="34">
        <v>50.9</v>
      </c>
      <c r="O20" s="34">
        <v>50.9</v>
      </c>
      <c r="P20" s="34"/>
    </row>
    <row r="21" spans="1:16">
      <c r="A21" t="s">
        <v>772</v>
      </c>
      <c r="B21">
        <v>2</v>
      </c>
      <c r="C21" s="34">
        <v>61.55</v>
      </c>
      <c r="D21" s="34">
        <v>9.5459415460183443</v>
      </c>
      <c r="E21">
        <v>54.8</v>
      </c>
      <c r="F21">
        <v>68.3</v>
      </c>
      <c r="G21" s="47">
        <f t="shared" si="6"/>
        <v>0.15509247028461973</v>
      </c>
      <c r="J21" t="s">
        <v>751</v>
      </c>
      <c r="K21">
        <v>4</v>
      </c>
      <c r="L21" s="34">
        <v>44.5</v>
      </c>
      <c r="M21" s="34">
        <v>15.154757228892407</v>
      </c>
      <c r="N21" s="34">
        <v>29</v>
      </c>
      <c r="O21" s="34">
        <v>64</v>
      </c>
      <c r="P21" s="34">
        <f t="shared" ref="P21:P23" si="8">M21/L21</f>
        <v>0.3405563422223013</v>
      </c>
    </row>
    <row r="22" spans="1:16">
      <c r="A22" t="s">
        <v>1000</v>
      </c>
      <c r="B22">
        <v>1</v>
      </c>
      <c r="C22" s="34">
        <v>56.7</v>
      </c>
      <c r="D22" s="34" t="e">
        <v>#DIV/0!</v>
      </c>
      <c r="E22">
        <v>56.7</v>
      </c>
      <c r="F22">
        <v>56.7</v>
      </c>
      <c r="G22" s="47" t="e">
        <f t="shared" si="6"/>
        <v>#DIV/0!</v>
      </c>
      <c r="J22" t="s">
        <v>750</v>
      </c>
      <c r="K22">
        <v>10</v>
      </c>
      <c r="L22" s="34">
        <v>30.252000000000002</v>
      </c>
      <c r="M22" s="34">
        <v>10.617194440047591</v>
      </c>
      <c r="N22" s="34">
        <v>14.8</v>
      </c>
      <c r="O22" s="34">
        <v>46.4</v>
      </c>
      <c r="P22" s="34">
        <f t="shared" si="8"/>
        <v>0.35095843051856374</v>
      </c>
    </row>
    <row r="23" spans="1:16">
      <c r="A23" t="s">
        <v>749</v>
      </c>
      <c r="B23">
        <v>46</v>
      </c>
      <c r="C23" s="34">
        <v>47.619565217391305</v>
      </c>
      <c r="D23" s="34">
        <v>18.493790183797337</v>
      </c>
      <c r="E23">
        <v>20.5</v>
      </c>
      <c r="F23">
        <v>88</v>
      </c>
      <c r="G23" s="47">
        <f t="shared" si="6"/>
        <v>0.38836537249699954</v>
      </c>
      <c r="J23" t="s">
        <v>749</v>
      </c>
      <c r="K23">
        <v>46</v>
      </c>
      <c r="L23" s="34">
        <v>47.619565217391305</v>
      </c>
      <c r="M23" s="34">
        <v>18.493790183797337</v>
      </c>
      <c r="N23">
        <v>20.5</v>
      </c>
      <c r="O23">
        <v>88</v>
      </c>
      <c r="P23" s="47">
        <f t="shared" si="8"/>
        <v>0.38836537249699954</v>
      </c>
    </row>
    <row r="24" spans="1:16">
      <c r="A24" t="s">
        <v>746</v>
      </c>
      <c r="B24">
        <v>32</v>
      </c>
      <c r="C24" s="34">
        <v>44.203125</v>
      </c>
      <c r="D24" s="34">
        <v>15.934897478844668</v>
      </c>
      <c r="E24">
        <v>20</v>
      </c>
      <c r="F24">
        <v>80</v>
      </c>
      <c r="G24" s="47">
        <f t="shared" si="6"/>
        <v>0.36049255519478923</v>
      </c>
      <c r="J24" t="s">
        <v>773</v>
      </c>
      <c r="K24">
        <v>1</v>
      </c>
      <c r="L24" s="34">
        <v>47.1</v>
      </c>
      <c r="M24" s="34"/>
      <c r="N24">
        <v>47.1</v>
      </c>
      <c r="O24">
        <v>47.1</v>
      </c>
      <c r="P24" s="47"/>
    </row>
    <row r="25" spans="1:16">
      <c r="A25" t="s">
        <v>745</v>
      </c>
      <c r="B25">
        <v>44</v>
      </c>
      <c r="C25" s="34">
        <v>37.504999999999988</v>
      </c>
      <c r="D25" s="34">
        <v>14.796140995952085</v>
      </c>
      <c r="E25">
        <v>15</v>
      </c>
      <c r="F25">
        <v>78.2</v>
      </c>
      <c r="G25" s="47">
        <f t="shared" si="6"/>
        <v>0.39451115840426848</v>
      </c>
      <c r="J25" t="s">
        <v>1000</v>
      </c>
      <c r="K25">
        <v>1</v>
      </c>
      <c r="L25" s="34">
        <v>56.7</v>
      </c>
      <c r="M25" s="34"/>
      <c r="N25">
        <v>56.7</v>
      </c>
      <c r="O25">
        <v>56.7</v>
      </c>
      <c r="P25" s="47"/>
    </row>
    <row r="26" spans="1:16">
      <c r="A26" t="s">
        <v>750</v>
      </c>
      <c r="B26">
        <v>10</v>
      </c>
      <c r="C26" s="34">
        <v>30.252000000000002</v>
      </c>
      <c r="D26" s="34">
        <v>10.617194440047591</v>
      </c>
      <c r="E26">
        <v>14.8</v>
      </c>
      <c r="F26">
        <v>46.4</v>
      </c>
      <c r="G26" s="47">
        <f t="shared" si="6"/>
        <v>0.35095843051856374</v>
      </c>
      <c r="J26" t="s">
        <v>772</v>
      </c>
      <c r="K26">
        <v>2</v>
      </c>
      <c r="L26" s="34">
        <v>61.55</v>
      </c>
      <c r="M26" s="34">
        <v>9.5459415460183443</v>
      </c>
      <c r="N26">
        <v>54.8</v>
      </c>
      <c r="O26">
        <v>68.3</v>
      </c>
      <c r="P26" s="47">
        <f>M26/L26</f>
        <v>0.15509247028461973</v>
      </c>
    </row>
    <row r="27" spans="1:16">
      <c r="A27" t="s">
        <v>751</v>
      </c>
      <c r="B27">
        <v>4</v>
      </c>
      <c r="C27" s="34">
        <v>44.5</v>
      </c>
      <c r="D27" s="34">
        <v>15.154757228892407</v>
      </c>
      <c r="E27">
        <v>29</v>
      </c>
      <c r="F27">
        <v>64</v>
      </c>
      <c r="G27" s="47">
        <f t="shared" si="6"/>
        <v>0.3405563422223013</v>
      </c>
      <c r="J27" t="s">
        <v>747</v>
      </c>
      <c r="K27">
        <v>13</v>
      </c>
      <c r="L27" s="34">
        <v>41.433076923076925</v>
      </c>
      <c r="M27" s="34">
        <v>27.520105796979113</v>
      </c>
      <c r="N27">
        <v>7.8</v>
      </c>
      <c r="O27">
        <v>90.6</v>
      </c>
      <c r="P27" s="47">
        <f t="shared" ref="P27" si="9">M27/L27</f>
        <v>0.66420618116467423</v>
      </c>
    </row>
    <row r="28" spans="1:16" ht="15" thickBot="1">
      <c r="A28" s="35" t="s">
        <v>729</v>
      </c>
      <c r="B28" s="35">
        <v>162</v>
      </c>
      <c r="C28" s="46">
        <v>43.839938271604936</v>
      </c>
      <c r="D28" s="46">
        <v>18.951940017606347</v>
      </c>
      <c r="E28" s="35">
        <v>7.8</v>
      </c>
      <c r="F28" s="35">
        <v>97.2</v>
      </c>
      <c r="G28" s="47">
        <f t="shared" si="6"/>
        <v>0.43229851055427904</v>
      </c>
      <c r="J28" s="35" t="s">
        <v>995</v>
      </c>
      <c r="K28" s="35">
        <v>162</v>
      </c>
      <c r="L28" s="46">
        <v>43.83993827160495</v>
      </c>
      <c r="M28" s="46">
        <v>18.951940017606319</v>
      </c>
      <c r="N28" s="35">
        <v>7.8</v>
      </c>
      <c r="O28" s="35">
        <v>97.2</v>
      </c>
      <c r="P28" s="47">
        <f t="shared" ref="P28" si="10">M28/L28</f>
        <v>0.4322985105542782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BEB07-BB3C-4026-A83C-17807AE1FFBA}">
  <sheetPr filterMode="1"/>
  <dimension ref="A1:X965"/>
  <sheetViews>
    <sheetView tabSelected="1" zoomScaleNormal="80" workbookViewId="0">
      <pane ySplit="1" topLeftCell="A301" activePane="bottomLeft" state="frozen"/>
      <selection pane="bottomLeft" activeCell="A301" sqref="A301:XFD301"/>
    </sheetView>
  </sheetViews>
  <sheetFormatPr defaultColWidth="11.81640625" defaultRowHeight="14.5"/>
  <cols>
    <col min="1" max="1" width="5.81640625" customWidth="1"/>
    <col min="2" max="2" width="31.26953125" customWidth="1"/>
    <col min="3" max="3" width="12.453125" customWidth="1"/>
    <col min="4" max="4" width="12.7265625" customWidth="1"/>
    <col min="5" max="5" width="9.7265625" style="12" customWidth="1"/>
    <col min="6" max="6" width="13.453125" style="12" customWidth="1"/>
    <col min="7" max="7" width="11.54296875" style="12" customWidth="1"/>
    <col min="8" max="8" width="26.453125" customWidth="1"/>
    <col min="9" max="9" width="22.1796875" customWidth="1"/>
    <col min="10" max="10" width="19.7265625" customWidth="1"/>
    <col min="11" max="11" width="17.26953125" customWidth="1"/>
    <col min="12" max="12" width="2.81640625" style="5" customWidth="1"/>
    <col min="13" max="14" width="2.81640625" customWidth="1"/>
    <col min="15" max="15" width="12.7265625" customWidth="1"/>
    <col min="16" max="16" width="6.81640625" customWidth="1"/>
    <col min="17" max="17" width="8" customWidth="1"/>
    <col min="18" max="18" width="13.81640625" bestFit="1" customWidth="1"/>
    <col min="19" max="21" width="11.81640625" style="10"/>
    <col min="22" max="22" width="255.7265625" bestFit="1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744</v>
      </c>
      <c r="E1" s="19" t="s">
        <v>3</v>
      </c>
      <c r="F1" s="19" t="s">
        <v>621</v>
      </c>
      <c r="G1" s="19" t="s">
        <v>730</v>
      </c>
      <c r="H1" s="1" t="s">
        <v>4</v>
      </c>
      <c r="I1" s="1" t="s">
        <v>5</v>
      </c>
      <c r="J1" s="1" t="s">
        <v>6</v>
      </c>
      <c r="K1" s="1" t="s">
        <v>7</v>
      </c>
      <c r="L1" s="2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3" t="s">
        <v>13</v>
      </c>
      <c r="R1" s="3" t="s">
        <v>379</v>
      </c>
      <c r="S1" s="4" t="s">
        <v>14</v>
      </c>
      <c r="T1" s="4" t="s">
        <v>15</v>
      </c>
      <c r="U1" s="4" t="s">
        <v>16</v>
      </c>
      <c r="V1" s="27"/>
      <c r="W1" s="27"/>
      <c r="X1" s="27"/>
    </row>
    <row r="2" spans="1:24" hidden="1">
      <c r="B2" t="s">
        <v>261</v>
      </c>
      <c r="C2" t="s">
        <v>17</v>
      </c>
      <c r="D2" t="s">
        <v>745</v>
      </c>
      <c r="E2" s="12" t="s">
        <v>262</v>
      </c>
      <c r="F2" s="16" t="s">
        <v>622</v>
      </c>
      <c r="H2" t="s">
        <v>18</v>
      </c>
      <c r="K2" t="s">
        <v>263</v>
      </c>
      <c r="L2"/>
      <c r="O2" t="s">
        <v>264</v>
      </c>
      <c r="P2" t="s">
        <v>27</v>
      </c>
      <c r="R2" s="12"/>
      <c r="S2" s="23">
        <v>24.73</v>
      </c>
      <c r="T2" s="23">
        <v>8.66</v>
      </c>
      <c r="U2" s="23"/>
      <c r="V2" s="8" t="s">
        <v>265</v>
      </c>
    </row>
    <row r="3" spans="1:24" hidden="1">
      <c r="B3" t="s">
        <v>261</v>
      </c>
      <c r="C3" t="s">
        <v>17</v>
      </c>
      <c r="D3" t="s">
        <v>745</v>
      </c>
      <c r="E3" s="12" t="s">
        <v>262</v>
      </c>
      <c r="F3" s="16" t="s">
        <v>622</v>
      </c>
      <c r="H3" t="s">
        <v>18</v>
      </c>
      <c r="K3" t="s">
        <v>263</v>
      </c>
      <c r="L3"/>
      <c r="O3" t="s">
        <v>29</v>
      </c>
      <c r="R3" s="12"/>
      <c r="S3" s="23">
        <v>1.4</v>
      </c>
      <c r="T3" s="23">
        <v>0.8</v>
      </c>
      <c r="U3" s="23"/>
      <c r="V3" s="8" t="s">
        <v>265</v>
      </c>
    </row>
    <row r="4" spans="1:24" hidden="1">
      <c r="B4" t="s">
        <v>261</v>
      </c>
      <c r="C4" t="s">
        <v>17</v>
      </c>
      <c r="D4" t="s">
        <v>745</v>
      </c>
      <c r="E4" s="12" t="s">
        <v>262</v>
      </c>
      <c r="F4" s="16" t="s">
        <v>622</v>
      </c>
      <c r="H4" t="s">
        <v>18</v>
      </c>
      <c r="K4" t="s">
        <v>263</v>
      </c>
      <c r="L4"/>
      <c r="O4" t="s">
        <v>266</v>
      </c>
      <c r="R4" s="12"/>
      <c r="S4" s="23">
        <v>16.73</v>
      </c>
      <c r="T4" s="23">
        <v>6.78</v>
      </c>
      <c r="U4" s="23"/>
      <c r="V4" s="8" t="s">
        <v>265</v>
      </c>
    </row>
    <row r="5" spans="1:24" hidden="1">
      <c r="B5" t="s">
        <v>261</v>
      </c>
      <c r="C5" t="s">
        <v>17</v>
      </c>
      <c r="D5" t="s">
        <v>745</v>
      </c>
      <c r="E5" s="12" t="s">
        <v>262</v>
      </c>
      <c r="F5" s="16" t="s">
        <v>622</v>
      </c>
      <c r="H5" t="s">
        <v>267</v>
      </c>
      <c r="K5" t="s">
        <v>263</v>
      </c>
      <c r="L5"/>
      <c r="O5" t="s">
        <v>264</v>
      </c>
      <c r="P5" t="s">
        <v>27</v>
      </c>
      <c r="R5" s="12"/>
      <c r="S5" s="23">
        <v>40.770000000000003</v>
      </c>
      <c r="T5" s="23">
        <v>6.73</v>
      </c>
      <c r="U5" s="23"/>
      <c r="V5" s="8" t="s">
        <v>265</v>
      </c>
    </row>
    <row r="6" spans="1:24" hidden="1">
      <c r="B6" t="s">
        <v>261</v>
      </c>
      <c r="C6" t="s">
        <v>17</v>
      </c>
      <c r="D6" t="s">
        <v>745</v>
      </c>
      <c r="E6" s="12" t="s">
        <v>262</v>
      </c>
      <c r="F6" s="16" t="s">
        <v>622</v>
      </c>
      <c r="H6" t="s">
        <v>267</v>
      </c>
      <c r="K6" t="s">
        <v>263</v>
      </c>
      <c r="L6"/>
      <c r="O6" t="s">
        <v>29</v>
      </c>
      <c r="R6" s="12"/>
      <c r="S6" s="23">
        <v>10.69</v>
      </c>
      <c r="T6" s="23">
        <v>4.55</v>
      </c>
      <c r="U6" s="23"/>
      <c r="V6" s="8" t="s">
        <v>265</v>
      </c>
    </row>
    <row r="7" spans="1:24" hidden="1">
      <c r="B7" t="s">
        <v>261</v>
      </c>
      <c r="C7" t="s">
        <v>17</v>
      </c>
      <c r="D7" t="s">
        <v>745</v>
      </c>
      <c r="E7" s="12" t="s">
        <v>262</v>
      </c>
      <c r="F7" s="16" t="s">
        <v>622</v>
      </c>
      <c r="H7" t="s">
        <v>267</v>
      </c>
      <c r="K7" t="s">
        <v>263</v>
      </c>
      <c r="L7"/>
      <c r="O7" t="s">
        <v>266</v>
      </c>
      <c r="R7" s="12"/>
      <c r="S7" s="23">
        <v>9.11</v>
      </c>
      <c r="T7" s="23">
        <v>3.24</v>
      </c>
      <c r="U7" s="23"/>
      <c r="V7" s="8" t="s">
        <v>265</v>
      </c>
    </row>
    <row r="8" spans="1:24" hidden="1">
      <c r="B8" t="s">
        <v>268</v>
      </c>
      <c r="C8" t="s">
        <v>17</v>
      </c>
      <c r="D8" t="s">
        <v>745</v>
      </c>
      <c r="E8" s="12" t="s">
        <v>269</v>
      </c>
      <c r="F8" s="12" t="s">
        <v>620</v>
      </c>
      <c r="H8" t="s">
        <v>270</v>
      </c>
      <c r="I8" t="s">
        <v>271</v>
      </c>
      <c r="L8"/>
      <c r="O8" t="s">
        <v>26</v>
      </c>
      <c r="P8" t="s">
        <v>27</v>
      </c>
      <c r="R8" s="12"/>
      <c r="S8" s="23">
        <v>30.03</v>
      </c>
      <c r="T8" s="23">
        <v>12.8</v>
      </c>
      <c r="U8" s="23"/>
      <c r="V8" s="8" t="s">
        <v>272</v>
      </c>
    </row>
    <row r="9" spans="1:24" hidden="1">
      <c r="B9" t="s">
        <v>268</v>
      </c>
      <c r="C9" t="s">
        <v>17</v>
      </c>
      <c r="D9" t="s">
        <v>745</v>
      </c>
      <c r="E9" s="12" t="s">
        <v>269</v>
      </c>
      <c r="F9" s="12" t="s">
        <v>620</v>
      </c>
      <c r="H9" t="s">
        <v>270</v>
      </c>
      <c r="I9" t="s">
        <v>271</v>
      </c>
      <c r="L9"/>
      <c r="O9" t="s">
        <v>29</v>
      </c>
      <c r="P9" t="s">
        <v>30</v>
      </c>
      <c r="R9" s="12"/>
      <c r="S9" s="23">
        <v>0.11</v>
      </c>
      <c r="T9" s="23">
        <v>0.18</v>
      </c>
      <c r="U9" s="23"/>
      <c r="V9" s="8" t="s">
        <v>272</v>
      </c>
    </row>
    <row r="10" spans="1:24" hidden="1">
      <c r="B10" t="s">
        <v>268</v>
      </c>
      <c r="C10" t="s">
        <v>17</v>
      </c>
      <c r="D10" t="s">
        <v>745</v>
      </c>
      <c r="E10" s="12" t="s">
        <v>269</v>
      </c>
      <c r="F10" s="12" t="s">
        <v>620</v>
      </c>
      <c r="H10" t="s">
        <v>270</v>
      </c>
      <c r="I10" t="s">
        <v>273</v>
      </c>
      <c r="L10"/>
      <c r="O10" t="s">
        <v>26</v>
      </c>
      <c r="P10" t="s">
        <v>27</v>
      </c>
      <c r="R10" s="12"/>
      <c r="S10" s="23">
        <v>4.8099999999999996</v>
      </c>
      <c r="T10" s="23">
        <v>2.2000000000000002</v>
      </c>
      <c r="U10" s="23"/>
      <c r="V10" s="8" t="s">
        <v>272</v>
      </c>
    </row>
    <row r="11" spans="1:24" hidden="1">
      <c r="B11" t="s">
        <v>268</v>
      </c>
      <c r="C11" t="s">
        <v>17</v>
      </c>
      <c r="D11" t="s">
        <v>745</v>
      </c>
      <c r="E11" s="12" t="s">
        <v>269</v>
      </c>
      <c r="F11" s="12" t="s">
        <v>620</v>
      </c>
      <c r="H11" t="s">
        <v>270</v>
      </c>
      <c r="I11" t="s">
        <v>273</v>
      </c>
      <c r="L11"/>
      <c r="O11" t="s">
        <v>29</v>
      </c>
      <c r="P11" t="s">
        <v>30</v>
      </c>
      <c r="R11" s="12"/>
      <c r="S11" s="23">
        <v>1.06</v>
      </c>
      <c r="T11" s="23">
        <v>2.66</v>
      </c>
      <c r="U11" s="23"/>
      <c r="V11" s="8" t="s">
        <v>272</v>
      </c>
    </row>
    <row r="12" spans="1:24" hidden="1">
      <c r="B12" t="s">
        <v>277</v>
      </c>
      <c r="C12" t="s">
        <v>17</v>
      </c>
      <c r="D12" t="s">
        <v>745</v>
      </c>
      <c r="E12" s="12">
        <v>1998</v>
      </c>
      <c r="F12" s="12" t="s">
        <v>622</v>
      </c>
      <c r="H12" t="s">
        <v>278</v>
      </c>
      <c r="I12" t="s">
        <v>279</v>
      </c>
      <c r="K12" t="s">
        <v>280</v>
      </c>
      <c r="L12"/>
      <c r="O12" t="s">
        <v>26</v>
      </c>
      <c r="P12" t="s">
        <v>27</v>
      </c>
      <c r="R12" s="12">
        <v>9</v>
      </c>
      <c r="S12" s="23">
        <v>39.6</v>
      </c>
      <c r="T12" s="23"/>
      <c r="U12" s="23">
        <v>2.9</v>
      </c>
      <c r="V12" s="8" t="s">
        <v>281</v>
      </c>
    </row>
    <row r="13" spans="1:24" hidden="1">
      <c r="B13" t="s">
        <v>277</v>
      </c>
      <c r="C13" t="s">
        <v>17</v>
      </c>
      <c r="D13" t="s">
        <v>745</v>
      </c>
      <c r="E13" s="12">
        <v>1998</v>
      </c>
      <c r="F13" s="12" t="s">
        <v>622</v>
      </c>
      <c r="H13" t="s">
        <v>278</v>
      </c>
      <c r="I13" t="s">
        <v>279</v>
      </c>
      <c r="K13" t="s">
        <v>280</v>
      </c>
      <c r="L13"/>
      <c r="O13" t="s">
        <v>29</v>
      </c>
      <c r="P13" t="s">
        <v>30</v>
      </c>
      <c r="R13" s="12"/>
      <c r="S13" s="23">
        <v>3.8</v>
      </c>
      <c r="T13" s="23"/>
      <c r="U13" s="23">
        <v>1</v>
      </c>
      <c r="V13" s="8" t="s">
        <v>281</v>
      </c>
    </row>
    <row r="14" spans="1:24" hidden="1">
      <c r="B14" t="s">
        <v>277</v>
      </c>
      <c r="C14" t="s">
        <v>17</v>
      </c>
      <c r="D14" t="s">
        <v>745</v>
      </c>
      <c r="E14" s="12">
        <v>1998</v>
      </c>
      <c r="F14" s="12" t="s">
        <v>622</v>
      </c>
      <c r="H14" t="s">
        <v>278</v>
      </c>
      <c r="I14" t="s">
        <v>279</v>
      </c>
      <c r="K14" t="s">
        <v>280</v>
      </c>
      <c r="L14"/>
      <c r="O14" t="s">
        <v>190</v>
      </c>
      <c r="R14" s="12"/>
      <c r="S14" s="23">
        <v>2.2000000000000002</v>
      </c>
      <c r="T14" s="23"/>
      <c r="U14" s="23">
        <v>0.6</v>
      </c>
      <c r="V14" s="8" t="s">
        <v>281</v>
      </c>
    </row>
    <row r="15" spans="1:24" hidden="1">
      <c r="B15" t="s">
        <v>277</v>
      </c>
      <c r="C15" t="s">
        <v>17</v>
      </c>
      <c r="D15" t="s">
        <v>745</v>
      </c>
      <c r="E15" s="12">
        <v>1998</v>
      </c>
      <c r="F15" s="12" t="s">
        <v>622</v>
      </c>
      <c r="G15" s="20" t="s">
        <v>731</v>
      </c>
      <c r="H15" t="s">
        <v>282</v>
      </c>
      <c r="I15" t="s">
        <v>283</v>
      </c>
      <c r="K15" t="s">
        <v>280</v>
      </c>
      <c r="L15"/>
      <c r="O15" t="s">
        <v>26</v>
      </c>
      <c r="P15" t="s">
        <v>27</v>
      </c>
      <c r="R15" s="12"/>
      <c r="S15" s="23">
        <v>20.6</v>
      </c>
      <c r="T15" s="23"/>
      <c r="U15" s="23">
        <v>0.7</v>
      </c>
      <c r="V15" s="8" t="s">
        <v>281</v>
      </c>
    </row>
    <row r="16" spans="1:24" hidden="1">
      <c r="B16" t="s">
        <v>277</v>
      </c>
      <c r="C16" t="s">
        <v>17</v>
      </c>
      <c r="D16" t="s">
        <v>745</v>
      </c>
      <c r="E16" s="12">
        <v>1998</v>
      </c>
      <c r="F16" s="12" t="s">
        <v>622</v>
      </c>
      <c r="H16" t="s">
        <v>282</v>
      </c>
      <c r="I16" t="s">
        <v>283</v>
      </c>
      <c r="K16" t="s">
        <v>280</v>
      </c>
      <c r="L16"/>
      <c r="O16" t="s">
        <v>29</v>
      </c>
      <c r="P16" t="s">
        <v>30</v>
      </c>
      <c r="R16" s="12"/>
      <c r="S16" s="23">
        <v>3.1</v>
      </c>
      <c r="T16" s="23"/>
      <c r="U16" s="23">
        <v>0.6</v>
      </c>
      <c r="V16" s="8" t="s">
        <v>281</v>
      </c>
    </row>
    <row r="17" spans="2:22" hidden="1">
      <c r="B17" t="s">
        <v>277</v>
      </c>
      <c r="C17" t="s">
        <v>17</v>
      </c>
      <c r="D17" t="s">
        <v>745</v>
      </c>
      <c r="E17" s="12">
        <v>1998</v>
      </c>
      <c r="F17" s="12" t="s">
        <v>622</v>
      </c>
      <c r="H17" t="s">
        <v>282</v>
      </c>
      <c r="I17" t="s">
        <v>283</v>
      </c>
      <c r="K17" t="s">
        <v>280</v>
      </c>
      <c r="L17"/>
      <c r="O17" t="s">
        <v>190</v>
      </c>
      <c r="R17" s="12"/>
      <c r="S17" s="23">
        <v>1.9</v>
      </c>
      <c r="T17" s="23"/>
      <c r="U17" s="23">
        <v>1</v>
      </c>
      <c r="V17" s="8" t="s">
        <v>281</v>
      </c>
    </row>
    <row r="18" spans="2:22" hidden="1">
      <c r="B18" t="s">
        <v>277</v>
      </c>
      <c r="C18" t="s">
        <v>17</v>
      </c>
      <c r="D18" t="s">
        <v>745</v>
      </c>
      <c r="E18" s="12">
        <v>1998</v>
      </c>
      <c r="F18" s="12" t="s">
        <v>620</v>
      </c>
      <c r="H18" t="s">
        <v>278</v>
      </c>
      <c r="I18" t="s">
        <v>279</v>
      </c>
      <c r="K18" t="s">
        <v>280</v>
      </c>
      <c r="L18"/>
      <c r="O18" t="s">
        <v>26</v>
      </c>
      <c r="P18" t="s">
        <v>27</v>
      </c>
      <c r="R18" s="12"/>
      <c r="S18" s="23">
        <v>11.4</v>
      </c>
      <c r="T18" s="23"/>
      <c r="U18" s="23">
        <v>1.4</v>
      </c>
      <c r="V18" s="8" t="s">
        <v>281</v>
      </c>
    </row>
    <row r="19" spans="2:22" hidden="1">
      <c r="B19" t="s">
        <v>277</v>
      </c>
      <c r="C19" t="s">
        <v>17</v>
      </c>
      <c r="D19" t="s">
        <v>745</v>
      </c>
      <c r="E19" s="12">
        <v>1998</v>
      </c>
      <c r="F19" s="12" t="s">
        <v>620</v>
      </c>
      <c r="H19" t="s">
        <v>278</v>
      </c>
      <c r="I19" t="s">
        <v>279</v>
      </c>
      <c r="K19" t="s">
        <v>280</v>
      </c>
      <c r="L19"/>
      <c r="O19" t="s">
        <v>29</v>
      </c>
      <c r="P19" t="s">
        <v>30</v>
      </c>
      <c r="R19" s="12"/>
      <c r="S19" s="23">
        <v>1.3</v>
      </c>
      <c r="T19" s="23"/>
      <c r="U19" s="23">
        <v>0.3</v>
      </c>
      <c r="V19" s="8" t="s">
        <v>281</v>
      </c>
    </row>
    <row r="20" spans="2:22" hidden="1">
      <c r="B20" t="s">
        <v>277</v>
      </c>
      <c r="C20" t="s">
        <v>17</v>
      </c>
      <c r="D20" t="s">
        <v>745</v>
      </c>
      <c r="E20" s="12">
        <v>1998</v>
      </c>
      <c r="F20" s="12" t="s">
        <v>620</v>
      </c>
      <c r="H20" t="s">
        <v>278</v>
      </c>
      <c r="I20" t="s">
        <v>279</v>
      </c>
      <c r="K20" t="s">
        <v>280</v>
      </c>
      <c r="L20"/>
      <c r="O20" t="s">
        <v>190</v>
      </c>
      <c r="R20" s="12"/>
      <c r="S20" s="23">
        <v>2.6</v>
      </c>
      <c r="T20" s="23"/>
      <c r="U20" s="23">
        <v>0.4</v>
      </c>
      <c r="V20" s="8" t="s">
        <v>281</v>
      </c>
    </row>
    <row r="21" spans="2:22" hidden="1">
      <c r="B21" t="s">
        <v>277</v>
      </c>
      <c r="C21" t="s">
        <v>17</v>
      </c>
      <c r="D21" t="s">
        <v>745</v>
      </c>
      <c r="E21" s="12">
        <v>1998</v>
      </c>
      <c r="F21" s="12" t="s">
        <v>620</v>
      </c>
      <c r="H21" t="s">
        <v>282</v>
      </c>
      <c r="I21" t="s">
        <v>283</v>
      </c>
      <c r="K21" t="s">
        <v>280</v>
      </c>
      <c r="L21"/>
      <c r="O21" t="s">
        <v>26</v>
      </c>
      <c r="P21" t="s">
        <v>27</v>
      </c>
      <c r="R21" s="12"/>
      <c r="S21" s="23">
        <v>11.4</v>
      </c>
      <c r="T21" s="23"/>
      <c r="U21" s="23">
        <v>2.2000000000000002</v>
      </c>
      <c r="V21" s="8" t="s">
        <v>281</v>
      </c>
    </row>
    <row r="22" spans="2:22" hidden="1">
      <c r="B22" t="s">
        <v>277</v>
      </c>
      <c r="C22" t="s">
        <v>17</v>
      </c>
      <c r="D22" t="s">
        <v>745</v>
      </c>
      <c r="E22" s="12">
        <v>1998</v>
      </c>
      <c r="F22" s="12" t="s">
        <v>620</v>
      </c>
      <c r="H22" t="s">
        <v>282</v>
      </c>
      <c r="I22" t="s">
        <v>283</v>
      </c>
      <c r="K22" t="s">
        <v>280</v>
      </c>
      <c r="L22"/>
      <c r="O22" t="s">
        <v>29</v>
      </c>
      <c r="P22" t="s">
        <v>30</v>
      </c>
      <c r="R22" s="12"/>
      <c r="S22" s="23">
        <v>0.4</v>
      </c>
      <c r="T22" s="23"/>
      <c r="U22" s="23">
        <v>0.2</v>
      </c>
      <c r="V22" s="8" t="s">
        <v>281</v>
      </c>
    </row>
    <row r="23" spans="2:22" hidden="1">
      <c r="B23" t="s">
        <v>277</v>
      </c>
      <c r="C23" t="s">
        <v>17</v>
      </c>
      <c r="D23" t="s">
        <v>745</v>
      </c>
      <c r="E23" s="12">
        <v>1998</v>
      </c>
      <c r="F23" s="12" t="s">
        <v>620</v>
      </c>
      <c r="H23" t="s">
        <v>282</v>
      </c>
      <c r="I23" t="s">
        <v>283</v>
      </c>
      <c r="K23" t="s">
        <v>280</v>
      </c>
      <c r="L23"/>
      <c r="O23" t="s">
        <v>190</v>
      </c>
      <c r="R23" s="12"/>
      <c r="S23" s="23">
        <v>2.2000000000000002</v>
      </c>
      <c r="T23" s="23"/>
      <c r="U23" s="23">
        <v>0.9</v>
      </c>
      <c r="V23" s="8" t="s">
        <v>281</v>
      </c>
    </row>
    <row r="24" spans="2:22" hidden="1">
      <c r="B24" t="s">
        <v>284</v>
      </c>
      <c r="C24" t="s">
        <v>17</v>
      </c>
      <c r="D24" t="s">
        <v>745</v>
      </c>
      <c r="E24" s="12" t="s">
        <v>262</v>
      </c>
      <c r="F24" s="16" t="s">
        <v>622</v>
      </c>
      <c r="H24" t="s">
        <v>285</v>
      </c>
      <c r="I24" t="s">
        <v>286</v>
      </c>
      <c r="J24" t="s">
        <v>287</v>
      </c>
      <c r="L24"/>
      <c r="O24" t="s">
        <v>26</v>
      </c>
      <c r="P24" t="s">
        <v>27</v>
      </c>
      <c r="R24" s="12"/>
      <c r="S24" s="23">
        <v>1.8</v>
      </c>
      <c r="T24" s="23">
        <v>1.6</v>
      </c>
      <c r="U24" s="23"/>
      <c r="V24" s="8" t="s">
        <v>288</v>
      </c>
    </row>
    <row r="25" spans="2:22" hidden="1">
      <c r="B25" t="s">
        <v>284</v>
      </c>
      <c r="C25" t="s">
        <v>17</v>
      </c>
      <c r="D25" t="s">
        <v>745</v>
      </c>
      <c r="E25" s="12" t="s">
        <v>262</v>
      </c>
      <c r="F25" s="16" t="s">
        <v>622</v>
      </c>
      <c r="H25" t="s">
        <v>285</v>
      </c>
      <c r="I25" t="s">
        <v>286</v>
      </c>
      <c r="J25" t="s">
        <v>287</v>
      </c>
      <c r="L25"/>
      <c r="O25" t="s">
        <v>29</v>
      </c>
      <c r="P25" t="s">
        <v>30</v>
      </c>
      <c r="R25" s="12"/>
      <c r="S25" s="23">
        <v>0.5</v>
      </c>
      <c r="T25" s="23">
        <v>1.2</v>
      </c>
      <c r="U25" s="23"/>
      <c r="V25" s="8" t="s">
        <v>288</v>
      </c>
    </row>
    <row r="26" spans="2:22" hidden="1">
      <c r="B26" t="s">
        <v>284</v>
      </c>
      <c r="C26" t="s">
        <v>17</v>
      </c>
      <c r="D26" t="s">
        <v>745</v>
      </c>
      <c r="E26" s="12" t="s">
        <v>262</v>
      </c>
      <c r="F26" s="16" t="s">
        <v>622</v>
      </c>
      <c r="H26" t="s">
        <v>285</v>
      </c>
      <c r="I26" t="s">
        <v>286</v>
      </c>
      <c r="J26" t="s">
        <v>287</v>
      </c>
      <c r="L26"/>
      <c r="O26" t="s">
        <v>190</v>
      </c>
      <c r="R26" s="12"/>
      <c r="S26" s="23">
        <v>7.3</v>
      </c>
      <c r="T26" s="23">
        <v>5</v>
      </c>
      <c r="U26" s="23"/>
      <c r="V26" s="8" t="s">
        <v>288</v>
      </c>
    </row>
    <row r="27" spans="2:22" hidden="1">
      <c r="B27" t="s">
        <v>284</v>
      </c>
      <c r="C27" t="s">
        <v>17</v>
      </c>
      <c r="D27" t="s">
        <v>745</v>
      </c>
      <c r="E27" s="12" t="s">
        <v>262</v>
      </c>
      <c r="F27" s="16" t="s">
        <v>622</v>
      </c>
      <c r="H27" t="s">
        <v>285</v>
      </c>
      <c r="I27" t="s">
        <v>286</v>
      </c>
      <c r="J27" t="s">
        <v>289</v>
      </c>
      <c r="L27"/>
      <c r="O27" t="s">
        <v>26</v>
      </c>
      <c r="P27" t="s">
        <v>27</v>
      </c>
      <c r="R27" s="12"/>
      <c r="S27" s="23">
        <v>3.7</v>
      </c>
      <c r="T27" s="23">
        <v>2.6</v>
      </c>
      <c r="U27" s="23"/>
      <c r="V27" s="8" t="s">
        <v>288</v>
      </c>
    </row>
    <row r="28" spans="2:22" hidden="1">
      <c r="B28" t="s">
        <v>284</v>
      </c>
      <c r="C28" t="s">
        <v>17</v>
      </c>
      <c r="D28" t="s">
        <v>745</v>
      </c>
      <c r="E28" s="12" t="s">
        <v>262</v>
      </c>
      <c r="F28" s="16" t="s">
        <v>622</v>
      </c>
      <c r="H28" t="s">
        <v>285</v>
      </c>
      <c r="I28" t="s">
        <v>286</v>
      </c>
      <c r="J28" t="s">
        <v>289</v>
      </c>
      <c r="L28"/>
      <c r="O28" t="s">
        <v>29</v>
      </c>
      <c r="P28" t="s">
        <v>30</v>
      </c>
      <c r="R28" s="12"/>
      <c r="S28" s="23">
        <v>1.2</v>
      </c>
      <c r="T28" s="23">
        <v>0.8</v>
      </c>
      <c r="U28" s="23"/>
      <c r="V28" s="8" t="s">
        <v>288</v>
      </c>
    </row>
    <row r="29" spans="2:22" hidden="1">
      <c r="B29" t="s">
        <v>284</v>
      </c>
      <c r="C29" t="s">
        <v>17</v>
      </c>
      <c r="D29" t="s">
        <v>745</v>
      </c>
      <c r="E29" s="12" t="s">
        <v>262</v>
      </c>
      <c r="F29" s="16" t="s">
        <v>622</v>
      </c>
      <c r="H29" t="s">
        <v>285</v>
      </c>
      <c r="I29" t="s">
        <v>286</v>
      </c>
      <c r="J29" t="s">
        <v>289</v>
      </c>
      <c r="L29"/>
      <c r="O29" t="s">
        <v>190</v>
      </c>
      <c r="R29" s="12"/>
      <c r="S29" s="23">
        <v>6.9</v>
      </c>
      <c r="T29" s="23">
        <v>3.6</v>
      </c>
      <c r="U29" s="23"/>
      <c r="V29" s="8" t="s">
        <v>288</v>
      </c>
    </row>
    <row r="30" spans="2:22" hidden="1">
      <c r="B30" t="s">
        <v>284</v>
      </c>
      <c r="C30" t="s">
        <v>17</v>
      </c>
      <c r="D30" t="s">
        <v>745</v>
      </c>
      <c r="E30" s="12" t="s">
        <v>262</v>
      </c>
      <c r="F30" s="16" t="s">
        <v>622</v>
      </c>
      <c r="H30" t="s">
        <v>285</v>
      </c>
      <c r="I30" t="s">
        <v>286</v>
      </c>
      <c r="J30" t="s">
        <v>290</v>
      </c>
      <c r="L30"/>
      <c r="O30" t="s">
        <v>26</v>
      </c>
      <c r="P30" t="s">
        <v>27</v>
      </c>
      <c r="R30" s="12"/>
      <c r="S30" s="23">
        <v>12.8</v>
      </c>
      <c r="T30" s="23">
        <v>9.6999999999999993</v>
      </c>
      <c r="U30" s="23"/>
      <c r="V30" s="8" t="s">
        <v>288</v>
      </c>
    </row>
    <row r="31" spans="2:22" hidden="1">
      <c r="B31" t="s">
        <v>284</v>
      </c>
      <c r="C31" t="s">
        <v>17</v>
      </c>
      <c r="D31" t="s">
        <v>745</v>
      </c>
      <c r="E31" s="12" t="s">
        <v>262</v>
      </c>
      <c r="F31" s="16" t="s">
        <v>622</v>
      </c>
      <c r="H31" t="s">
        <v>285</v>
      </c>
      <c r="I31" t="s">
        <v>286</v>
      </c>
      <c r="J31" t="s">
        <v>290</v>
      </c>
      <c r="L31"/>
      <c r="O31" t="s">
        <v>29</v>
      </c>
      <c r="P31" t="s">
        <v>30</v>
      </c>
      <c r="R31" s="12"/>
      <c r="S31" s="23">
        <v>1.9</v>
      </c>
      <c r="T31" s="23">
        <v>2.2999999999999998</v>
      </c>
      <c r="U31" s="23"/>
      <c r="V31" s="8" t="s">
        <v>288</v>
      </c>
    </row>
    <row r="32" spans="2:22" hidden="1">
      <c r="B32" t="s">
        <v>284</v>
      </c>
      <c r="C32" t="s">
        <v>17</v>
      </c>
      <c r="D32" t="s">
        <v>745</v>
      </c>
      <c r="E32" s="12" t="s">
        <v>262</v>
      </c>
      <c r="F32" s="16" t="s">
        <v>622</v>
      </c>
      <c r="H32" t="s">
        <v>285</v>
      </c>
      <c r="I32" t="s">
        <v>286</v>
      </c>
      <c r="J32" t="s">
        <v>290</v>
      </c>
      <c r="L32"/>
      <c r="O32" t="s">
        <v>190</v>
      </c>
      <c r="R32" s="12"/>
      <c r="S32" s="23">
        <v>0</v>
      </c>
      <c r="T32" s="23">
        <v>0</v>
      </c>
      <c r="U32" s="23"/>
      <c r="V32" s="8" t="s">
        <v>288</v>
      </c>
    </row>
    <row r="33" spans="2:22" hidden="1">
      <c r="B33" t="s">
        <v>284</v>
      </c>
      <c r="C33" t="s">
        <v>17</v>
      </c>
      <c r="D33" t="s">
        <v>745</v>
      </c>
      <c r="E33" s="12" t="s">
        <v>262</v>
      </c>
      <c r="F33" s="16" t="s">
        <v>622</v>
      </c>
      <c r="H33" t="s">
        <v>291</v>
      </c>
      <c r="I33" t="s">
        <v>292</v>
      </c>
      <c r="J33" t="s">
        <v>293</v>
      </c>
      <c r="L33"/>
      <c r="O33" t="s">
        <v>26</v>
      </c>
      <c r="P33" t="s">
        <v>27</v>
      </c>
      <c r="R33" s="12"/>
      <c r="S33" s="23">
        <v>6.3</v>
      </c>
      <c r="T33" s="23">
        <v>4.0999999999999996</v>
      </c>
      <c r="U33" s="23"/>
      <c r="V33" s="8" t="s">
        <v>288</v>
      </c>
    </row>
    <row r="34" spans="2:22" hidden="1">
      <c r="B34" t="s">
        <v>284</v>
      </c>
      <c r="C34" t="s">
        <v>17</v>
      </c>
      <c r="D34" t="s">
        <v>745</v>
      </c>
      <c r="E34" s="12" t="s">
        <v>262</v>
      </c>
      <c r="F34" s="16" t="s">
        <v>622</v>
      </c>
      <c r="H34" t="s">
        <v>291</v>
      </c>
      <c r="I34" t="s">
        <v>292</v>
      </c>
      <c r="J34" t="s">
        <v>293</v>
      </c>
      <c r="L34"/>
      <c r="O34" t="s">
        <v>29</v>
      </c>
      <c r="P34" t="s">
        <v>30</v>
      </c>
      <c r="R34" s="12"/>
      <c r="S34" s="23">
        <v>0.9</v>
      </c>
      <c r="T34" s="23">
        <v>1.4</v>
      </c>
      <c r="U34" s="23"/>
      <c r="V34" s="8" t="s">
        <v>288</v>
      </c>
    </row>
    <row r="35" spans="2:22" hidden="1">
      <c r="B35" t="s">
        <v>284</v>
      </c>
      <c r="C35" t="s">
        <v>17</v>
      </c>
      <c r="D35" t="s">
        <v>745</v>
      </c>
      <c r="E35" s="12" t="s">
        <v>262</v>
      </c>
      <c r="F35" s="16" t="s">
        <v>622</v>
      </c>
      <c r="H35" t="s">
        <v>291</v>
      </c>
      <c r="I35" t="s">
        <v>292</v>
      </c>
      <c r="J35" t="s">
        <v>293</v>
      </c>
      <c r="L35"/>
      <c r="O35" t="s">
        <v>190</v>
      </c>
      <c r="R35" s="12"/>
      <c r="S35" s="23">
        <v>3.3</v>
      </c>
      <c r="T35" s="23">
        <v>3.1</v>
      </c>
      <c r="U35" s="23"/>
      <c r="V35" s="8" t="s">
        <v>288</v>
      </c>
    </row>
    <row r="36" spans="2:22" hidden="1">
      <c r="B36" t="s">
        <v>284</v>
      </c>
      <c r="C36" t="s">
        <v>17</v>
      </c>
      <c r="D36" t="s">
        <v>745</v>
      </c>
      <c r="E36" s="12" t="s">
        <v>262</v>
      </c>
      <c r="F36" s="16" t="s">
        <v>622</v>
      </c>
      <c r="H36" t="s">
        <v>291</v>
      </c>
      <c r="I36" t="s">
        <v>292</v>
      </c>
      <c r="J36" t="s">
        <v>294</v>
      </c>
      <c r="L36"/>
      <c r="O36" t="s">
        <v>26</v>
      </c>
      <c r="P36" t="s">
        <v>27</v>
      </c>
      <c r="R36" s="12"/>
      <c r="S36" s="23">
        <v>6.8</v>
      </c>
      <c r="T36" s="23">
        <v>3.8</v>
      </c>
      <c r="U36" s="23"/>
      <c r="V36" s="8" t="s">
        <v>288</v>
      </c>
    </row>
    <row r="37" spans="2:22" hidden="1">
      <c r="B37" t="s">
        <v>284</v>
      </c>
      <c r="C37" t="s">
        <v>17</v>
      </c>
      <c r="D37" t="s">
        <v>745</v>
      </c>
      <c r="E37" s="12" t="s">
        <v>262</v>
      </c>
      <c r="F37" s="16" t="s">
        <v>622</v>
      </c>
      <c r="H37" t="s">
        <v>291</v>
      </c>
      <c r="I37" t="s">
        <v>292</v>
      </c>
      <c r="J37" t="s">
        <v>294</v>
      </c>
      <c r="L37"/>
      <c r="O37" t="s">
        <v>29</v>
      </c>
      <c r="P37" t="s">
        <v>30</v>
      </c>
      <c r="R37" s="12"/>
      <c r="S37" s="23">
        <v>0.7</v>
      </c>
      <c r="T37" s="23">
        <v>0.6</v>
      </c>
      <c r="U37" s="23"/>
      <c r="V37" s="8" t="s">
        <v>288</v>
      </c>
    </row>
    <row r="38" spans="2:22" hidden="1">
      <c r="B38" t="s">
        <v>284</v>
      </c>
      <c r="C38" t="s">
        <v>17</v>
      </c>
      <c r="D38" t="s">
        <v>745</v>
      </c>
      <c r="E38" s="12" t="s">
        <v>262</v>
      </c>
      <c r="F38" s="16" t="s">
        <v>622</v>
      </c>
      <c r="H38" t="s">
        <v>291</v>
      </c>
      <c r="I38" t="s">
        <v>292</v>
      </c>
      <c r="J38" t="s">
        <v>294</v>
      </c>
      <c r="L38"/>
      <c r="O38" t="s">
        <v>190</v>
      </c>
      <c r="R38" s="12"/>
      <c r="S38" s="23">
        <v>2.5</v>
      </c>
      <c r="T38" s="23">
        <v>1.8</v>
      </c>
      <c r="U38" s="23"/>
      <c r="V38" s="8" t="s">
        <v>288</v>
      </c>
    </row>
    <row r="39" spans="2:22" hidden="1">
      <c r="B39" s="13" t="s">
        <v>449</v>
      </c>
      <c r="C39" t="s">
        <v>17</v>
      </c>
      <c r="D39" t="s">
        <v>745</v>
      </c>
      <c r="E39" s="16">
        <v>1996</v>
      </c>
      <c r="F39" s="16" t="s">
        <v>622</v>
      </c>
      <c r="G39" s="16" t="s">
        <v>732</v>
      </c>
      <c r="H39" s="13" t="s">
        <v>411</v>
      </c>
      <c r="I39" s="13" t="s">
        <v>412</v>
      </c>
      <c r="L39"/>
      <c r="O39" t="s">
        <v>26</v>
      </c>
      <c r="P39" t="s">
        <v>27</v>
      </c>
      <c r="R39" s="16"/>
      <c r="S39" s="16">
        <v>24.4</v>
      </c>
      <c r="T39" s="23"/>
      <c r="U39" s="16"/>
      <c r="V39" s="13" t="s">
        <v>449</v>
      </c>
    </row>
    <row r="40" spans="2:22" hidden="1">
      <c r="B40" s="13" t="s">
        <v>450</v>
      </c>
      <c r="C40" t="s">
        <v>17</v>
      </c>
      <c r="D40" t="s">
        <v>745</v>
      </c>
      <c r="E40" s="16">
        <v>1994</v>
      </c>
      <c r="F40" s="16" t="s">
        <v>622</v>
      </c>
      <c r="G40" s="16"/>
      <c r="H40" s="13" t="s">
        <v>411</v>
      </c>
      <c r="I40" s="13" t="s">
        <v>413</v>
      </c>
      <c r="L40"/>
      <c r="O40" t="s">
        <v>26</v>
      </c>
      <c r="P40" t="s">
        <v>27</v>
      </c>
      <c r="R40" s="16"/>
      <c r="S40" s="16">
        <v>35.700000000000003</v>
      </c>
      <c r="T40" s="23"/>
      <c r="U40" s="16">
        <v>2.46</v>
      </c>
      <c r="V40" s="13" t="s">
        <v>450</v>
      </c>
    </row>
    <row r="41" spans="2:22" hidden="1">
      <c r="B41" s="13" t="s">
        <v>450</v>
      </c>
      <c r="C41" t="s">
        <v>17</v>
      </c>
      <c r="D41" t="s">
        <v>745</v>
      </c>
      <c r="E41" s="16">
        <v>1999</v>
      </c>
      <c r="F41" s="16" t="s">
        <v>620</v>
      </c>
      <c r="G41" s="16"/>
      <c r="H41" s="13" t="s">
        <v>411</v>
      </c>
      <c r="I41" s="13" t="s">
        <v>413</v>
      </c>
      <c r="L41"/>
      <c r="O41" t="s">
        <v>26</v>
      </c>
      <c r="P41" t="s">
        <v>27</v>
      </c>
      <c r="R41" s="16"/>
      <c r="S41" s="16">
        <v>14.7</v>
      </c>
      <c r="T41" s="23"/>
      <c r="U41" s="16">
        <v>4.63</v>
      </c>
      <c r="V41" s="13" t="s">
        <v>450</v>
      </c>
    </row>
    <row r="42" spans="2:22" hidden="1">
      <c r="B42" s="14" t="s">
        <v>451</v>
      </c>
      <c r="C42" t="s">
        <v>17</v>
      </c>
      <c r="D42" t="s">
        <v>745</v>
      </c>
      <c r="E42" s="16">
        <v>1991</v>
      </c>
      <c r="F42" s="16" t="s">
        <v>622</v>
      </c>
      <c r="G42" s="30"/>
      <c r="H42" s="13" t="s">
        <v>414</v>
      </c>
      <c r="I42" s="13" t="s">
        <v>415</v>
      </c>
      <c r="L42"/>
      <c r="O42" t="s">
        <v>26</v>
      </c>
      <c r="P42" t="s">
        <v>27</v>
      </c>
      <c r="R42" s="16">
        <v>1</v>
      </c>
      <c r="S42" s="16">
        <v>31.75</v>
      </c>
      <c r="T42" s="23"/>
      <c r="U42" s="16">
        <v>0.74</v>
      </c>
      <c r="V42" s="14" t="s">
        <v>451</v>
      </c>
    </row>
    <row r="43" spans="2:22" hidden="1">
      <c r="B43" s="13" t="s">
        <v>632</v>
      </c>
      <c r="C43" t="s">
        <v>17</v>
      </c>
      <c r="D43" t="s">
        <v>745</v>
      </c>
      <c r="E43" s="16" t="s">
        <v>445</v>
      </c>
      <c r="F43" s="16" t="s">
        <v>622</v>
      </c>
      <c r="G43" s="16"/>
      <c r="H43" s="13" t="s">
        <v>416</v>
      </c>
      <c r="I43" s="13" t="s">
        <v>417</v>
      </c>
      <c r="L43"/>
      <c r="O43" t="s">
        <v>26</v>
      </c>
      <c r="P43" t="s">
        <v>27</v>
      </c>
      <c r="R43" s="16"/>
      <c r="S43" s="16">
        <v>13.2</v>
      </c>
      <c r="T43" s="23"/>
      <c r="U43" s="16"/>
      <c r="V43" s="8" t="s">
        <v>631</v>
      </c>
    </row>
    <row r="44" spans="2:22" hidden="1">
      <c r="B44" s="13" t="s">
        <v>632</v>
      </c>
      <c r="C44" t="s">
        <v>17</v>
      </c>
      <c r="D44" t="s">
        <v>745</v>
      </c>
      <c r="E44" s="21" t="s">
        <v>445</v>
      </c>
      <c r="F44" s="16" t="s">
        <v>622</v>
      </c>
      <c r="G44" s="16"/>
      <c r="H44" s="17"/>
      <c r="I44" s="17" t="s">
        <v>443</v>
      </c>
      <c r="L44"/>
      <c r="O44" t="s">
        <v>26</v>
      </c>
      <c r="P44" t="s">
        <v>27</v>
      </c>
      <c r="R44" s="21"/>
      <c r="S44" s="16">
        <v>39.6</v>
      </c>
      <c r="T44" s="23"/>
      <c r="U44" s="21"/>
      <c r="V44" s="8" t="s">
        <v>631</v>
      </c>
    </row>
    <row r="45" spans="2:22" hidden="1">
      <c r="B45" s="13" t="s">
        <v>632</v>
      </c>
      <c r="C45" t="s">
        <v>17</v>
      </c>
      <c r="D45" t="s">
        <v>745</v>
      </c>
      <c r="E45" s="21" t="s">
        <v>445</v>
      </c>
      <c r="F45" s="16" t="s">
        <v>622</v>
      </c>
      <c r="G45" s="16"/>
      <c r="H45" s="17"/>
      <c r="I45" s="17" t="s">
        <v>444</v>
      </c>
      <c r="L45"/>
      <c r="O45" t="s">
        <v>26</v>
      </c>
      <c r="P45" t="s">
        <v>27</v>
      </c>
      <c r="R45" s="21"/>
      <c r="S45" s="16">
        <v>20.6</v>
      </c>
      <c r="T45" s="23"/>
      <c r="U45" s="21"/>
      <c r="V45" s="8" t="s">
        <v>631</v>
      </c>
    </row>
    <row r="46" spans="2:22" hidden="1">
      <c r="B46" s="13" t="s">
        <v>632</v>
      </c>
      <c r="C46" t="s">
        <v>17</v>
      </c>
      <c r="D46" t="s">
        <v>745</v>
      </c>
      <c r="E46" s="16">
        <v>1999</v>
      </c>
      <c r="F46" s="16" t="s">
        <v>620</v>
      </c>
      <c r="G46" s="16"/>
      <c r="H46" s="13" t="s">
        <v>416</v>
      </c>
      <c r="I46" s="13" t="s">
        <v>417</v>
      </c>
      <c r="L46"/>
      <c r="O46" t="s">
        <v>26</v>
      </c>
      <c r="P46" t="s">
        <v>27</v>
      </c>
      <c r="R46" s="16"/>
      <c r="S46" s="16">
        <v>5.0999999999999996</v>
      </c>
      <c r="T46" s="23"/>
      <c r="U46" s="16"/>
      <c r="V46" s="8" t="s">
        <v>631</v>
      </c>
    </row>
    <row r="47" spans="2:22" hidden="1">
      <c r="B47" s="13" t="s">
        <v>632</v>
      </c>
      <c r="C47" t="s">
        <v>17</v>
      </c>
      <c r="D47" t="s">
        <v>745</v>
      </c>
      <c r="E47" s="21">
        <v>1999</v>
      </c>
      <c r="F47" s="16" t="s">
        <v>620</v>
      </c>
      <c r="G47" s="16"/>
      <c r="H47" s="17"/>
      <c r="I47" s="17" t="s">
        <v>443</v>
      </c>
      <c r="L47"/>
      <c r="O47" t="s">
        <v>26</v>
      </c>
      <c r="P47" t="s">
        <v>27</v>
      </c>
      <c r="R47" s="21"/>
      <c r="S47" s="16">
        <v>11.4</v>
      </c>
      <c r="T47" s="23"/>
      <c r="U47" s="21"/>
      <c r="V47" s="8" t="s">
        <v>631</v>
      </c>
    </row>
    <row r="48" spans="2:22" hidden="1">
      <c r="B48" s="13" t="s">
        <v>632</v>
      </c>
      <c r="C48" t="s">
        <v>17</v>
      </c>
      <c r="D48" t="s">
        <v>745</v>
      </c>
      <c r="E48" s="21">
        <v>1999</v>
      </c>
      <c r="F48" s="16" t="s">
        <v>620</v>
      </c>
      <c r="G48" s="16"/>
      <c r="H48" s="17"/>
      <c r="I48" s="17" t="s">
        <v>444</v>
      </c>
      <c r="L48"/>
      <c r="O48" t="s">
        <v>26</v>
      </c>
      <c r="P48" t="s">
        <v>27</v>
      </c>
      <c r="R48" s="21"/>
      <c r="S48" s="16">
        <v>11.4</v>
      </c>
      <c r="T48" s="23"/>
      <c r="U48" s="21"/>
      <c r="V48" s="8" t="s">
        <v>631</v>
      </c>
    </row>
    <row r="49" spans="2:22" hidden="1">
      <c r="B49" s="13" t="s">
        <v>632</v>
      </c>
      <c r="C49" t="s">
        <v>17</v>
      </c>
      <c r="D49" t="s">
        <v>745</v>
      </c>
      <c r="E49" s="16" t="s">
        <v>630</v>
      </c>
      <c r="F49" s="16" t="s">
        <v>620</v>
      </c>
      <c r="G49" s="16"/>
      <c r="H49" s="13" t="s">
        <v>416</v>
      </c>
      <c r="I49" s="13" t="s">
        <v>417</v>
      </c>
      <c r="L49"/>
      <c r="O49" t="s">
        <v>26</v>
      </c>
      <c r="P49" t="s">
        <v>27</v>
      </c>
      <c r="R49" s="16"/>
      <c r="S49" s="16">
        <v>9.9</v>
      </c>
      <c r="T49" s="23"/>
      <c r="U49" s="16"/>
      <c r="V49" s="8" t="s">
        <v>631</v>
      </c>
    </row>
    <row r="50" spans="2:22" hidden="1">
      <c r="B50" s="13" t="s">
        <v>632</v>
      </c>
      <c r="C50" t="s">
        <v>17</v>
      </c>
      <c r="D50" t="s">
        <v>745</v>
      </c>
      <c r="E50" s="16" t="s">
        <v>630</v>
      </c>
      <c r="F50" s="16" t="s">
        <v>620</v>
      </c>
      <c r="G50" s="16"/>
      <c r="H50" s="17"/>
      <c r="I50" s="17" t="s">
        <v>443</v>
      </c>
      <c r="L50"/>
      <c r="O50" t="s">
        <v>26</v>
      </c>
      <c r="P50" t="s">
        <v>27</v>
      </c>
      <c r="R50" s="21"/>
      <c r="S50" s="16">
        <v>19.5</v>
      </c>
      <c r="T50" s="23"/>
      <c r="U50" s="21"/>
      <c r="V50" s="8" t="s">
        <v>631</v>
      </c>
    </row>
    <row r="51" spans="2:22" hidden="1">
      <c r="B51" s="13" t="s">
        <v>632</v>
      </c>
      <c r="C51" t="s">
        <v>17</v>
      </c>
      <c r="D51" t="s">
        <v>745</v>
      </c>
      <c r="E51" s="16" t="s">
        <v>630</v>
      </c>
      <c r="F51" s="16" t="s">
        <v>620</v>
      </c>
      <c r="G51" s="16"/>
      <c r="H51" s="17"/>
      <c r="I51" s="17" t="s">
        <v>444</v>
      </c>
      <c r="L51"/>
      <c r="O51" t="s">
        <v>26</v>
      </c>
      <c r="P51" t="s">
        <v>27</v>
      </c>
      <c r="R51" s="21"/>
      <c r="S51" s="16">
        <v>14.4</v>
      </c>
      <c r="T51" s="23"/>
      <c r="U51" s="21"/>
      <c r="V51" s="8" t="s">
        <v>631</v>
      </c>
    </row>
    <row r="52" spans="2:22" hidden="1">
      <c r="B52" s="13" t="s">
        <v>453</v>
      </c>
      <c r="C52" t="s">
        <v>17</v>
      </c>
      <c r="D52" t="s">
        <v>745</v>
      </c>
      <c r="E52" s="16">
        <v>1998</v>
      </c>
      <c r="F52" s="16" t="s">
        <v>622</v>
      </c>
      <c r="G52" s="12" t="s">
        <v>732</v>
      </c>
      <c r="H52" s="13" t="s">
        <v>416</v>
      </c>
      <c r="I52" s="13" t="s">
        <v>418</v>
      </c>
      <c r="L52"/>
      <c r="O52" t="s">
        <v>26</v>
      </c>
      <c r="P52" t="s">
        <v>27</v>
      </c>
      <c r="R52" s="16"/>
      <c r="S52" s="16">
        <v>15</v>
      </c>
      <c r="T52" s="23"/>
      <c r="U52" s="16"/>
      <c r="V52" s="13" t="s">
        <v>453</v>
      </c>
    </row>
    <row r="53" spans="2:22" hidden="1">
      <c r="B53" s="14" t="s">
        <v>479</v>
      </c>
      <c r="C53" t="s">
        <v>17</v>
      </c>
      <c r="D53" t="s">
        <v>745</v>
      </c>
      <c r="E53" s="20">
        <v>1992</v>
      </c>
      <c r="F53" s="12" t="s">
        <v>622</v>
      </c>
      <c r="G53" s="20"/>
      <c r="H53" s="14" t="s">
        <v>411</v>
      </c>
      <c r="I53" s="14" t="s">
        <v>413</v>
      </c>
      <c r="L53"/>
      <c r="O53" t="s">
        <v>26</v>
      </c>
      <c r="P53" t="s">
        <v>27</v>
      </c>
      <c r="R53" s="20">
        <v>2</v>
      </c>
      <c r="S53" s="20">
        <v>20.8</v>
      </c>
      <c r="T53" s="23"/>
      <c r="U53" s="20">
        <v>4</v>
      </c>
      <c r="V53" s="8" t="s">
        <v>478</v>
      </c>
    </row>
    <row r="54" spans="2:22" hidden="1">
      <c r="B54" s="14" t="s">
        <v>479</v>
      </c>
      <c r="C54" t="s">
        <v>17</v>
      </c>
      <c r="D54" t="s">
        <v>745</v>
      </c>
      <c r="E54" s="16">
        <v>1992</v>
      </c>
      <c r="F54" s="12" t="s">
        <v>622</v>
      </c>
      <c r="G54" s="20" t="s">
        <v>732</v>
      </c>
      <c r="H54" s="13" t="s">
        <v>411</v>
      </c>
      <c r="I54" s="13" t="s">
        <v>18</v>
      </c>
      <c r="L54"/>
      <c r="O54" t="s">
        <v>26</v>
      </c>
      <c r="P54" t="s">
        <v>27</v>
      </c>
      <c r="R54" s="16">
        <v>1</v>
      </c>
      <c r="S54" s="16">
        <v>29.2</v>
      </c>
      <c r="T54" s="23"/>
      <c r="U54" s="16">
        <v>3.3</v>
      </c>
      <c r="V54" s="8" t="s">
        <v>478</v>
      </c>
    </row>
    <row r="55" spans="2:22" hidden="1">
      <c r="B55" s="14" t="s">
        <v>479</v>
      </c>
      <c r="C55" t="s">
        <v>17</v>
      </c>
      <c r="D55" t="s">
        <v>745</v>
      </c>
      <c r="E55" s="20">
        <v>1992</v>
      </c>
      <c r="F55" s="20" t="s">
        <v>620</v>
      </c>
      <c r="G55" s="20" t="s">
        <v>731</v>
      </c>
      <c r="H55" s="13" t="s">
        <v>411</v>
      </c>
      <c r="I55" s="13" t="s">
        <v>419</v>
      </c>
      <c r="L55"/>
      <c r="O55" t="s">
        <v>26</v>
      </c>
      <c r="P55" t="s">
        <v>27</v>
      </c>
      <c r="R55" s="16">
        <v>3</v>
      </c>
      <c r="S55" s="16">
        <v>22</v>
      </c>
      <c r="T55" s="23"/>
      <c r="U55" s="16">
        <v>2.5</v>
      </c>
      <c r="V55" s="8" t="s">
        <v>478</v>
      </c>
    </row>
    <row r="56" spans="2:22" hidden="1">
      <c r="B56" s="14" t="s">
        <v>479</v>
      </c>
      <c r="C56" t="s">
        <v>17</v>
      </c>
      <c r="D56" t="s">
        <v>745</v>
      </c>
      <c r="E56" s="16">
        <v>1992</v>
      </c>
      <c r="F56" s="20" t="s">
        <v>620</v>
      </c>
      <c r="G56" s="20" t="s">
        <v>731</v>
      </c>
      <c r="H56" s="13" t="s">
        <v>411</v>
      </c>
      <c r="I56" s="13" t="s">
        <v>420</v>
      </c>
      <c r="L56"/>
      <c r="O56" t="s">
        <v>26</v>
      </c>
      <c r="P56" t="s">
        <v>27</v>
      </c>
      <c r="R56" s="16">
        <v>3</v>
      </c>
      <c r="S56" s="16">
        <v>17.7</v>
      </c>
      <c r="T56" s="23"/>
      <c r="U56" s="16">
        <v>2.6</v>
      </c>
      <c r="V56" s="8" t="s">
        <v>478</v>
      </c>
    </row>
    <row r="57" spans="2:22" hidden="1">
      <c r="B57" s="14" t="s">
        <v>479</v>
      </c>
      <c r="C57" t="s">
        <v>17</v>
      </c>
      <c r="D57" t="s">
        <v>745</v>
      </c>
      <c r="E57" s="16">
        <v>1992</v>
      </c>
      <c r="F57" s="12" t="s">
        <v>622</v>
      </c>
      <c r="G57" s="20" t="s">
        <v>732</v>
      </c>
      <c r="H57" s="13" t="s">
        <v>414</v>
      </c>
      <c r="I57" s="13" t="s">
        <v>415</v>
      </c>
      <c r="L57"/>
      <c r="O57" t="s">
        <v>26</v>
      </c>
      <c r="P57" t="s">
        <v>27</v>
      </c>
      <c r="R57" s="16">
        <v>3</v>
      </c>
      <c r="S57" s="16">
        <v>31.1</v>
      </c>
      <c r="T57" s="23"/>
      <c r="U57" s="16">
        <v>2.4</v>
      </c>
      <c r="V57" s="8" t="s">
        <v>478</v>
      </c>
    </row>
    <row r="58" spans="2:22" hidden="1">
      <c r="B58" s="14" t="s">
        <v>479</v>
      </c>
      <c r="C58" t="s">
        <v>17</v>
      </c>
      <c r="D58" t="s">
        <v>745</v>
      </c>
      <c r="E58" s="16">
        <v>1992</v>
      </c>
      <c r="F58" s="20" t="s">
        <v>620</v>
      </c>
      <c r="G58" s="20" t="s">
        <v>731</v>
      </c>
      <c r="H58" s="13" t="s">
        <v>421</v>
      </c>
      <c r="I58" s="13" t="s">
        <v>422</v>
      </c>
      <c r="L58"/>
      <c r="O58" t="s">
        <v>26</v>
      </c>
      <c r="P58" t="s">
        <v>27</v>
      </c>
      <c r="R58" s="16">
        <v>2</v>
      </c>
      <c r="S58" s="16">
        <v>6.4</v>
      </c>
      <c r="T58" s="23"/>
      <c r="U58" s="16">
        <v>1.9</v>
      </c>
      <c r="V58" s="8" t="s">
        <v>478</v>
      </c>
    </row>
    <row r="59" spans="2:22" hidden="1">
      <c r="B59" s="15" t="s">
        <v>626</v>
      </c>
      <c r="C59" t="s">
        <v>17</v>
      </c>
      <c r="D59" t="s">
        <v>745</v>
      </c>
      <c r="E59" s="16">
        <v>1986</v>
      </c>
      <c r="F59" s="12" t="s">
        <v>622</v>
      </c>
      <c r="G59" s="16" t="s">
        <v>732</v>
      </c>
      <c r="H59" s="13" t="s">
        <v>411</v>
      </c>
      <c r="I59" s="13" t="s">
        <v>413</v>
      </c>
      <c r="L59"/>
      <c r="O59" t="s">
        <v>26</v>
      </c>
      <c r="P59" t="s">
        <v>27</v>
      </c>
      <c r="R59" s="16"/>
      <c r="S59" s="16">
        <v>25.1</v>
      </c>
      <c r="T59" s="23"/>
      <c r="U59" s="16">
        <v>30</v>
      </c>
      <c r="V59" s="8" t="s">
        <v>623</v>
      </c>
    </row>
    <row r="60" spans="2:22" hidden="1">
      <c r="B60" s="15" t="s">
        <v>626</v>
      </c>
      <c r="C60" t="s">
        <v>17</v>
      </c>
      <c r="D60" t="s">
        <v>745</v>
      </c>
      <c r="E60" s="16">
        <v>1985</v>
      </c>
      <c r="F60" s="16" t="s">
        <v>622</v>
      </c>
      <c r="G60" s="16" t="s">
        <v>731</v>
      </c>
      <c r="H60" s="13" t="s">
        <v>411</v>
      </c>
      <c r="I60" s="13" t="s">
        <v>420</v>
      </c>
      <c r="L60"/>
      <c r="O60" t="s">
        <v>26</v>
      </c>
      <c r="P60" t="s">
        <v>27</v>
      </c>
      <c r="R60" s="16"/>
      <c r="S60" s="16">
        <v>5.5</v>
      </c>
      <c r="T60" s="23"/>
      <c r="U60" s="16">
        <v>13.6</v>
      </c>
      <c r="V60" s="8" t="s">
        <v>623</v>
      </c>
    </row>
    <row r="61" spans="2:22" hidden="1">
      <c r="B61" s="15" t="s">
        <v>626</v>
      </c>
      <c r="C61" t="s">
        <v>17</v>
      </c>
      <c r="D61" t="s">
        <v>745</v>
      </c>
      <c r="E61" s="16">
        <v>1970</v>
      </c>
      <c r="F61" s="16" t="s">
        <v>622</v>
      </c>
      <c r="G61" s="16" t="s">
        <v>731</v>
      </c>
      <c r="H61" s="13" t="s">
        <v>421</v>
      </c>
      <c r="I61" s="13" t="s">
        <v>422</v>
      </c>
      <c r="L61"/>
      <c r="O61" t="s">
        <v>26</v>
      </c>
      <c r="P61" t="s">
        <v>27</v>
      </c>
      <c r="R61" s="16"/>
      <c r="S61" s="16" t="s">
        <v>343</v>
      </c>
      <c r="T61" s="23"/>
      <c r="U61" s="16"/>
      <c r="V61" s="8" t="s">
        <v>623</v>
      </c>
    </row>
    <row r="62" spans="2:22" hidden="1">
      <c r="B62" s="13" t="s">
        <v>625</v>
      </c>
      <c r="C62" t="s">
        <v>17</v>
      </c>
      <c r="D62" t="s">
        <v>745</v>
      </c>
      <c r="E62" s="16" t="s">
        <v>446</v>
      </c>
      <c r="F62" s="12" t="s">
        <v>622</v>
      </c>
      <c r="G62" s="16"/>
      <c r="H62" s="13" t="s">
        <v>411</v>
      </c>
      <c r="I62" s="13" t="s">
        <v>423</v>
      </c>
      <c r="L62"/>
      <c r="O62" t="s">
        <v>26</v>
      </c>
      <c r="P62" t="s">
        <v>27</v>
      </c>
      <c r="R62" s="16">
        <v>2</v>
      </c>
      <c r="S62" s="16">
        <v>33</v>
      </c>
      <c r="T62" s="23"/>
      <c r="U62" s="16"/>
      <c r="V62" s="8" t="s">
        <v>624</v>
      </c>
    </row>
    <row r="63" spans="2:22" hidden="1">
      <c r="B63" s="13" t="s">
        <v>625</v>
      </c>
      <c r="C63" t="s">
        <v>17</v>
      </c>
      <c r="D63" t="s">
        <v>745</v>
      </c>
      <c r="E63" s="16" t="s">
        <v>447</v>
      </c>
      <c r="F63" s="12" t="s">
        <v>622</v>
      </c>
      <c r="G63" s="16"/>
      <c r="H63" s="13" t="s">
        <v>411</v>
      </c>
      <c r="I63" s="13" t="s">
        <v>423</v>
      </c>
      <c r="L63"/>
      <c r="O63" t="s">
        <v>26</v>
      </c>
      <c r="P63" t="s">
        <v>27</v>
      </c>
      <c r="R63" s="16">
        <v>2</v>
      </c>
      <c r="S63" s="16">
        <v>35</v>
      </c>
      <c r="T63" s="23"/>
      <c r="U63" s="16"/>
      <c r="V63" s="8" t="s">
        <v>624</v>
      </c>
    </row>
    <row r="64" spans="2:22" hidden="1">
      <c r="B64" s="13" t="s">
        <v>625</v>
      </c>
      <c r="C64" t="s">
        <v>17</v>
      </c>
      <c r="D64" t="s">
        <v>745</v>
      </c>
      <c r="E64" s="16" t="s">
        <v>446</v>
      </c>
      <c r="F64" s="12" t="s">
        <v>622</v>
      </c>
      <c r="G64" s="16"/>
      <c r="H64" s="13" t="s">
        <v>411</v>
      </c>
      <c r="I64" s="13" t="s">
        <v>424</v>
      </c>
      <c r="L64"/>
      <c r="O64" t="s">
        <v>26</v>
      </c>
      <c r="P64" t="s">
        <v>27</v>
      </c>
      <c r="R64" s="16">
        <v>1</v>
      </c>
      <c r="S64" s="16">
        <v>20</v>
      </c>
      <c r="T64" s="23"/>
      <c r="U64" s="16"/>
      <c r="V64" s="8" t="s">
        <v>624</v>
      </c>
    </row>
    <row r="65" spans="1:22" hidden="1">
      <c r="B65" s="13" t="s">
        <v>625</v>
      </c>
      <c r="C65" t="s">
        <v>17</v>
      </c>
      <c r="D65" t="s">
        <v>745</v>
      </c>
      <c r="E65" s="16" t="s">
        <v>447</v>
      </c>
      <c r="F65" s="12" t="s">
        <v>622</v>
      </c>
      <c r="G65" s="16"/>
      <c r="H65" s="13" t="s">
        <v>411</v>
      </c>
      <c r="I65" s="13" t="s">
        <v>424</v>
      </c>
      <c r="L65"/>
      <c r="O65" t="s">
        <v>26</v>
      </c>
      <c r="P65" t="s">
        <v>27</v>
      </c>
      <c r="R65" s="20">
        <v>1</v>
      </c>
      <c r="S65" s="20">
        <v>38</v>
      </c>
      <c r="T65" s="23"/>
      <c r="U65" s="20"/>
      <c r="V65" s="8" t="s">
        <v>624</v>
      </c>
    </row>
    <row r="66" spans="1:22" hidden="1">
      <c r="B66" s="13" t="s">
        <v>625</v>
      </c>
      <c r="C66" t="s">
        <v>17</v>
      </c>
      <c r="D66" t="s">
        <v>745</v>
      </c>
      <c r="E66" s="16" t="s">
        <v>446</v>
      </c>
      <c r="F66" s="12" t="s">
        <v>622</v>
      </c>
      <c r="G66" s="16"/>
      <c r="H66" s="13" t="s">
        <v>411</v>
      </c>
      <c r="I66" s="13" t="s">
        <v>425</v>
      </c>
      <c r="L66"/>
      <c r="O66" t="s">
        <v>26</v>
      </c>
      <c r="P66" t="s">
        <v>27</v>
      </c>
      <c r="R66" s="20"/>
      <c r="S66" s="20">
        <v>32</v>
      </c>
      <c r="T66" s="23"/>
      <c r="U66" s="20"/>
      <c r="V66" s="8" t="s">
        <v>624</v>
      </c>
    </row>
    <row r="67" spans="1:22" hidden="1">
      <c r="B67" s="13" t="s">
        <v>625</v>
      </c>
      <c r="C67" t="s">
        <v>17</v>
      </c>
      <c r="D67" t="s">
        <v>745</v>
      </c>
      <c r="E67" s="16" t="s">
        <v>447</v>
      </c>
      <c r="F67" s="12" t="s">
        <v>622</v>
      </c>
      <c r="G67" s="16"/>
      <c r="H67" s="13" t="s">
        <v>411</v>
      </c>
      <c r="I67" s="13" t="s">
        <v>425</v>
      </c>
      <c r="L67"/>
      <c r="O67" t="s">
        <v>26</v>
      </c>
      <c r="P67" t="s">
        <v>27</v>
      </c>
      <c r="R67" s="20"/>
      <c r="S67" s="20">
        <v>34</v>
      </c>
      <c r="T67" s="23"/>
      <c r="U67" s="20"/>
      <c r="V67" s="8" t="s">
        <v>624</v>
      </c>
    </row>
    <row r="68" spans="1:22" hidden="1">
      <c r="A68" t="s">
        <v>735</v>
      </c>
      <c r="B68" s="13" t="s">
        <v>277</v>
      </c>
      <c r="C68" t="s">
        <v>17</v>
      </c>
      <c r="D68" t="s">
        <v>745</v>
      </c>
      <c r="E68" s="20">
        <v>1998</v>
      </c>
      <c r="F68" s="20" t="s">
        <v>622</v>
      </c>
      <c r="H68" s="14"/>
      <c r="I68" s="14" t="s">
        <v>628</v>
      </c>
      <c r="L68"/>
      <c r="O68" t="s">
        <v>26</v>
      </c>
      <c r="P68" t="s">
        <v>27</v>
      </c>
      <c r="R68" s="20">
        <v>9</v>
      </c>
      <c r="S68" s="20">
        <v>39.6</v>
      </c>
      <c r="T68" s="23"/>
      <c r="U68" s="20">
        <v>2.9</v>
      </c>
      <c r="V68" s="8" t="s">
        <v>281</v>
      </c>
    </row>
    <row r="69" spans="1:22" hidden="1">
      <c r="B69" s="13" t="s">
        <v>277</v>
      </c>
      <c r="C69" t="s">
        <v>17</v>
      </c>
      <c r="D69" t="s">
        <v>745</v>
      </c>
      <c r="E69" s="20">
        <v>1998</v>
      </c>
      <c r="F69" s="20" t="s">
        <v>622</v>
      </c>
      <c r="G69" s="20" t="s">
        <v>731</v>
      </c>
      <c r="H69" s="14"/>
      <c r="I69" s="14" t="s">
        <v>629</v>
      </c>
      <c r="L69"/>
      <c r="O69" t="s">
        <v>26</v>
      </c>
      <c r="P69" t="s">
        <v>27</v>
      </c>
      <c r="R69" s="20">
        <v>7</v>
      </c>
      <c r="S69" s="20">
        <v>20.6</v>
      </c>
      <c r="T69" s="23"/>
      <c r="U69" s="20">
        <v>0.7</v>
      </c>
      <c r="V69" s="8" t="s">
        <v>281</v>
      </c>
    </row>
    <row r="70" spans="1:22" hidden="1">
      <c r="B70" s="13" t="s">
        <v>277</v>
      </c>
      <c r="C70" t="s">
        <v>17</v>
      </c>
      <c r="D70" t="s">
        <v>745</v>
      </c>
      <c r="E70" s="20">
        <v>1998</v>
      </c>
      <c r="F70" s="20" t="s">
        <v>627</v>
      </c>
      <c r="G70" s="20"/>
      <c r="H70" s="14"/>
      <c r="I70" s="14" t="s">
        <v>628</v>
      </c>
      <c r="L70"/>
      <c r="O70" t="s">
        <v>26</v>
      </c>
      <c r="P70" t="s">
        <v>27</v>
      </c>
      <c r="R70" s="20">
        <v>9</v>
      </c>
      <c r="S70" s="20">
        <v>11.4</v>
      </c>
      <c r="T70" s="23"/>
      <c r="U70" s="20">
        <v>1.4</v>
      </c>
      <c r="V70" s="8" t="s">
        <v>281</v>
      </c>
    </row>
    <row r="71" spans="1:22" hidden="1">
      <c r="B71" s="13" t="s">
        <v>277</v>
      </c>
      <c r="C71" t="s">
        <v>17</v>
      </c>
      <c r="D71" t="s">
        <v>745</v>
      </c>
      <c r="E71" s="20">
        <v>1998</v>
      </c>
      <c r="F71" s="20" t="s">
        <v>627</v>
      </c>
      <c r="G71" s="20"/>
      <c r="H71" s="14"/>
      <c r="I71" s="14" t="s">
        <v>629</v>
      </c>
      <c r="L71"/>
      <c r="O71" t="s">
        <v>26</v>
      </c>
      <c r="P71" t="s">
        <v>27</v>
      </c>
      <c r="R71" s="20">
        <v>7</v>
      </c>
      <c r="S71" s="20">
        <v>11.4</v>
      </c>
      <c r="T71" s="23"/>
      <c r="U71" s="20">
        <v>2.2000000000000002</v>
      </c>
      <c r="V71" s="8" t="s">
        <v>281</v>
      </c>
    </row>
    <row r="72" spans="1:22" hidden="1">
      <c r="B72" t="s">
        <v>618</v>
      </c>
      <c r="C72" t="s">
        <v>17</v>
      </c>
      <c r="D72" t="s">
        <v>745</v>
      </c>
      <c r="E72" s="20" t="s">
        <v>619</v>
      </c>
      <c r="F72" s="12" t="s">
        <v>622</v>
      </c>
      <c r="G72" s="20"/>
      <c r="H72" s="14" t="s">
        <v>411</v>
      </c>
      <c r="I72" s="14" t="s">
        <v>426</v>
      </c>
      <c r="L72"/>
      <c r="O72" t="s">
        <v>26</v>
      </c>
      <c r="P72" t="s">
        <v>27</v>
      </c>
      <c r="R72" s="20"/>
      <c r="S72" s="20">
        <v>44.3</v>
      </c>
      <c r="T72" s="23"/>
      <c r="U72" s="20"/>
      <c r="V72" s="8" t="s">
        <v>617</v>
      </c>
    </row>
    <row r="73" spans="1:22" hidden="1">
      <c r="B73" t="s">
        <v>618</v>
      </c>
      <c r="C73" t="s">
        <v>17</v>
      </c>
      <c r="D73" t="s">
        <v>745</v>
      </c>
      <c r="E73" s="20" t="s">
        <v>619</v>
      </c>
      <c r="F73" s="12" t="s">
        <v>622</v>
      </c>
      <c r="G73" s="20"/>
      <c r="H73" s="14" t="s">
        <v>411</v>
      </c>
      <c r="I73" s="14" t="s">
        <v>18</v>
      </c>
      <c r="L73"/>
      <c r="O73" t="s">
        <v>26</v>
      </c>
      <c r="P73" t="s">
        <v>27</v>
      </c>
      <c r="R73" s="20"/>
      <c r="S73" s="20">
        <v>10.4</v>
      </c>
      <c r="T73" s="23"/>
      <c r="U73" s="20"/>
      <c r="V73" s="8" t="s">
        <v>617</v>
      </c>
    </row>
    <row r="74" spans="1:22" hidden="1">
      <c r="B74" t="s">
        <v>618</v>
      </c>
      <c r="C74" t="s">
        <v>17</v>
      </c>
      <c r="D74" t="s">
        <v>745</v>
      </c>
      <c r="E74" s="20" t="s">
        <v>619</v>
      </c>
      <c r="F74" s="12" t="s">
        <v>622</v>
      </c>
      <c r="G74" s="20"/>
      <c r="H74" s="14" t="s">
        <v>421</v>
      </c>
      <c r="I74" s="14" t="s">
        <v>427</v>
      </c>
      <c r="L74"/>
      <c r="O74" t="s">
        <v>26</v>
      </c>
      <c r="P74" t="s">
        <v>27</v>
      </c>
      <c r="R74" s="20"/>
      <c r="S74" s="20">
        <v>30.2</v>
      </c>
      <c r="T74" s="23"/>
      <c r="U74" s="20"/>
      <c r="V74" s="8" t="s">
        <v>617</v>
      </c>
    </row>
    <row r="75" spans="1:22" hidden="1">
      <c r="B75" t="s">
        <v>618</v>
      </c>
      <c r="C75" t="s">
        <v>17</v>
      </c>
      <c r="D75" t="s">
        <v>745</v>
      </c>
      <c r="E75" s="20" t="s">
        <v>619</v>
      </c>
      <c r="F75" s="12" t="s">
        <v>622</v>
      </c>
      <c r="G75" s="20"/>
      <c r="H75" s="14" t="s">
        <v>421</v>
      </c>
      <c r="I75" s="14" t="s">
        <v>428</v>
      </c>
      <c r="L75"/>
      <c r="O75" t="s">
        <v>26</v>
      </c>
      <c r="P75" t="s">
        <v>27</v>
      </c>
      <c r="R75" s="20"/>
      <c r="S75" s="20">
        <v>17.899999999999999</v>
      </c>
      <c r="T75" s="23"/>
      <c r="U75" s="20"/>
      <c r="V75" s="8" t="s">
        <v>617</v>
      </c>
    </row>
    <row r="76" spans="1:22" hidden="1">
      <c r="B76" t="s">
        <v>618</v>
      </c>
      <c r="C76" t="s">
        <v>17</v>
      </c>
      <c r="D76" t="s">
        <v>745</v>
      </c>
      <c r="E76" s="20" t="s">
        <v>619</v>
      </c>
      <c r="F76" s="12" t="s">
        <v>622</v>
      </c>
      <c r="G76" s="33" t="s">
        <v>738</v>
      </c>
      <c r="H76" s="14" t="s">
        <v>416</v>
      </c>
      <c r="I76" s="14" t="s">
        <v>429</v>
      </c>
      <c r="L76"/>
      <c r="O76" t="s">
        <v>26</v>
      </c>
      <c r="P76" t="s">
        <v>27</v>
      </c>
      <c r="R76" s="20"/>
      <c r="S76" s="20">
        <v>4.3</v>
      </c>
      <c r="T76" s="23"/>
      <c r="U76" s="20"/>
      <c r="V76" s="8" t="s">
        <v>617</v>
      </c>
    </row>
    <row r="77" spans="1:22" hidden="1">
      <c r="B77" t="s">
        <v>618</v>
      </c>
      <c r="C77" t="s">
        <v>17</v>
      </c>
      <c r="D77" t="s">
        <v>745</v>
      </c>
      <c r="E77" s="20" t="s">
        <v>619</v>
      </c>
      <c r="F77" s="12" t="s">
        <v>622</v>
      </c>
      <c r="G77" s="33" t="s">
        <v>738</v>
      </c>
      <c r="H77" s="14" t="s">
        <v>416</v>
      </c>
      <c r="I77" s="14" t="s">
        <v>430</v>
      </c>
      <c r="L77"/>
      <c r="O77" t="s">
        <v>26</v>
      </c>
      <c r="P77" t="s">
        <v>27</v>
      </c>
      <c r="R77" s="20"/>
      <c r="S77" s="20">
        <v>3.8</v>
      </c>
      <c r="T77" s="23"/>
      <c r="U77" s="20"/>
      <c r="V77" s="8" t="s">
        <v>617</v>
      </c>
    </row>
    <row r="78" spans="1:22" hidden="1">
      <c r="B78" t="s">
        <v>618</v>
      </c>
      <c r="C78" t="s">
        <v>17</v>
      </c>
      <c r="D78" t="s">
        <v>745</v>
      </c>
      <c r="E78" s="20" t="s">
        <v>619</v>
      </c>
      <c r="F78" s="12" t="s">
        <v>622</v>
      </c>
      <c r="G78" s="33" t="s">
        <v>738</v>
      </c>
      <c r="H78" s="14" t="s">
        <v>416</v>
      </c>
      <c r="I78" s="14" t="s">
        <v>431</v>
      </c>
      <c r="L78"/>
      <c r="O78" t="s">
        <v>26</v>
      </c>
      <c r="P78" t="s">
        <v>27</v>
      </c>
      <c r="R78" s="20"/>
      <c r="S78" s="20">
        <v>2.2000000000000002</v>
      </c>
      <c r="T78" s="23"/>
      <c r="U78" s="20"/>
      <c r="V78" s="8" t="s">
        <v>617</v>
      </c>
    </row>
    <row r="79" spans="1:22" hidden="1">
      <c r="B79" t="s">
        <v>618</v>
      </c>
      <c r="C79" t="s">
        <v>17</v>
      </c>
      <c r="D79" t="s">
        <v>745</v>
      </c>
      <c r="E79" s="20" t="s">
        <v>619</v>
      </c>
      <c r="F79" s="12" t="s">
        <v>622</v>
      </c>
      <c r="G79" s="20"/>
      <c r="H79" s="14" t="s">
        <v>411</v>
      </c>
      <c r="I79" s="14" t="s">
        <v>432</v>
      </c>
      <c r="L79"/>
      <c r="O79" t="s">
        <v>26</v>
      </c>
      <c r="P79" t="s">
        <v>27</v>
      </c>
      <c r="R79" s="20"/>
      <c r="S79" s="20">
        <v>12.8</v>
      </c>
      <c r="T79" s="23"/>
      <c r="U79" s="20"/>
      <c r="V79" s="8" t="s">
        <v>617</v>
      </c>
    </row>
    <row r="80" spans="1:22" hidden="1">
      <c r="B80" t="s">
        <v>618</v>
      </c>
      <c r="C80" t="s">
        <v>17</v>
      </c>
      <c r="D80" t="s">
        <v>745</v>
      </c>
      <c r="E80" s="20" t="s">
        <v>619</v>
      </c>
      <c r="F80" s="12" t="s">
        <v>622</v>
      </c>
      <c r="G80" s="20" t="s">
        <v>732</v>
      </c>
      <c r="H80" s="14" t="s">
        <v>421</v>
      </c>
      <c r="I80" s="14" t="s">
        <v>433</v>
      </c>
      <c r="L80"/>
      <c r="O80" t="s">
        <v>1002</v>
      </c>
      <c r="P80" t="s">
        <v>27</v>
      </c>
      <c r="R80" s="20"/>
      <c r="S80" s="20">
        <f>24+4.7</f>
        <v>28.7</v>
      </c>
      <c r="T80" s="23"/>
      <c r="U80" s="20"/>
      <c r="V80" s="8" t="s">
        <v>617</v>
      </c>
    </row>
    <row r="81" spans="2:22" hidden="1">
      <c r="B81" t="s">
        <v>618</v>
      </c>
      <c r="C81" t="s">
        <v>17</v>
      </c>
      <c r="D81" t="s">
        <v>745</v>
      </c>
      <c r="E81" s="20" t="s">
        <v>619</v>
      </c>
      <c r="F81" s="12" t="s">
        <v>622</v>
      </c>
      <c r="G81" s="33" t="s">
        <v>738</v>
      </c>
      <c r="H81" s="14" t="s">
        <v>416</v>
      </c>
      <c r="I81" s="14" t="s">
        <v>434</v>
      </c>
      <c r="L81"/>
      <c r="O81" t="s">
        <v>26</v>
      </c>
      <c r="P81" t="s">
        <v>27</v>
      </c>
      <c r="R81" s="20"/>
      <c r="S81" s="20">
        <v>17</v>
      </c>
      <c r="T81" s="23"/>
      <c r="U81" s="20"/>
      <c r="V81" s="8" t="s">
        <v>617</v>
      </c>
    </row>
    <row r="82" spans="2:22" hidden="1">
      <c r="B82" t="s">
        <v>618</v>
      </c>
      <c r="C82" t="s">
        <v>17</v>
      </c>
      <c r="D82" t="s">
        <v>745</v>
      </c>
      <c r="E82" s="20" t="s">
        <v>619</v>
      </c>
      <c r="F82" s="12" t="s">
        <v>622</v>
      </c>
      <c r="G82" s="20" t="s">
        <v>732</v>
      </c>
      <c r="H82" s="14" t="s">
        <v>435</v>
      </c>
      <c r="I82" s="14" t="s">
        <v>436</v>
      </c>
      <c r="L82"/>
      <c r="O82" t="s">
        <v>1002</v>
      </c>
      <c r="P82" t="s">
        <v>27</v>
      </c>
      <c r="R82" s="20"/>
      <c r="S82" s="20">
        <f>25.5+2.7</f>
        <v>28.2</v>
      </c>
      <c r="T82" s="23"/>
      <c r="U82" s="20"/>
      <c r="V82" s="8" t="s">
        <v>617</v>
      </c>
    </row>
    <row r="83" spans="2:22" hidden="1">
      <c r="B83" t="s">
        <v>618</v>
      </c>
      <c r="C83" t="s">
        <v>17</v>
      </c>
      <c r="D83" t="s">
        <v>745</v>
      </c>
      <c r="E83" s="20" t="s">
        <v>619</v>
      </c>
      <c r="F83" s="12" t="s">
        <v>622</v>
      </c>
      <c r="G83" s="20"/>
      <c r="H83" s="14" t="s">
        <v>411</v>
      </c>
      <c r="I83" s="14" t="s">
        <v>411</v>
      </c>
      <c r="L83"/>
      <c r="O83" t="s">
        <v>26</v>
      </c>
      <c r="P83" t="s">
        <v>27</v>
      </c>
      <c r="R83" s="20"/>
      <c r="S83" s="20">
        <v>9.4</v>
      </c>
      <c r="T83" s="23"/>
      <c r="U83" s="20"/>
      <c r="V83" s="8" t="s">
        <v>617</v>
      </c>
    </row>
    <row r="84" spans="2:22" hidden="1">
      <c r="B84" t="s">
        <v>618</v>
      </c>
      <c r="C84" t="s">
        <v>17</v>
      </c>
      <c r="D84" t="s">
        <v>745</v>
      </c>
      <c r="E84" s="20" t="s">
        <v>619</v>
      </c>
      <c r="F84" s="12" t="s">
        <v>622</v>
      </c>
      <c r="G84" s="20"/>
      <c r="H84" s="14" t="s">
        <v>411</v>
      </c>
      <c r="I84" s="14" t="s">
        <v>437</v>
      </c>
      <c r="L84"/>
      <c r="O84" t="s">
        <v>26</v>
      </c>
      <c r="P84" t="s">
        <v>27</v>
      </c>
      <c r="R84" s="20"/>
      <c r="S84" s="20">
        <v>18.8</v>
      </c>
      <c r="T84" s="23"/>
      <c r="U84" s="20"/>
      <c r="V84" s="8" t="s">
        <v>617</v>
      </c>
    </row>
    <row r="85" spans="2:22" hidden="1">
      <c r="B85" t="s">
        <v>618</v>
      </c>
      <c r="C85" t="s">
        <v>17</v>
      </c>
      <c r="D85" t="s">
        <v>745</v>
      </c>
      <c r="E85" s="20" t="s">
        <v>619</v>
      </c>
      <c r="F85" s="12" t="s">
        <v>622</v>
      </c>
      <c r="G85" s="20" t="s">
        <v>732</v>
      </c>
      <c r="H85" s="14" t="s">
        <v>414</v>
      </c>
      <c r="I85" s="14" t="s">
        <v>438</v>
      </c>
      <c r="L85"/>
      <c r="O85" t="s">
        <v>1002</v>
      </c>
      <c r="P85" t="s">
        <v>27</v>
      </c>
      <c r="R85" s="20"/>
      <c r="S85" s="20">
        <f>15.7+1.6</f>
        <v>17.3</v>
      </c>
      <c r="T85" s="23"/>
      <c r="U85" s="20"/>
      <c r="V85" s="8" t="s">
        <v>617</v>
      </c>
    </row>
    <row r="86" spans="2:22" hidden="1">
      <c r="B86" t="s">
        <v>618</v>
      </c>
      <c r="C86" t="s">
        <v>17</v>
      </c>
      <c r="D86" t="s">
        <v>745</v>
      </c>
      <c r="E86" s="20" t="s">
        <v>619</v>
      </c>
      <c r="F86" s="12" t="s">
        <v>622</v>
      </c>
      <c r="G86" s="20" t="s">
        <v>732</v>
      </c>
      <c r="H86" s="14" t="s">
        <v>414</v>
      </c>
      <c r="I86" s="14" t="s">
        <v>439</v>
      </c>
      <c r="L86"/>
      <c r="O86" t="s">
        <v>1002</v>
      </c>
      <c r="P86" t="s">
        <v>27</v>
      </c>
      <c r="R86" s="20"/>
      <c r="S86" s="20">
        <f>34.3+13.3</f>
        <v>47.599999999999994</v>
      </c>
      <c r="T86" s="23"/>
      <c r="U86" s="20"/>
      <c r="V86" s="8" t="s">
        <v>617</v>
      </c>
    </row>
    <row r="87" spans="2:22" hidden="1">
      <c r="B87" t="s">
        <v>618</v>
      </c>
      <c r="C87" t="s">
        <v>17</v>
      </c>
      <c r="D87" t="s">
        <v>745</v>
      </c>
      <c r="E87" s="20" t="s">
        <v>619</v>
      </c>
      <c r="F87" s="12" t="s">
        <v>622</v>
      </c>
      <c r="G87" s="20"/>
      <c r="H87" s="14" t="s">
        <v>414</v>
      </c>
      <c r="I87" s="14" t="s">
        <v>440</v>
      </c>
      <c r="L87"/>
      <c r="O87" t="s">
        <v>26</v>
      </c>
      <c r="P87" t="s">
        <v>27</v>
      </c>
      <c r="R87" s="20"/>
      <c r="S87" s="20">
        <v>10.9</v>
      </c>
      <c r="T87" s="23"/>
      <c r="U87" s="20"/>
      <c r="V87" s="8" t="s">
        <v>617</v>
      </c>
    </row>
    <row r="88" spans="2:22" hidden="1">
      <c r="B88" t="s">
        <v>618</v>
      </c>
      <c r="C88" t="s">
        <v>17</v>
      </c>
      <c r="D88" t="s">
        <v>745</v>
      </c>
      <c r="E88" s="20" t="s">
        <v>619</v>
      </c>
      <c r="F88" s="12" t="s">
        <v>622</v>
      </c>
      <c r="G88" s="20"/>
      <c r="H88" s="14" t="s">
        <v>421</v>
      </c>
      <c r="I88" s="14" t="s">
        <v>422</v>
      </c>
      <c r="L88"/>
      <c r="O88" t="s">
        <v>26</v>
      </c>
      <c r="P88" t="s">
        <v>27</v>
      </c>
      <c r="R88" s="20"/>
      <c r="S88" s="20">
        <v>3.1</v>
      </c>
      <c r="T88" s="23"/>
      <c r="U88" s="20"/>
      <c r="V88" s="8" t="s">
        <v>617</v>
      </c>
    </row>
    <row r="89" spans="2:22" hidden="1">
      <c r="B89" t="s">
        <v>618</v>
      </c>
      <c r="C89" t="s">
        <v>17</v>
      </c>
      <c r="D89" t="s">
        <v>745</v>
      </c>
      <c r="E89" s="20" t="s">
        <v>619</v>
      </c>
      <c r="F89" s="12" t="s">
        <v>622</v>
      </c>
      <c r="G89" s="20"/>
      <c r="H89" s="14" t="s">
        <v>421</v>
      </c>
      <c r="I89" s="14" t="s">
        <v>441</v>
      </c>
      <c r="L89"/>
      <c r="O89" t="s">
        <v>26</v>
      </c>
      <c r="P89" t="s">
        <v>27</v>
      </c>
      <c r="R89" s="20"/>
      <c r="S89" s="20">
        <v>10.199999999999999</v>
      </c>
      <c r="T89" s="23"/>
      <c r="U89" s="20"/>
      <c r="V89" s="8" t="s">
        <v>617</v>
      </c>
    </row>
    <row r="90" spans="2:22" hidden="1">
      <c r="B90" t="s">
        <v>618</v>
      </c>
      <c r="C90" t="s">
        <v>17</v>
      </c>
      <c r="D90" t="s">
        <v>745</v>
      </c>
      <c r="E90" s="20" t="s">
        <v>619</v>
      </c>
      <c r="F90" s="12" t="s">
        <v>622</v>
      </c>
      <c r="G90" s="20"/>
      <c r="H90" s="14" t="s">
        <v>421</v>
      </c>
      <c r="I90" s="14" t="s">
        <v>442</v>
      </c>
      <c r="L90"/>
      <c r="O90" t="s">
        <v>26</v>
      </c>
      <c r="P90" t="s">
        <v>27</v>
      </c>
      <c r="R90" s="20"/>
      <c r="S90" s="20">
        <v>1.9</v>
      </c>
      <c r="T90" s="23"/>
      <c r="U90" s="20"/>
      <c r="V90" s="8" t="s">
        <v>617</v>
      </c>
    </row>
    <row r="91" spans="2:22" hidden="1">
      <c r="B91" s="17" t="s">
        <v>523</v>
      </c>
      <c r="C91" t="s">
        <v>17</v>
      </c>
      <c r="D91" t="s">
        <v>745</v>
      </c>
      <c r="E91" s="21">
        <v>1993</v>
      </c>
      <c r="F91" s="12" t="s">
        <v>622</v>
      </c>
      <c r="G91" s="21" t="s">
        <v>732</v>
      </c>
      <c r="H91" s="14" t="s">
        <v>421</v>
      </c>
      <c r="I91" s="17" t="s">
        <v>524</v>
      </c>
      <c r="L91"/>
      <c r="O91" t="s">
        <v>26</v>
      </c>
      <c r="P91" t="s">
        <v>27</v>
      </c>
      <c r="R91" s="21">
        <v>4</v>
      </c>
      <c r="S91" s="21">
        <v>22.85</v>
      </c>
      <c r="T91" s="23"/>
      <c r="U91" s="21">
        <v>1.17</v>
      </c>
      <c r="V91" s="8" t="s">
        <v>522</v>
      </c>
    </row>
    <row r="92" spans="2:22" hidden="1">
      <c r="B92" s="17" t="s">
        <v>523</v>
      </c>
      <c r="C92" t="s">
        <v>17</v>
      </c>
      <c r="D92" t="s">
        <v>745</v>
      </c>
      <c r="E92" s="21">
        <v>1993</v>
      </c>
      <c r="F92" s="12" t="s">
        <v>622</v>
      </c>
      <c r="G92" s="21" t="s">
        <v>732</v>
      </c>
      <c r="H92" s="14" t="s">
        <v>421</v>
      </c>
      <c r="I92" s="17" t="s">
        <v>525</v>
      </c>
      <c r="L92"/>
      <c r="O92" t="s">
        <v>26</v>
      </c>
      <c r="P92" t="s">
        <v>27</v>
      </c>
      <c r="R92" s="21">
        <v>4</v>
      </c>
      <c r="S92" s="21">
        <v>25.33</v>
      </c>
      <c r="T92" s="23"/>
      <c r="U92" s="21">
        <v>5.38</v>
      </c>
      <c r="V92" s="8" t="s">
        <v>522</v>
      </c>
    </row>
    <row r="93" spans="2:22" hidden="1">
      <c r="B93" s="17" t="s">
        <v>523</v>
      </c>
      <c r="C93" t="s">
        <v>17</v>
      </c>
      <c r="D93" t="s">
        <v>745</v>
      </c>
      <c r="E93" s="21">
        <v>1994</v>
      </c>
      <c r="F93" s="12" t="s">
        <v>622</v>
      </c>
      <c r="G93" s="16"/>
      <c r="H93" s="14" t="s">
        <v>421</v>
      </c>
      <c r="I93" s="17" t="s">
        <v>524</v>
      </c>
      <c r="L93"/>
      <c r="O93" t="s">
        <v>26</v>
      </c>
      <c r="P93" t="s">
        <v>27</v>
      </c>
      <c r="R93" s="21">
        <v>4</v>
      </c>
      <c r="S93" s="21">
        <v>20.75</v>
      </c>
      <c r="T93" s="23"/>
      <c r="U93" s="21">
        <v>2.97</v>
      </c>
      <c r="V93" s="8" t="s">
        <v>522</v>
      </c>
    </row>
    <row r="94" spans="2:22" hidden="1">
      <c r="B94" s="17" t="s">
        <v>523</v>
      </c>
      <c r="C94" t="s">
        <v>17</v>
      </c>
      <c r="D94" t="s">
        <v>745</v>
      </c>
      <c r="E94" s="21">
        <v>1994</v>
      </c>
      <c r="F94" s="12" t="s">
        <v>622</v>
      </c>
      <c r="G94" s="16"/>
      <c r="H94" s="14" t="s">
        <v>421</v>
      </c>
      <c r="I94" s="17" t="s">
        <v>525</v>
      </c>
      <c r="L94"/>
      <c r="O94" t="s">
        <v>26</v>
      </c>
      <c r="P94" t="s">
        <v>27</v>
      </c>
      <c r="R94" s="21">
        <v>4</v>
      </c>
      <c r="S94" s="21">
        <v>24.2</v>
      </c>
      <c r="T94" s="23"/>
      <c r="U94" s="21">
        <v>8.73</v>
      </c>
      <c r="V94" s="8" t="s">
        <v>522</v>
      </c>
    </row>
    <row r="95" spans="2:22" hidden="1">
      <c r="B95" t="s">
        <v>510</v>
      </c>
      <c r="C95" t="s">
        <v>17</v>
      </c>
      <c r="D95" t="s">
        <v>745</v>
      </c>
      <c r="E95" s="21" t="s">
        <v>448</v>
      </c>
      <c r="F95" s="12" t="s">
        <v>622</v>
      </c>
      <c r="G95" s="21"/>
      <c r="H95" s="17" t="s">
        <v>411</v>
      </c>
      <c r="I95" s="17" t="s">
        <v>267</v>
      </c>
      <c r="L95"/>
      <c r="O95" t="s">
        <v>26</v>
      </c>
      <c r="P95" t="s">
        <v>27</v>
      </c>
      <c r="R95" s="21">
        <v>2</v>
      </c>
      <c r="S95" s="21">
        <v>17.600000000000001</v>
      </c>
      <c r="T95" s="23"/>
      <c r="U95" s="21">
        <v>12.8</v>
      </c>
      <c r="V95" s="8" t="s">
        <v>509</v>
      </c>
    </row>
    <row r="96" spans="2:22" hidden="1">
      <c r="B96" t="s">
        <v>510</v>
      </c>
      <c r="C96" t="s">
        <v>17</v>
      </c>
      <c r="D96" t="s">
        <v>745</v>
      </c>
      <c r="E96" s="21" t="s">
        <v>448</v>
      </c>
      <c r="F96" s="12" t="s">
        <v>622</v>
      </c>
      <c r="G96" s="21"/>
      <c r="H96" s="17" t="s">
        <v>411</v>
      </c>
      <c r="I96" s="17" t="s">
        <v>18</v>
      </c>
      <c r="L96"/>
      <c r="O96" t="s">
        <v>26</v>
      </c>
      <c r="P96" t="s">
        <v>27</v>
      </c>
      <c r="R96" s="21">
        <v>1</v>
      </c>
      <c r="S96" s="21">
        <v>30</v>
      </c>
      <c r="T96" s="23"/>
      <c r="U96" s="21">
        <v>24.7</v>
      </c>
      <c r="V96" s="8" t="s">
        <v>509</v>
      </c>
    </row>
    <row r="97" spans="2:22" hidden="1">
      <c r="B97" t="s">
        <v>510</v>
      </c>
      <c r="C97" t="s">
        <v>17</v>
      </c>
      <c r="D97" t="s">
        <v>745</v>
      </c>
      <c r="E97" s="21" t="s">
        <v>448</v>
      </c>
      <c r="F97" s="12" t="s">
        <v>622</v>
      </c>
      <c r="G97" s="21"/>
      <c r="H97" s="17" t="s">
        <v>411</v>
      </c>
      <c r="I97" s="17" t="s">
        <v>419</v>
      </c>
      <c r="L97"/>
      <c r="O97" t="s">
        <v>26</v>
      </c>
      <c r="P97" t="s">
        <v>27</v>
      </c>
      <c r="R97" s="21">
        <v>3</v>
      </c>
      <c r="S97" s="21">
        <v>18.100000000000001</v>
      </c>
      <c r="T97" s="23"/>
      <c r="U97" s="21">
        <v>13.6</v>
      </c>
      <c r="V97" s="8" t="s">
        <v>509</v>
      </c>
    </row>
    <row r="98" spans="2:22" hidden="1">
      <c r="B98" t="s">
        <v>510</v>
      </c>
      <c r="C98" t="s">
        <v>17</v>
      </c>
      <c r="D98" t="s">
        <v>745</v>
      </c>
      <c r="E98" s="21" t="s">
        <v>448</v>
      </c>
      <c r="F98" s="12" t="s">
        <v>622</v>
      </c>
      <c r="G98" s="21"/>
      <c r="H98" s="17" t="s">
        <v>411</v>
      </c>
      <c r="I98" s="17" t="s">
        <v>420</v>
      </c>
      <c r="L98"/>
      <c r="O98" t="s">
        <v>26</v>
      </c>
      <c r="P98" t="s">
        <v>27</v>
      </c>
      <c r="R98" s="21">
        <v>3</v>
      </c>
      <c r="S98" s="24">
        <v>12.7</v>
      </c>
      <c r="T98" s="23"/>
      <c r="U98" s="21">
        <v>9.5</v>
      </c>
      <c r="V98" s="8" t="s">
        <v>509</v>
      </c>
    </row>
    <row r="99" spans="2:22" hidden="1">
      <c r="B99" t="s">
        <v>510</v>
      </c>
      <c r="C99" t="s">
        <v>17</v>
      </c>
      <c r="D99" t="s">
        <v>745</v>
      </c>
      <c r="E99" s="21" t="s">
        <v>448</v>
      </c>
      <c r="F99" s="12" t="s">
        <v>622</v>
      </c>
      <c r="G99" s="21"/>
      <c r="H99" s="17" t="s">
        <v>414</v>
      </c>
      <c r="I99" s="17" t="s">
        <v>438</v>
      </c>
      <c r="L99"/>
      <c r="O99" t="s">
        <v>26</v>
      </c>
      <c r="P99" t="s">
        <v>27</v>
      </c>
      <c r="R99" s="21">
        <v>3</v>
      </c>
      <c r="S99" s="21">
        <v>8.9</v>
      </c>
      <c r="T99" s="23"/>
      <c r="U99" s="21">
        <v>6.9</v>
      </c>
      <c r="V99" s="8" t="s">
        <v>509</v>
      </c>
    </row>
    <row r="100" spans="2:22" hidden="1">
      <c r="B100" t="s">
        <v>510</v>
      </c>
      <c r="C100" t="s">
        <v>17</v>
      </c>
      <c r="D100" t="s">
        <v>745</v>
      </c>
      <c r="E100" s="21" t="s">
        <v>448</v>
      </c>
      <c r="F100" s="12" t="s">
        <v>622</v>
      </c>
      <c r="G100" s="21"/>
      <c r="H100" s="17" t="s">
        <v>421</v>
      </c>
      <c r="I100" s="17" t="s">
        <v>422</v>
      </c>
      <c r="L100"/>
      <c r="O100" t="s">
        <v>26</v>
      </c>
      <c r="P100" t="s">
        <v>27</v>
      </c>
      <c r="R100" s="24">
        <v>2</v>
      </c>
      <c r="S100" s="21">
        <v>4.5999999999999996</v>
      </c>
      <c r="T100" s="23"/>
      <c r="U100" s="21">
        <v>4.5999999999999996</v>
      </c>
      <c r="V100" s="8" t="s">
        <v>509</v>
      </c>
    </row>
    <row r="101" spans="2:22" hidden="1">
      <c r="B101" t="s">
        <v>470</v>
      </c>
      <c r="C101" t="s">
        <v>17</v>
      </c>
      <c r="D101" t="s">
        <v>745</v>
      </c>
      <c r="E101" s="12" t="s">
        <v>475</v>
      </c>
      <c r="F101" s="12" t="s">
        <v>622</v>
      </c>
      <c r="H101" t="s">
        <v>477</v>
      </c>
      <c r="I101" t="s">
        <v>427</v>
      </c>
      <c r="L101"/>
      <c r="O101" t="s">
        <v>26</v>
      </c>
      <c r="P101" t="s">
        <v>27</v>
      </c>
      <c r="R101" s="12">
        <v>3</v>
      </c>
      <c r="S101" s="23">
        <v>21.9</v>
      </c>
      <c r="T101" s="23"/>
      <c r="U101" s="23"/>
      <c r="V101" s="8" t="s">
        <v>469</v>
      </c>
    </row>
    <row r="102" spans="2:22" hidden="1">
      <c r="B102" t="s">
        <v>470</v>
      </c>
      <c r="C102" t="s">
        <v>17</v>
      </c>
      <c r="D102" t="s">
        <v>745</v>
      </c>
      <c r="E102" s="12" t="s">
        <v>475</v>
      </c>
      <c r="F102" s="12" t="s">
        <v>622</v>
      </c>
      <c r="H102" t="s">
        <v>477</v>
      </c>
      <c r="I102" t="s">
        <v>427</v>
      </c>
      <c r="L102"/>
      <c r="O102" t="s">
        <v>476</v>
      </c>
      <c r="R102" s="12">
        <v>3</v>
      </c>
      <c r="S102" s="23">
        <v>0</v>
      </c>
      <c r="T102" s="23"/>
      <c r="U102" s="23"/>
      <c r="V102" s="8" t="s">
        <v>469</v>
      </c>
    </row>
    <row r="103" spans="2:22" hidden="1">
      <c r="B103" t="s">
        <v>470</v>
      </c>
      <c r="C103" t="s">
        <v>17</v>
      </c>
      <c r="D103" t="s">
        <v>745</v>
      </c>
      <c r="E103" s="12" t="s">
        <v>474</v>
      </c>
      <c r="F103" s="12" t="s">
        <v>620</v>
      </c>
      <c r="H103" t="s">
        <v>477</v>
      </c>
      <c r="I103" t="s">
        <v>427</v>
      </c>
      <c r="L103"/>
      <c r="O103" t="s">
        <v>26</v>
      </c>
      <c r="P103" t="s">
        <v>27</v>
      </c>
      <c r="R103" s="12">
        <v>3</v>
      </c>
      <c r="S103" s="23">
        <v>43</v>
      </c>
      <c r="T103" s="23"/>
      <c r="U103" s="23"/>
      <c r="V103" s="8" t="s">
        <v>469</v>
      </c>
    </row>
    <row r="104" spans="2:22" hidden="1">
      <c r="B104" t="s">
        <v>470</v>
      </c>
      <c r="C104" t="s">
        <v>17</v>
      </c>
      <c r="D104" t="s">
        <v>745</v>
      </c>
      <c r="E104" s="12" t="s">
        <v>474</v>
      </c>
      <c r="F104" s="12" t="s">
        <v>620</v>
      </c>
      <c r="H104" t="s">
        <v>477</v>
      </c>
      <c r="I104" t="s">
        <v>427</v>
      </c>
      <c r="L104"/>
      <c r="O104" t="s">
        <v>476</v>
      </c>
      <c r="R104" s="12">
        <v>3</v>
      </c>
      <c r="S104" s="23">
        <v>9.6999999999999993</v>
      </c>
      <c r="T104" s="23"/>
      <c r="U104" s="23"/>
      <c r="V104" s="8" t="s">
        <v>469</v>
      </c>
    </row>
    <row r="105" spans="2:22" hidden="1">
      <c r="B105" t="s">
        <v>481</v>
      </c>
      <c r="C105" t="s">
        <v>17</v>
      </c>
      <c r="D105" t="s">
        <v>745</v>
      </c>
      <c r="E105">
        <v>1997</v>
      </c>
      <c r="F105" s="12" t="s">
        <v>622</v>
      </c>
      <c r="G105" s="32" t="s">
        <v>737</v>
      </c>
      <c r="I105" t="s">
        <v>422</v>
      </c>
      <c r="L105"/>
      <c r="M105">
        <v>-4.2117000000000004</v>
      </c>
      <c r="N105">
        <v>39.346899999999998</v>
      </c>
      <c r="O105" t="s">
        <v>26</v>
      </c>
      <c r="P105" t="s">
        <v>27</v>
      </c>
      <c r="R105" s="12"/>
      <c r="S105" s="12">
        <v>21.21</v>
      </c>
      <c r="T105" s="23"/>
      <c r="U105" s="23"/>
      <c r="V105" s="8" t="s">
        <v>480</v>
      </c>
    </row>
    <row r="106" spans="2:22" hidden="1">
      <c r="B106" t="s">
        <v>481</v>
      </c>
      <c r="C106" t="s">
        <v>17</v>
      </c>
      <c r="D106" t="s">
        <v>745</v>
      </c>
      <c r="E106">
        <v>1997</v>
      </c>
      <c r="F106" s="12" t="s">
        <v>622</v>
      </c>
      <c r="G106" s="32" t="s">
        <v>737</v>
      </c>
      <c r="I106" t="s">
        <v>482</v>
      </c>
      <c r="L106"/>
      <c r="M106">
        <v>-4.0117000000000003</v>
      </c>
      <c r="N106">
        <v>39.435699999999997</v>
      </c>
      <c r="O106" t="s">
        <v>26</v>
      </c>
      <c r="P106" t="s">
        <v>27</v>
      </c>
      <c r="R106" s="12"/>
      <c r="S106" s="23">
        <v>17.78</v>
      </c>
      <c r="T106" s="23"/>
      <c r="U106" s="23"/>
      <c r="V106" s="8" t="s">
        <v>480</v>
      </c>
    </row>
    <row r="107" spans="2:22" hidden="1">
      <c r="B107" t="s">
        <v>481</v>
      </c>
      <c r="C107" t="s">
        <v>17</v>
      </c>
      <c r="D107" t="s">
        <v>745</v>
      </c>
      <c r="E107">
        <v>1997</v>
      </c>
      <c r="F107" s="12" t="s">
        <v>622</v>
      </c>
      <c r="I107" t="s">
        <v>414</v>
      </c>
      <c r="L107"/>
      <c r="M107">
        <v>-3.593</v>
      </c>
      <c r="N107">
        <v>39.450200000000002</v>
      </c>
      <c r="O107" t="s">
        <v>26</v>
      </c>
      <c r="P107" t="s">
        <v>27</v>
      </c>
      <c r="R107" s="12"/>
      <c r="S107" s="23">
        <v>41.98</v>
      </c>
      <c r="T107" s="23"/>
      <c r="U107" s="23"/>
      <c r="V107" s="8" t="s">
        <v>480</v>
      </c>
    </row>
    <row r="108" spans="2:22" hidden="1">
      <c r="B108" t="s">
        <v>481</v>
      </c>
      <c r="C108" t="s">
        <v>17</v>
      </c>
      <c r="D108" t="s">
        <v>745</v>
      </c>
      <c r="E108">
        <v>1997</v>
      </c>
      <c r="F108" s="12" t="s">
        <v>622</v>
      </c>
      <c r="G108" s="32" t="s">
        <v>737</v>
      </c>
      <c r="I108" t="s">
        <v>420</v>
      </c>
      <c r="L108"/>
      <c r="M108">
        <v>-3.5524</v>
      </c>
      <c r="N108">
        <v>39.472099999999998</v>
      </c>
      <c r="O108" t="s">
        <v>26</v>
      </c>
      <c r="P108" t="s">
        <v>27</v>
      </c>
      <c r="R108" s="12"/>
      <c r="S108" s="23">
        <v>22.03</v>
      </c>
      <c r="T108" s="23"/>
      <c r="U108" s="23"/>
      <c r="V108" s="8" t="s">
        <v>480</v>
      </c>
    </row>
    <row r="109" spans="2:22" hidden="1">
      <c r="B109" t="s">
        <v>481</v>
      </c>
      <c r="C109" t="s">
        <v>17</v>
      </c>
      <c r="D109" t="s">
        <v>745</v>
      </c>
      <c r="E109">
        <v>1997</v>
      </c>
      <c r="F109" s="12" t="s">
        <v>622</v>
      </c>
      <c r="G109" s="32" t="s">
        <v>737</v>
      </c>
      <c r="I109" t="s">
        <v>419</v>
      </c>
      <c r="L109"/>
      <c r="M109">
        <v>-3.4796</v>
      </c>
      <c r="N109">
        <v>39.5017</v>
      </c>
      <c r="O109" t="s">
        <v>26</v>
      </c>
      <c r="P109" t="s">
        <v>27</v>
      </c>
      <c r="R109" s="12"/>
      <c r="S109" s="23">
        <v>19.809999999999999</v>
      </c>
      <c r="T109" s="23"/>
      <c r="U109" s="23"/>
      <c r="V109" s="8" t="s">
        <v>480</v>
      </c>
    </row>
    <row r="110" spans="2:22" hidden="1">
      <c r="B110" t="s">
        <v>481</v>
      </c>
      <c r="C110" t="s">
        <v>17</v>
      </c>
      <c r="D110" t="s">
        <v>745</v>
      </c>
      <c r="E110">
        <v>1997</v>
      </c>
      <c r="F110" s="12" t="s">
        <v>622</v>
      </c>
      <c r="I110" t="s">
        <v>18</v>
      </c>
      <c r="L110"/>
      <c r="M110">
        <v>-3.2259000000000002</v>
      </c>
      <c r="N110">
        <v>39.593299999999999</v>
      </c>
      <c r="O110" t="s">
        <v>26</v>
      </c>
      <c r="P110" t="s">
        <v>27</v>
      </c>
      <c r="R110" s="12"/>
      <c r="S110" s="23">
        <v>37.67</v>
      </c>
      <c r="T110" s="23"/>
      <c r="U110" s="23"/>
      <c r="V110" s="8" t="s">
        <v>480</v>
      </c>
    </row>
    <row r="111" spans="2:22" hidden="1">
      <c r="B111" t="s">
        <v>481</v>
      </c>
      <c r="C111" t="s">
        <v>17</v>
      </c>
      <c r="D111" t="s">
        <v>745</v>
      </c>
      <c r="E111">
        <v>1997</v>
      </c>
      <c r="F111" s="12" t="s">
        <v>622</v>
      </c>
      <c r="I111" t="s">
        <v>267</v>
      </c>
      <c r="L111"/>
      <c r="M111">
        <v>-3.1534</v>
      </c>
      <c r="N111">
        <v>40.084400000000002</v>
      </c>
      <c r="O111" t="s">
        <v>26</v>
      </c>
      <c r="P111" t="s">
        <v>27</v>
      </c>
      <c r="R111" s="12"/>
      <c r="S111" s="23">
        <v>44.22</v>
      </c>
      <c r="T111" s="23"/>
      <c r="U111" s="23"/>
      <c r="V111" s="8" t="s">
        <v>480</v>
      </c>
    </row>
    <row r="112" spans="2:22" hidden="1">
      <c r="B112" t="s">
        <v>481</v>
      </c>
      <c r="C112" t="s">
        <v>17</v>
      </c>
      <c r="D112" t="s">
        <v>745</v>
      </c>
      <c r="E112">
        <v>1997</v>
      </c>
      <c r="F112" s="12" t="s">
        <v>622</v>
      </c>
      <c r="G112" s="12" t="s">
        <v>732</v>
      </c>
      <c r="I112" t="s">
        <v>427</v>
      </c>
      <c r="L112"/>
      <c r="M112">
        <v>-4.7089999999999996</v>
      </c>
      <c r="N112">
        <v>39.3703</v>
      </c>
      <c r="O112" t="s">
        <v>26</v>
      </c>
      <c r="P112" t="s">
        <v>27</v>
      </c>
      <c r="R112" s="12"/>
      <c r="S112" s="23">
        <v>22.23</v>
      </c>
      <c r="T112" s="23"/>
      <c r="U112" s="23"/>
      <c r="V112" s="8" t="s">
        <v>480</v>
      </c>
    </row>
    <row r="113" spans="2:22" hidden="1">
      <c r="B113" t="s">
        <v>481</v>
      </c>
      <c r="C113" t="s">
        <v>17</v>
      </c>
      <c r="D113" t="s">
        <v>745</v>
      </c>
      <c r="E113">
        <v>1999</v>
      </c>
      <c r="F113" s="12" t="s">
        <v>620</v>
      </c>
      <c r="I113" t="s">
        <v>422</v>
      </c>
      <c r="L113"/>
      <c r="M113">
        <v>-4.2117000000000004</v>
      </c>
      <c r="N113">
        <v>39.346899999999998</v>
      </c>
      <c r="O113" t="s">
        <v>26</v>
      </c>
      <c r="P113" t="s">
        <v>27</v>
      </c>
      <c r="R113" s="12"/>
      <c r="S113" s="12">
        <v>8.34</v>
      </c>
      <c r="T113" s="23"/>
      <c r="U113" s="23"/>
      <c r="V113" s="8" t="s">
        <v>480</v>
      </c>
    </row>
    <row r="114" spans="2:22" hidden="1">
      <c r="B114" t="s">
        <v>481</v>
      </c>
      <c r="C114" t="s">
        <v>17</v>
      </c>
      <c r="D114" t="s">
        <v>745</v>
      </c>
      <c r="E114">
        <v>1999</v>
      </c>
      <c r="F114" s="12" t="s">
        <v>620</v>
      </c>
      <c r="I114" t="s">
        <v>482</v>
      </c>
      <c r="L114"/>
      <c r="M114">
        <v>-4.0117000000000003</v>
      </c>
      <c r="N114">
        <v>39.435699999999997</v>
      </c>
      <c r="O114" t="s">
        <v>26</v>
      </c>
      <c r="P114" t="s">
        <v>27</v>
      </c>
      <c r="R114" s="12"/>
      <c r="S114" s="23">
        <v>5.26</v>
      </c>
      <c r="T114" s="23"/>
      <c r="U114" s="23"/>
      <c r="V114" s="8" t="s">
        <v>480</v>
      </c>
    </row>
    <row r="115" spans="2:22" hidden="1">
      <c r="B115" t="s">
        <v>481</v>
      </c>
      <c r="C115" t="s">
        <v>17</v>
      </c>
      <c r="D115" t="s">
        <v>745</v>
      </c>
      <c r="E115">
        <v>1999</v>
      </c>
      <c r="F115" s="12" t="s">
        <v>620</v>
      </c>
      <c r="I115" t="s">
        <v>414</v>
      </c>
      <c r="L115"/>
      <c r="M115">
        <v>-3.593</v>
      </c>
      <c r="N115">
        <v>39.450200000000002</v>
      </c>
      <c r="O115" t="s">
        <v>26</v>
      </c>
      <c r="P115" t="s">
        <v>27</v>
      </c>
      <c r="R115" s="12"/>
      <c r="S115" s="23">
        <v>18.75</v>
      </c>
      <c r="T115" s="23"/>
      <c r="U115" s="23"/>
      <c r="V115" s="8" t="s">
        <v>480</v>
      </c>
    </row>
    <row r="116" spans="2:22" hidden="1">
      <c r="B116" t="s">
        <v>481</v>
      </c>
      <c r="C116" t="s">
        <v>17</v>
      </c>
      <c r="D116" t="s">
        <v>745</v>
      </c>
      <c r="E116">
        <v>1999</v>
      </c>
      <c r="F116" s="12" t="s">
        <v>620</v>
      </c>
      <c r="I116" t="s">
        <v>420</v>
      </c>
      <c r="L116"/>
      <c r="M116">
        <v>-3.5524</v>
      </c>
      <c r="N116">
        <v>39.472099999999998</v>
      </c>
      <c r="O116" t="s">
        <v>26</v>
      </c>
      <c r="P116" t="s">
        <v>27</v>
      </c>
      <c r="R116" s="12"/>
      <c r="S116" s="23">
        <v>21.51</v>
      </c>
      <c r="T116" s="23"/>
      <c r="U116" s="23"/>
      <c r="V116" s="8" t="s">
        <v>480</v>
      </c>
    </row>
    <row r="117" spans="2:22" hidden="1">
      <c r="B117" t="s">
        <v>481</v>
      </c>
      <c r="C117" t="s">
        <v>17</v>
      </c>
      <c r="D117" t="s">
        <v>745</v>
      </c>
      <c r="E117">
        <v>1999</v>
      </c>
      <c r="F117" s="12" t="s">
        <v>620</v>
      </c>
      <c r="I117" t="s">
        <v>419</v>
      </c>
      <c r="L117"/>
      <c r="M117">
        <v>-3.4796</v>
      </c>
      <c r="N117">
        <v>39.5017</v>
      </c>
      <c r="O117" t="s">
        <v>26</v>
      </c>
      <c r="P117" t="s">
        <v>27</v>
      </c>
      <c r="R117" s="12"/>
      <c r="S117" s="23">
        <v>7.86</v>
      </c>
      <c r="T117" s="23"/>
      <c r="U117" s="23"/>
      <c r="V117" s="8" t="s">
        <v>480</v>
      </c>
    </row>
    <row r="118" spans="2:22" hidden="1">
      <c r="B118" t="s">
        <v>481</v>
      </c>
      <c r="C118" t="s">
        <v>17</v>
      </c>
      <c r="D118" t="s">
        <v>745</v>
      </c>
      <c r="E118">
        <v>1999</v>
      </c>
      <c r="F118" s="12" t="s">
        <v>620</v>
      </c>
      <c r="I118" t="s">
        <v>18</v>
      </c>
      <c r="L118"/>
      <c r="M118">
        <v>-3.2259000000000002</v>
      </c>
      <c r="N118">
        <v>39.593299999999999</v>
      </c>
      <c r="O118" t="s">
        <v>26</v>
      </c>
      <c r="P118" t="s">
        <v>27</v>
      </c>
      <c r="R118" s="12"/>
      <c r="S118" s="23">
        <v>8.99</v>
      </c>
      <c r="T118" s="23"/>
      <c r="U118" s="23"/>
      <c r="V118" s="8" t="s">
        <v>480</v>
      </c>
    </row>
    <row r="119" spans="2:22" hidden="1">
      <c r="B119" t="s">
        <v>481</v>
      </c>
      <c r="C119" t="s">
        <v>17</v>
      </c>
      <c r="D119" t="s">
        <v>745</v>
      </c>
      <c r="E119">
        <v>1999</v>
      </c>
      <c r="F119" s="12" t="s">
        <v>620</v>
      </c>
      <c r="I119" t="s">
        <v>267</v>
      </c>
      <c r="L119"/>
      <c r="M119">
        <v>-3.1534</v>
      </c>
      <c r="N119">
        <v>40.084400000000002</v>
      </c>
      <c r="O119" t="s">
        <v>26</v>
      </c>
      <c r="P119" t="s">
        <v>27</v>
      </c>
      <c r="R119" s="12"/>
      <c r="S119" s="23">
        <v>11.09</v>
      </c>
      <c r="T119" s="23"/>
      <c r="U119" s="23"/>
      <c r="V119" s="8" t="s">
        <v>480</v>
      </c>
    </row>
    <row r="120" spans="2:22" hidden="1">
      <c r="B120" t="s">
        <v>481</v>
      </c>
      <c r="C120" t="s">
        <v>17</v>
      </c>
      <c r="D120" t="s">
        <v>745</v>
      </c>
      <c r="E120">
        <v>1999</v>
      </c>
      <c r="F120" s="12" t="s">
        <v>620</v>
      </c>
      <c r="I120" t="s">
        <v>427</v>
      </c>
      <c r="L120"/>
      <c r="M120">
        <v>-4.7089999999999996</v>
      </c>
      <c r="N120">
        <v>39.3703</v>
      </c>
      <c r="O120" t="s">
        <v>26</v>
      </c>
      <c r="P120" t="s">
        <v>27</v>
      </c>
      <c r="R120" s="12"/>
      <c r="S120" s="23">
        <v>9.98</v>
      </c>
      <c r="T120" s="23"/>
      <c r="U120" s="23"/>
      <c r="V120" s="8" t="s">
        <v>480</v>
      </c>
    </row>
    <row r="121" spans="2:22" hidden="1">
      <c r="B121" t="s">
        <v>494</v>
      </c>
      <c r="C121" t="s">
        <v>17</v>
      </c>
      <c r="D121" t="s">
        <v>745</v>
      </c>
      <c r="E121" s="12" t="s">
        <v>495</v>
      </c>
      <c r="F121" s="12" t="s">
        <v>622</v>
      </c>
      <c r="I121" t="s">
        <v>502</v>
      </c>
      <c r="L121"/>
      <c r="O121" t="s">
        <v>26</v>
      </c>
      <c r="P121" t="s">
        <v>27</v>
      </c>
      <c r="R121" s="12">
        <v>4</v>
      </c>
      <c r="S121" s="23">
        <v>18.899999999999999</v>
      </c>
      <c r="T121" s="23"/>
      <c r="U121" s="23">
        <v>5.2</v>
      </c>
      <c r="V121" s="8" t="s">
        <v>493</v>
      </c>
    </row>
    <row r="122" spans="2:22" hidden="1">
      <c r="B122" t="s">
        <v>494</v>
      </c>
      <c r="C122" t="s">
        <v>17</v>
      </c>
      <c r="D122" t="s">
        <v>745</v>
      </c>
      <c r="E122" s="12" t="s">
        <v>495</v>
      </c>
      <c r="F122" s="12" t="s">
        <v>622</v>
      </c>
      <c r="I122" t="s">
        <v>503</v>
      </c>
      <c r="L122"/>
      <c r="O122" t="s">
        <v>26</v>
      </c>
      <c r="P122" t="s">
        <v>27</v>
      </c>
      <c r="R122" s="12">
        <v>4</v>
      </c>
      <c r="S122" s="23">
        <v>34.799999999999997</v>
      </c>
      <c r="T122" s="23"/>
      <c r="U122" s="23">
        <v>4.5</v>
      </c>
      <c r="V122" s="8" t="s">
        <v>493</v>
      </c>
    </row>
    <row r="123" spans="2:22" hidden="1">
      <c r="B123" t="s">
        <v>494</v>
      </c>
      <c r="C123" t="s">
        <v>17</v>
      </c>
      <c r="D123" t="s">
        <v>745</v>
      </c>
      <c r="E123" s="12">
        <v>2005</v>
      </c>
      <c r="F123" s="12" t="s">
        <v>620</v>
      </c>
      <c r="I123" t="s">
        <v>502</v>
      </c>
      <c r="L123"/>
      <c r="O123" t="s">
        <v>26</v>
      </c>
      <c r="P123" t="s">
        <v>27</v>
      </c>
      <c r="R123" s="12">
        <v>4</v>
      </c>
      <c r="S123" s="23">
        <v>20</v>
      </c>
      <c r="T123" s="23"/>
      <c r="U123" s="23">
        <v>4</v>
      </c>
      <c r="V123" s="8" t="s">
        <v>493</v>
      </c>
    </row>
    <row r="124" spans="2:22" hidden="1">
      <c r="B124" t="s">
        <v>494</v>
      </c>
      <c r="C124" t="s">
        <v>17</v>
      </c>
      <c r="D124" t="s">
        <v>745</v>
      </c>
      <c r="E124" s="12">
        <v>2005</v>
      </c>
      <c r="F124" s="12" t="s">
        <v>620</v>
      </c>
      <c r="I124" t="s">
        <v>503</v>
      </c>
      <c r="L124"/>
      <c r="O124" t="s">
        <v>26</v>
      </c>
      <c r="P124" t="s">
        <v>27</v>
      </c>
      <c r="R124" s="12">
        <v>4</v>
      </c>
      <c r="S124" s="23">
        <v>26.8</v>
      </c>
      <c r="T124" s="23"/>
      <c r="U124" s="23">
        <v>8.1</v>
      </c>
      <c r="V124" s="8" t="s">
        <v>493</v>
      </c>
    </row>
    <row r="125" spans="2:22" hidden="1">
      <c r="B125" t="s">
        <v>512</v>
      </c>
      <c r="C125" t="s">
        <v>17</v>
      </c>
      <c r="D125" t="s">
        <v>745</v>
      </c>
      <c r="E125" s="12" t="s">
        <v>262</v>
      </c>
      <c r="H125" t="s">
        <v>513</v>
      </c>
      <c r="K125" t="s">
        <v>514</v>
      </c>
      <c r="L125" t="s">
        <v>516</v>
      </c>
      <c r="O125" t="s">
        <v>26</v>
      </c>
      <c r="P125" t="s">
        <v>27</v>
      </c>
      <c r="R125" s="12">
        <v>7</v>
      </c>
      <c r="S125" s="23">
        <v>8.1</v>
      </c>
      <c r="T125" s="23">
        <v>4.9000000000000004</v>
      </c>
      <c r="U125" s="23"/>
      <c r="V125" s="8" t="s">
        <v>511</v>
      </c>
    </row>
    <row r="126" spans="2:22" hidden="1">
      <c r="B126" t="s">
        <v>517</v>
      </c>
      <c r="C126" t="s">
        <v>17</v>
      </c>
      <c r="D126" t="s">
        <v>745</v>
      </c>
      <c r="E126" s="12" t="s">
        <v>239</v>
      </c>
      <c r="F126" s="12" t="s">
        <v>622</v>
      </c>
      <c r="H126" t="s">
        <v>278</v>
      </c>
      <c r="K126" t="s">
        <v>518</v>
      </c>
      <c r="L126"/>
      <c r="O126" t="s">
        <v>26</v>
      </c>
      <c r="P126" t="s">
        <v>27</v>
      </c>
      <c r="R126" s="12">
        <v>3</v>
      </c>
      <c r="S126" s="23">
        <v>21.4</v>
      </c>
      <c r="T126" s="23"/>
      <c r="U126" s="23">
        <v>4.3499999999999996</v>
      </c>
      <c r="V126" s="8" t="s">
        <v>519</v>
      </c>
    </row>
    <row r="127" spans="2:22" hidden="1">
      <c r="B127" t="s">
        <v>517</v>
      </c>
      <c r="C127" t="s">
        <v>17</v>
      </c>
      <c r="D127" t="s">
        <v>745</v>
      </c>
      <c r="E127" s="12" t="s">
        <v>239</v>
      </c>
      <c r="F127" s="12" t="s">
        <v>622</v>
      </c>
      <c r="H127" t="s">
        <v>521</v>
      </c>
      <c r="K127" t="s">
        <v>518</v>
      </c>
      <c r="L127"/>
      <c r="O127" t="s">
        <v>26</v>
      </c>
      <c r="P127" t="s">
        <v>27</v>
      </c>
      <c r="R127" s="12">
        <v>1</v>
      </c>
      <c r="S127" s="23">
        <v>31.75</v>
      </c>
      <c r="T127" s="23"/>
      <c r="U127" s="23">
        <v>0.74</v>
      </c>
      <c r="V127" s="8" t="s">
        <v>519</v>
      </c>
    </row>
    <row r="128" spans="2:22" hidden="1">
      <c r="B128" t="s">
        <v>517</v>
      </c>
      <c r="C128" t="s">
        <v>17</v>
      </c>
      <c r="D128" t="s">
        <v>745</v>
      </c>
      <c r="E128" s="12" t="s">
        <v>239</v>
      </c>
      <c r="F128" s="12" t="s">
        <v>622</v>
      </c>
      <c r="H128" t="s">
        <v>520</v>
      </c>
      <c r="K128" t="s">
        <v>518</v>
      </c>
      <c r="L128"/>
      <c r="O128" t="s">
        <v>26</v>
      </c>
      <c r="P128" t="s">
        <v>27</v>
      </c>
      <c r="R128" s="12">
        <v>4</v>
      </c>
      <c r="S128" s="23">
        <v>13.3</v>
      </c>
      <c r="T128" s="23"/>
      <c r="U128" s="23">
        <v>2.7</v>
      </c>
      <c r="V128" s="8" t="s">
        <v>519</v>
      </c>
    </row>
    <row r="129" spans="2:22" hidden="1">
      <c r="B129" t="s">
        <v>527</v>
      </c>
      <c r="C129" t="s">
        <v>17</v>
      </c>
      <c r="D129" t="s">
        <v>745</v>
      </c>
      <c r="E129" s="12" t="s">
        <v>534</v>
      </c>
      <c r="F129" s="12" t="s">
        <v>622</v>
      </c>
      <c r="H129" t="s">
        <v>528</v>
      </c>
      <c r="L129"/>
      <c r="O129" t="s">
        <v>26</v>
      </c>
      <c r="P129" t="s">
        <v>27</v>
      </c>
      <c r="R129" s="12"/>
      <c r="S129" s="23">
        <v>16</v>
      </c>
      <c r="T129" s="23"/>
      <c r="U129" s="23">
        <v>1.6</v>
      </c>
      <c r="V129" s="8" t="s">
        <v>526</v>
      </c>
    </row>
    <row r="130" spans="2:22" hidden="1">
      <c r="B130" t="s">
        <v>527</v>
      </c>
      <c r="C130" t="s">
        <v>17</v>
      </c>
      <c r="D130" t="s">
        <v>745</v>
      </c>
      <c r="E130" s="12" t="s">
        <v>534</v>
      </c>
      <c r="F130" s="12" t="s">
        <v>622</v>
      </c>
      <c r="H130" t="s">
        <v>529</v>
      </c>
      <c r="L130"/>
      <c r="O130" t="s">
        <v>26</v>
      </c>
      <c r="P130" t="s">
        <v>27</v>
      </c>
      <c r="R130" s="12"/>
      <c r="S130" s="23">
        <v>11</v>
      </c>
      <c r="T130" s="23"/>
      <c r="U130" s="23">
        <v>1.2</v>
      </c>
      <c r="V130" s="8" t="s">
        <v>526</v>
      </c>
    </row>
    <row r="131" spans="2:22" hidden="1">
      <c r="B131" t="s">
        <v>527</v>
      </c>
      <c r="C131" t="s">
        <v>17</v>
      </c>
      <c r="D131" t="s">
        <v>745</v>
      </c>
      <c r="E131" s="12" t="s">
        <v>534</v>
      </c>
      <c r="F131" s="12" t="s">
        <v>622</v>
      </c>
      <c r="H131" t="s">
        <v>530</v>
      </c>
      <c r="L131"/>
      <c r="O131" t="s">
        <v>26</v>
      </c>
      <c r="P131" t="s">
        <v>27</v>
      </c>
      <c r="R131" s="12"/>
      <c r="S131" s="23">
        <v>28.5</v>
      </c>
      <c r="T131" s="23"/>
      <c r="U131" s="23">
        <v>1.1000000000000001</v>
      </c>
      <c r="V131" s="8" t="s">
        <v>526</v>
      </c>
    </row>
    <row r="132" spans="2:22" hidden="1">
      <c r="B132" t="s">
        <v>527</v>
      </c>
      <c r="C132" t="s">
        <v>17</v>
      </c>
      <c r="D132" t="s">
        <v>745</v>
      </c>
      <c r="E132" s="12" t="s">
        <v>534</v>
      </c>
      <c r="F132" s="12" t="s">
        <v>622</v>
      </c>
      <c r="H132" t="s">
        <v>531</v>
      </c>
      <c r="L132"/>
      <c r="O132" t="s">
        <v>26</v>
      </c>
      <c r="P132" t="s">
        <v>27</v>
      </c>
      <c r="R132" s="12"/>
      <c r="S132" s="23">
        <v>21.7</v>
      </c>
      <c r="T132" s="23"/>
      <c r="U132" s="23">
        <v>0.9</v>
      </c>
      <c r="V132" s="8" t="s">
        <v>526</v>
      </c>
    </row>
    <row r="133" spans="2:22" hidden="1">
      <c r="B133" t="s">
        <v>527</v>
      </c>
      <c r="C133" t="s">
        <v>17</v>
      </c>
      <c r="D133" t="s">
        <v>745</v>
      </c>
      <c r="E133" s="12" t="s">
        <v>534</v>
      </c>
      <c r="F133" s="12" t="s">
        <v>622</v>
      </c>
      <c r="H133" t="s">
        <v>532</v>
      </c>
      <c r="L133"/>
      <c r="O133" t="s">
        <v>26</v>
      </c>
      <c r="P133" t="s">
        <v>27</v>
      </c>
      <c r="R133" s="12"/>
      <c r="S133" s="23">
        <v>27.5</v>
      </c>
      <c r="T133" s="23"/>
      <c r="U133" s="23">
        <v>1.5</v>
      </c>
      <c r="V133" s="8" t="s">
        <v>526</v>
      </c>
    </row>
    <row r="134" spans="2:22" hidden="1">
      <c r="B134" t="s">
        <v>527</v>
      </c>
      <c r="C134" t="s">
        <v>17</v>
      </c>
      <c r="D134" t="s">
        <v>745</v>
      </c>
      <c r="E134" s="12" t="s">
        <v>534</v>
      </c>
      <c r="F134" s="12" t="s">
        <v>622</v>
      </c>
      <c r="H134" t="s">
        <v>533</v>
      </c>
      <c r="L134"/>
      <c r="O134" t="s">
        <v>26</v>
      </c>
      <c r="P134" t="s">
        <v>27</v>
      </c>
      <c r="R134" s="12"/>
      <c r="S134" s="23">
        <v>23.9</v>
      </c>
      <c r="T134" s="23"/>
      <c r="U134" s="23">
        <v>1.3</v>
      </c>
      <c r="V134" s="8" t="s">
        <v>526</v>
      </c>
    </row>
    <row r="135" spans="2:22" hidden="1">
      <c r="B135" t="s">
        <v>481</v>
      </c>
      <c r="C135" t="s">
        <v>40</v>
      </c>
      <c r="E135">
        <v>1999</v>
      </c>
      <c r="F135" s="12" t="s">
        <v>620</v>
      </c>
      <c r="H135" t="s">
        <v>483</v>
      </c>
      <c r="I135" t="s">
        <v>484</v>
      </c>
      <c r="L135"/>
      <c r="M135">
        <v>-10.185370000000001</v>
      </c>
      <c r="N135">
        <v>40.220799999999997</v>
      </c>
      <c r="O135" t="s">
        <v>26</v>
      </c>
      <c r="P135" t="s">
        <v>27</v>
      </c>
      <c r="S135" s="23">
        <v>20</v>
      </c>
      <c r="T135" s="23"/>
      <c r="U135" s="23"/>
      <c r="V135" s="8" t="s">
        <v>480</v>
      </c>
    </row>
    <row r="136" spans="2:22" hidden="1">
      <c r="B136" t="s">
        <v>481</v>
      </c>
      <c r="C136" t="s">
        <v>40</v>
      </c>
      <c r="D136" t="s">
        <v>745</v>
      </c>
      <c r="E136">
        <v>1999</v>
      </c>
      <c r="F136" s="12" t="s">
        <v>620</v>
      </c>
      <c r="H136" t="s">
        <v>322</v>
      </c>
      <c r="I136" t="s">
        <v>485</v>
      </c>
      <c r="L136"/>
      <c r="M136">
        <v>-5.1512700000000002</v>
      </c>
      <c r="N136">
        <v>39.350659999999998</v>
      </c>
      <c r="O136" t="s">
        <v>26</v>
      </c>
      <c r="P136" t="s">
        <v>27</v>
      </c>
      <c r="S136" s="23">
        <v>5</v>
      </c>
      <c r="T136" s="23"/>
      <c r="U136" s="23"/>
      <c r="V136" s="8" t="s">
        <v>480</v>
      </c>
    </row>
    <row r="137" spans="2:22" hidden="1">
      <c r="B137" t="s">
        <v>481</v>
      </c>
      <c r="C137" t="s">
        <v>40</v>
      </c>
      <c r="D137" t="s">
        <v>745</v>
      </c>
      <c r="E137">
        <v>1999</v>
      </c>
      <c r="F137" s="12" t="s">
        <v>620</v>
      </c>
      <c r="H137" t="s">
        <v>322</v>
      </c>
      <c r="I137" t="s">
        <v>486</v>
      </c>
      <c r="L137"/>
      <c r="M137">
        <v>-5.1413700000000002</v>
      </c>
      <c r="N137">
        <v>39.353960000000001</v>
      </c>
      <c r="O137" t="s">
        <v>26</v>
      </c>
      <c r="P137" t="s">
        <v>27</v>
      </c>
      <c r="S137" s="23">
        <v>17</v>
      </c>
      <c r="T137" s="23"/>
      <c r="U137" s="23"/>
      <c r="V137" s="8" t="s">
        <v>480</v>
      </c>
    </row>
    <row r="138" spans="2:22" hidden="1">
      <c r="B138" t="s">
        <v>481</v>
      </c>
      <c r="C138" t="s">
        <v>40</v>
      </c>
      <c r="D138" t="s">
        <v>745</v>
      </c>
      <c r="E138">
        <v>1999</v>
      </c>
      <c r="F138" s="12" t="s">
        <v>620</v>
      </c>
      <c r="H138" t="s">
        <v>322</v>
      </c>
      <c r="I138" t="s">
        <v>487</v>
      </c>
      <c r="L138"/>
      <c r="M138">
        <v>-5.1401199999999996</v>
      </c>
      <c r="N138">
        <v>39.354529999999997</v>
      </c>
      <c r="O138" t="s">
        <v>26</v>
      </c>
      <c r="P138" t="s">
        <v>27</v>
      </c>
      <c r="S138" s="23">
        <v>7</v>
      </c>
      <c r="T138" s="23"/>
      <c r="U138" s="23"/>
      <c r="V138" s="8" t="s">
        <v>480</v>
      </c>
    </row>
    <row r="139" spans="2:22" hidden="1">
      <c r="B139" t="s">
        <v>481</v>
      </c>
      <c r="C139" t="s">
        <v>40</v>
      </c>
      <c r="E139">
        <v>1999</v>
      </c>
      <c r="F139" s="12" t="s">
        <v>620</v>
      </c>
      <c r="H139" t="s">
        <v>488</v>
      </c>
      <c r="I139" t="s">
        <v>489</v>
      </c>
      <c r="L139"/>
      <c r="M139">
        <v>-8.4218700000000002</v>
      </c>
      <c r="N139">
        <v>39.2622</v>
      </c>
      <c r="O139" t="s">
        <v>26</v>
      </c>
      <c r="P139" t="s">
        <v>27</v>
      </c>
      <c r="S139" s="23">
        <v>30</v>
      </c>
      <c r="T139" s="23"/>
      <c r="U139" s="23"/>
      <c r="V139" s="8" t="s">
        <v>480</v>
      </c>
    </row>
    <row r="140" spans="2:22" hidden="1">
      <c r="B140" t="s">
        <v>481</v>
      </c>
      <c r="C140" t="s">
        <v>40</v>
      </c>
      <c r="E140">
        <v>1999</v>
      </c>
      <c r="F140" s="12" t="s">
        <v>620</v>
      </c>
      <c r="H140" t="s">
        <v>488</v>
      </c>
      <c r="I140" t="s">
        <v>490</v>
      </c>
      <c r="L140"/>
      <c r="M140">
        <v>-8.3805899999999998</v>
      </c>
      <c r="N140">
        <v>39.261510000000001</v>
      </c>
      <c r="O140" t="s">
        <v>26</v>
      </c>
      <c r="P140" t="s">
        <v>27</v>
      </c>
      <c r="S140" s="23">
        <v>30</v>
      </c>
      <c r="T140" s="23"/>
      <c r="U140" s="23"/>
      <c r="V140" s="8" t="s">
        <v>480</v>
      </c>
    </row>
    <row r="141" spans="2:22" hidden="1">
      <c r="B141" t="s">
        <v>481</v>
      </c>
      <c r="C141" t="s">
        <v>40</v>
      </c>
      <c r="D141" t="s">
        <v>745</v>
      </c>
      <c r="E141">
        <v>1999</v>
      </c>
      <c r="F141" s="12" t="s">
        <v>620</v>
      </c>
      <c r="H141" t="s">
        <v>458</v>
      </c>
      <c r="I141" t="s">
        <v>491</v>
      </c>
      <c r="L141"/>
      <c r="M141">
        <v>-5.1856999999999998</v>
      </c>
      <c r="N141">
        <v>39.044440000000002</v>
      </c>
      <c r="O141" t="s">
        <v>26</v>
      </c>
      <c r="P141" t="s">
        <v>27</v>
      </c>
      <c r="S141" s="23">
        <v>42</v>
      </c>
      <c r="T141" s="23"/>
      <c r="U141" s="23"/>
      <c r="V141" s="8" t="s">
        <v>480</v>
      </c>
    </row>
    <row r="142" spans="2:22" hidden="1">
      <c r="B142" t="s">
        <v>481</v>
      </c>
      <c r="C142" t="s">
        <v>40</v>
      </c>
      <c r="D142" t="s">
        <v>745</v>
      </c>
      <c r="E142">
        <v>1999</v>
      </c>
      <c r="F142" s="12" t="s">
        <v>620</v>
      </c>
      <c r="H142" t="s">
        <v>458</v>
      </c>
      <c r="I142" t="s">
        <v>461</v>
      </c>
      <c r="L142"/>
      <c r="M142">
        <v>-5.1830800000000004</v>
      </c>
      <c r="N142">
        <v>39.035290000000003</v>
      </c>
      <c r="O142" t="s">
        <v>26</v>
      </c>
      <c r="P142" t="s">
        <v>27</v>
      </c>
      <c r="S142" s="23">
        <v>30</v>
      </c>
      <c r="T142" s="23"/>
      <c r="U142" s="23"/>
      <c r="V142" s="8" t="s">
        <v>480</v>
      </c>
    </row>
    <row r="143" spans="2:22" hidden="1">
      <c r="B143" t="s">
        <v>481</v>
      </c>
      <c r="C143" t="s">
        <v>40</v>
      </c>
      <c r="D143" t="s">
        <v>745</v>
      </c>
      <c r="E143">
        <v>1999</v>
      </c>
      <c r="F143" s="12" t="s">
        <v>620</v>
      </c>
      <c r="H143" t="s">
        <v>458</v>
      </c>
      <c r="I143" t="s">
        <v>459</v>
      </c>
      <c r="L143"/>
      <c r="M143">
        <v>-5.1735699999999998</v>
      </c>
      <c r="N143">
        <v>39.054609999999997</v>
      </c>
      <c r="O143" t="s">
        <v>26</v>
      </c>
      <c r="P143" t="s">
        <v>27</v>
      </c>
      <c r="S143" s="23">
        <v>16</v>
      </c>
      <c r="T143" s="23"/>
      <c r="U143" s="23"/>
      <c r="V143" s="8" t="s">
        <v>480</v>
      </c>
    </row>
    <row r="144" spans="2:22" hidden="1">
      <c r="B144" t="s">
        <v>481</v>
      </c>
      <c r="C144" t="s">
        <v>40</v>
      </c>
      <c r="D144" t="s">
        <v>745</v>
      </c>
      <c r="E144">
        <v>1999</v>
      </c>
      <c r="F144" s="12" t="s">
        <v>620</v>
      </c>
      <c r="H144" t="s">
        <v>458</v>
      </c>
      <c r="I144" t="s">
        <v>460</v>
      </c>
      <c r="L144"/>
      <c r="M144">
        <v>-5.1712999999999996</v>
      </c>
      <c r="N144">
        <v>39.043039999999998</v>
      </c>
      <c r="O144" t="s">
        <v>26</v>
      </c>
      <c r="P144" t="s">
        <v>27</v>
      </c>
      <c r="S144" s="23">
        <v>45</v>
      </c>
      <c r="T144" s="23"/>
      <c r="U144" s="23"/>
      <c r="V144" s="8" t="s">
        <v>480</v>
      </c>
    </row>
    <row r="145" spans="2:23" hidden="1">
      <c r="B145" t="s">
        <v>481</v>
      </c>
      <c r="C145" t="s">
        <v>40</v>
      </c>
      <c r="D145" t="s">
        <v>745</v>
      </c>
      <c r="E145">
        <v>1999</v>
      </c>
      <c r="F145" s="12" t="s">
        <v>620</v>
      </c>
      <c r="H145" t="s">
        <v>492</v>
      </c>
      <c r="I145" t="s">
        <v>421</v>
      </c>
      <c r="L145"/>
      <c r="M145">
        <v>-6.2251899999999996</v>
      </c>
      <c r="N145">
        <v>39.165689999999998</v>
      </c>
      <c r="O145" t="s">
        <v>26</v>
      </c>
      <c r="P145" t="s">
        <v>27</v>
      </c>
      <c r="S145" s="23">
        <v>15</v>
      </c>
      <c r="T145" s="23"/>
      <c r="U145" s="23"/>
      <c r="V145" s="8" t="s">
        <v>480</v>
      </c>
    </row>
    <row r="146" spans="2:23" hidden="1">
      <c r="B146" t="s">
        <v>481</v>
      </c>
      <c r="C146" t="s">
        <v>40</v>
      </c>
      <c r="D146" t="s">
        <v>745</v>
      </c>
      <c r="E146">
        <v>1999</v>
      </c>
      <c r="F146" s="12" t="s">
        <v>620</v>
      </c>
      <c r="H146" t="s">
        <v>492</v>
      </c>
      <c r="I146" t="s">
        <v>52</v>
      </c>
      <c r="L146"/>
      <c r="M146">
        <v>-6.1629100000000001</v>
      </c>
      <c r="N146">
        <v>39.102499999999999</v>
      </c>
      <c r="O146" t="s">
        <v>26</v>
      </c>
      <c r="P146" t="s">
        <v>27</v>
      </c>
      <c r="S146" s="23">
        <v>42</v>
      </c>
      <c r="T146" s="23"/>
      <c r="U146" s="23"/>
      <c r="V146" s="8" t="s">
        <v>480</v>
      </c>
    </row>
    <row r="147" spans="2:23" hidden="1">
      <c r="B147" t="s">
        <v>481</v>
      </c>
      <c r="C147" t="s">
        <v>40</v>
      </c>
      <c r="D147" t="s">
        <v>745</v>
      </c>
      <c r="E147">
        <v>1999</v>
      </c>
      <c r="F147" s="12" t="s">
        <v>620</v>
      </c>
      <c r="H147" t="s">
        <v>492</v>
      </c>
      <c r="I147" t="s">
        <v>51</v>
      </c>
      <c r="L147"/>
      <c r="M147">
        <v>-6.0832600000000001</v>
      </c>
      <c r="N147">
        <v>39.080509999999997</v>
      </c>
      <c r="O147" t="s">
        <v>26</v>
      </c>
      <c r="P147" t="s">
        <v>27</v>
      </c>
      <c r="S147" s="23">
        <v>45</v>
      </c>
      <c r="T147" s="23"/>
      <c r="U147" s="23"/>
      <c r="V147" s="8" t="s">
        <v>480</v>
      </c>
    </row>
    <row r="148" spans="2:23" hidden="1">
      <c r="B148" t="s">
        <v>481</v>
      </c>
      <c r="C148" t="s">
        <v>40</v>
      </c>
      <c r="D148" t="s">
        <v>745</v>
      </c>
      <c r="E148">
        <v>1999</v>
      </c>
      <c r="F148" s="12" t="s">
        <v>620</v>
      </c>
      <c r="H148" t="s">
        <v>492</v>
      </c>
      <c r="I148" t="s">
        <v>462</v>
      </c>
      <c r="L148"/>
      <c r="M148">
        <v>-6.0717400000000001</v>
      </c>
      <c r="N148">
        <v>39.113509999999998</v>
      </c>
      <c r="O148" t="s">
        <v>26</v>
      </c>
      <c r="P148" t="s">
        <v>27</v>
      </c>
      <c r="S148" s="23">
        <v>25</v>
      </c>
      <c r="T148" s="23"/>
      <c r="U148" s="23"/>
      <c r="V148" s="8" t="s">
        <v>480</v>
      </c>
    </row>
    <row r="149" spans="2:23" hidden="1">
      <c r="B149" t="s">
        <v>481</v>
      </c>
      <c r="C149" t="s">
        <v>40</v>
      </c>
      <c r="D149" t="s">
        <v>745</v>
      </c>
      <c r="E149">
        <v>1999</v>
      </c>
      <c r="F149" s="12" t="s">
        <v>620</v>
      </c>
      <c r="H149" t="s">
        <v>492</v>
      </c>
      <c r="I149" t="s">
        <v>472</v>
      </c>
      <c r="L149"/>
      <c r="M149">
        <v>-6.0652200000000001</v>
      </c>
      <c r="N149">
        <v>39.100529999999999</v>
      </c>
      <c r="O149" t="s">
        <v>26</v>
      </c>
      <c r="P149" t="s">
        <v>27</v>
      </c>
      <c r="S149" s="23">
        <v>33</v>
      </c>
      <c r="T149" s="23"/>
      <c r="U149" s="23"/>
      <c r="V149" s="8" t="s">
        <v>480</v>
      </c>
    </row>
    <row r="150" spans="2:23" hidden="1">
      <c r="B150" t="s">
        <v>494</v>
      </c>
      <c r="C150" t="s">
        <v>40</v>
      </c>
      <c r="D150" t="s">
        <v>745</v>
      </c>
      <c r="E150" s="12" t="s">
        <v>495</v>
      </c>
      <c r="F150" s="12" t="s">
        <v>622</v>
      </c>
      <c r="G150" s="32"/>
      <c r="I150" t="s">
        <v>504</v>
      </c>
      <c r="L150"/>
      <c r="O150" t="s">
        <v>26</v>
      </c>
      <c r="P150" t="s">
        <v>27</v>
      </c>
      <c r="R150">
        <v>4</v>
      </c>
      <c r="S150" s="23">
        <v>42.6</v>
      </c>
      <c r="T150" s="23"/>
      <c r="U150" s="23">
        <v>11.9</v>
      </c>
      <c r="V150" s="8" t="s">
        <v>493</v>
      </c>
    </row>
    <row r="151" spans="2:23" hidden="1">
      <c r="B151" t="s">
        <v>494</v>
      </c>
      <c r="C151" t="s">
        <v>40</v>
      </c>
      <c r="D151" t="s">
        <v>745</v>
      </c>
      <c r="E151" s="12" t="s">
        <v>495</v>
      </c>
      <c r="F151" s="12" t="s">
        <v>622</v>
      </c>
      <c r="G151" s="32" t="s">
        <v>732</v>
      </c>
      <c r="I151" t="s">
        <v>458</v>
      </c>
      <c r="L151"/>
      <c r="O151" t="s">
        <v>26</v>
      </c>
      <c r="P151" t="s">
        <v>27</v>
      </c>
      <c r="R151">
        <v>4</v>
      </c>
      <c r="S151" s="23">
        <v>23.9</v>
      </c>
      <c r="T151" s="23"/>
      <c r="U151" s="23">
        <v>7.5</v>
      </c>
      <c r="V151" s="8" t="s">
        <v>493</v>
      </c>
    </row>
    <row r="152" spans="2:23" hidden="1">
      <c r="B152" t="s">
        <v>494</v>
      </c>
      <c r="C152" t="s">
        <v>40</v>
      </c>
      <c r="D152" t="s">
        <v>745</v>
      </c>
      <c r="E152" s="12" t="s">
        <v>495</v>
      </c>
      <c r="F152" s="12" t="s">
        <v>622</v>
      </c>
      <c r="G152" s="32"/>
      <c r="I152" t="s">
        <v>473</v>
      </c>
      <c r="L152"/>
      <c r="O152" t="s">
        <v>26</v>
      </c>
      <c r="P152" t="s">
        <v>27</v>
      </c>
      <c r="R152">
        <v>2</v>
      </c>
      <c r="S152" s="23">
        <v>48.5</v>
      </c>
      <c r="T152" s="23"/>
      <c r="U152" s="23">
        <v>3.8</v>
      </c>
      <c r="V152" s="8" t="s">
        <v>493</v>
      </c>
      <c r="W152" t="s">
        <v>818</v>
      </c>
    </row>
    <row r="153" spans="2:23" hidden="1">
      <c r="B153" t="s">
        <v>494</v>
      </c>
      <c r="C153" t="s">
        <v>40</v>
      </c>
      <c r="D153" t="s">
        <v>745</v>
      </c>
      <c r="E153" s="12" t="s">
        <v>495</v>
      </c>
      <c r="F153" s="12" t="s">
        <v>622</v>
      </c>
      <c r="G153" s="32"/>
      <c r="I153" t="s">
        <v>505</v>
      </c>
      <c r="L153"/>
      <c r="O153" t="s">
        <v>26</v>
      </c>
      <c r="P153" t="s">
        <v>27</v>
      </c>
      <c r="R153">
        <v>2</v>
      </c>
      <c r="S153" s="23">
        <v>62.7</v>
      </c>
      <c r="T153" s="23"/>
      <c r="U153" s="23">
        <v>11.1</v>
      </c>
      <c r="V153" s="8" t="s">
        <v>493</v>
      </c>
    </row>
    <row r="154" spans="2:23" hidden="1">
      <c r="B154" t="s">
        <v>494</v>
      </c>
      <c r="C154" t="s">
        <v>40</v>
      </c>
      <c r="D154" t="s">
        <v>745</v>
      </c>
      <c r="E154" s="12" t="s">
        <v>495</v>
      </c>
      <c r="F154" s="12" t="s">
        <v>622</v>
      </c>
      <c r="G154" s="32" t="s">
        <v>732</v>
      </c>
      <c r="I154" t="s">
        <v>506</v>
      </c>
      <c r="L154"/>
      <c r="O154" t="s">
        <v>26</v>
      </c>
      <c r="P154" t="s">
        <v>27</v>
      </c>
      <c r="R154">
        <v>2</v>
      </c>
      <c r="S154" s="23">
        <v>33</v>
      </c>
      <c r="T154" s="23"/>
      <c r="U154" s="23"/>
      <c r="V154" s="8" t="s">
        <v>493</v>
      </c>
    </row>
    <row r="155" spans="2:23" hidden="1">
      <c r="B155" t="s">
        <v>494</v>
      </c>
      <c r="C155" t="s">
        <v>40</v>
      </c>
      <c r="E155" s="12">
        <v>2005</v>
      </c>
      <c r="F155" s="12" t="s">
        <v>620</v>
      </c>
      <c r="I155" t="s">
        <v>504</v>
      </c>
      <c r="L155"/>
      <c r="O155" t="s">
        <v>26</v>
      </c>
      <c r="P155" t="s">
        <v>27</v>
      </c>
      <c r="R155">
        <v>4</v>
      </c>
      <c r="S155" s="23">
        <v>70</v>
      </c>
      <c r="T155" s="23"/>
      <c r="U155" s="23">
        <v>3.2</v>
      </c>
      <c r="V155" s="8" t="s">
        <v>493</v>
      </c>
    </row>
    <row r="156" spans="2:23" hidden="1">
      <c r="B156" t="s">
        <v>494</v>
      </c>
      <c r="C156" t="s">
        <v>40</v>
      </c>
      <c r="E156" s="12">
        <v>2005</v>
      </c>
      <c r="F156" s="12" t="s">
        <v>620</v>
      </c>
      <c r="I156" t="s">
        <v>458</v>
      </c>
      <c r="L156"/>
      <c r="O156" t="s">
        <v>26</v>
      </c>
      <c r="P156" t="s">
        <v>27</v>
      </c>
      <c r="R156">
        <v>4</v>
      </c>
      <c r="S156" s="23">
        <v>27.8</v>
      </c>
      <c r="T156" s="23"/>
      <c r="U156" s="23">
        <v>6.8</v>
      </c>
      <c r="V156" s="8" t="s">
        <v>493</v>
      </c>
    </row>
    <row r="157" spans="2:23" hidden="1">
      <c r="B157" t="s">
        <v>494</v>
      </c>
      <c r="C157" t="s">
        <v>40</v>
      </c>
      <c r="E157" s="12">
        <v>2005</v>
      </c>
      <c r="F157" s="12" t="s">
        <v>620</v>
      </c>
      <c r="I157" t="s">
        <v>473</v>
      </c>
      <c r="L157"/>
      <c r="O157" t="s">
        <v>26</v>
      </c>
      <c r="P157" t="s">
        <v>27</v>
      </c>
      <c r="R157">
        <v>2</v>
      </c>
      <c r="S157" s="23">
        <v>48.3</v>
      </c>
      <c r="T157" s="23"/>
      <c r="U157" s="23">
        <v>3.3</v>
      </c>
      <c r="V157" s="8" t="s">
        <v>493</v>
      </c>
    </row>
    <row r="158" spans="2:23" hidden="1">
      <c r="B158" t="s">
        <v>494</v>
      </c>
      <c r="C158" t="s">
        <v>40</v>
      </c>
      <c r="E158" s="12">
        <v>2005</v>
      </c>
      <c r="F158" s="12" t="s">
        <v>620</v>
      </c>
      <c r="I158" t="s">
        <v>505</v>
      </c>
      <c r="L158"/>
      <c r="O158" t="s">
        <v>26</v>
      </c>
      <c r="P158" t="s">
        <v>27</v>
      </c>
      <c r="R158">
        <v>2</v>
      </c>
      <c r="S158" s="23">
        <v>61.5</v>
      </c>
      <c r="T158" s="23"/>
      <c r="U158" s="23">
        <v>2.4</v>
      </c>
      <c r="V158" s="8" t="s">
        <v>493</v>
      </c>
    </row>
    <row r="159" spans="2:23" hidden="1">
      <c r="B159" t="s">
        <v>494</v>
      </c>
      <c r="C159" t="s">
        <v>40</v>
      </c>
      <c r="E159" s="12">
        <v>2005</v>
      </c>
      <c r="F159" s="12" t="s">
        <v>620</v>
      </c>
      <c r="I159" t="s">
        <v>506</v>
      </c>
      <c r="L159"/>
      <c r="O159" t="s">
        <v>26</v>
      </c>
      <c r="P159" t="s">
        <v>27</v>
      </c>
      <c r="R159">
        <v>2</v>
      </c>
      <c r="S159" s="23">
        <v>0.1</v>
      </c>
      <c r="T159" s="23"/>
      <c r="U159" s="23"/>
      <c r="V159" s="8" t="s">
        <v>493</v>
      </c>
    </row>
    <row r="160" spans="2:23" hidden="1">
      <c r="B160" t="s">
        <v>512</v>
      </c>
      <c r="C160" t="s">
        <v>40</v>
      </c>
      <c r="E160" s="12" t="s">
        <v>262</v>
      </c>
      <c r="H160" t="s">
        <v>513</v>
      </c>
      <c r="K160" t="s">
        <v>515</v>
      </c>
      <c r="L160" t="s">
        <v>516</v>
      </c>
      <c r="O160" t="s">
        <v>26</v>
      </c>
      <c r="P160" t="s">
        <v>27</v>
      </c>
      <c r="R160" s="12">
        <v>7</v>
      </c>
      <c r="S160" s="23">
        <v>36.68</v>
      </c>
      <c r="T160" s="23">
        <v>18.96</v>
      </c>
      <c r="U160" s="23"/>
      <c r="V160" s="8" t="s">
        <v>511</v>
      </c>
    </row>
    <row r="161" spans="2:22" hidden="1">
      <c r="B161" t="s">
        <v>570</v>
      </c>
      <c r="C161" t="s">
        <v>40</v>
      </c>
      <c r="D161" t="s">
        <v>745</v>
      </c>
      <c r="E161" s="12">
        <v>1999</v>
      </c>
      <c r="F161" s="12" t="s">
        <v>620</v>
      </c>
      <c r="H161" t="s">
        <v>473</v>
      </c>
      <c r="I161" t="s">
        <v>52</v>
      </c>
      <c r="L161"/>
      <c r="O161" t="s">
        <v>26</v>
      </c>
      <c r="P161" t="s">
        <v>27</v>
      </c>
      <c r="R161">
        <v>12</v>
      </c>
      <c r="S161" s="23">
        <v>27.5</v>
      </c>
      <c r="T161" s="23">
        <v>14.4</v>
      </c>
      <c r="U161" s="23"/>
      <c r="V161" s="8" t="s">
        <v>569</v>
      </c>
    </row>
    <row r="162" spans="2:22" hidden="1">
      <c r="B162" t="s">
        <v>570</v>
      </c>
      <c r="C162" t="s">
        <v>40</v>
      </c>
      <c r="D162" t="s">
        <v>745</v>
      </c>
      <c r="E162" s="12">
        <v>2003</v>
      </c>
      <c r="F162" s="12" t="s">
        <v>620</v>
      </c>
      <c r="H162" t="s">
        <v>473</v>
      </c>
      <c r="I162" t="s">
        <v>633</v>
      </c>
      <c r="L162"/>
      <c r="O162" t="s">
        <v>26</v>
      </c>
      <c r="P162" t="s">
        <v>27</v>
      </c>
      <c r="R162">
        <v>16</v>
      </c>
      <c r="S162" s="23">
        <v>17.600000000000001</v>
      </c>
      <c r="T162" s="23">
        <v>6.9</v>
      </c>
      <c r="U162" s="23"/>
      <c r="V162" s="8" t="s">
        <v>569</v>
      </c>
    </row>
    <row r="163" spans="2:22" hidden="1">
      <c r="B163" t="s">
        <v>570</v>
      </c>
      <c r="C163" t="s">
        <v>40</v>
      </c>
      <c r="D163" t="s">
        <v>745</v>
      </c>
      <c r="E163" s="12">
        <v>2007</v>
      </c>
      <c r="F163" s="12" t="s">
        <v>620</v>
      </c>
      <c r="H163" t="s">
        <v>473</v>
      </c>
      <c r="I163" t="s">
        <v>463</v>
      </c>
      <c r="L163"/>
      <c r="O163" t="s">
        <v>45</v>
      </c>
      <c r="P163" t="s">
        <v>634</v>
      </c>
      <c r="R163">
        <v>11</v>
      </c>
      <c r="S163" s="23">
        <v>6.2</v>
      </c>
      <c r="T163" s="23">
        <v>3.1</v>
      </c>
      <c r="U163" s="23"/>
      <c r="V163" s="8" t="s">
        <v>569</v>
      </c>
    </row>
    <row r="164" spans="2:22" hidden="1">
      <c r="B164" t="s">
        <v>604</v>
      </c>
      <c r="C164" t="s">
        <v>40</v>
      </c>
      <c r="D164" t="s">
        <v>746</v>
      </c>
      <c r="E164" s="12">
        <v>1998</v>
      </c>
      <c r="F164" s="12" t="s">
        <v>620</v>
      </c>
      <c r="G164" s="12" t="s">
        <v>732</v>
      </c>
      <c r="H164" t="s">
        <v>603</v>
      </c>
      <c r="I164" t="s">
        <v>490</v>
      </c>
      <c r="K164" t="s">
        <v>582</v>
      </c>
      <c r="L164"/>
      <c r="O164" t="s">
        <v>26</v>
      </c>
      <c r="P164" t="s">
        <v>27</v>
      </c>
      <c r="S164" s="23">
        <v>33.799999999999997</v>
      </c>
      <c r="T164" s="23"/>
      <c r="U164" s="23"/>
      <c r="V164" s="8" t="s">
        <v>580</v>
      </c>
    </row>
    <row r="165" spans="2:22" hidden="1">
      <c r="B165" t="s">
        <v>604</v>
      </c>
      <c r="C165" t="s">
        <v>40</v>
      </c>
      <c r="D165" t="s">
        <v>746</v>
      </c>
      <c r="E165" s="12">
        <v>1998</v>
      </c>
      <c r="F165" s="12" t="s">
        <v>620</v>
      </c>
      <c r="G165" s="12" t="s">
        <v>732</v>
      </c>
      <c r="H165" t="s">
        <v>603</v>
      </c>
      <c r="I165" t="s">
        <v>490</v>
      </c>
      <c r="K165" t="s">
        <v>583</v>
      </c>
      <c r="L165"/>
      <c r="O165" t="s">
        <v>26</v>
      </c>
      <c r="P165" t="s">
        <v>27</v>
      </c>
      <c r="S165" s="23">
        <v>36.700000000000003</v>
      </c>
      <c r="T165" s="23"/>
      <c r="U165" s="23"/>
      <c r="V165" s="8" t="s">
        <v>580</v>
      </c>
    </row>
    <row r="166" spans="2:22" hidden="1">
      <c r="B166" t="s">
        <v>604</v>
      </c>
      <c r="C166" t="s">
        <v>40</v>
      </c>
      <c r="D166" t="s">
        <v>746</v>
      </c>
      <c r="E166" s="12">
        <v>1998</v>
      </c>
      <c r="F166" s="12" t="s">
        <v>620</v>
      </c>
      <c r="G166" s="12" t="s">
        <v>732</v>
      </c>
      <c r="H166" t="s">
        <v>603</v>
      </c>
      <c r="I166" t="s">
        <v>584</v>
      </c>
      <c r="K166" t="s">
        <v>582</v>
      </c>
      <c r="L166"/>
      <c r="O166" t="s">
        <v>26</v>
      </c>
      <c r="P166" t="s">
        <v>27</v>
      </c>
      <c r="S166" s="23">
        <v>38.299999999999997</v>
      </c>
      <c r="T166" s="23"/>
      <c r="U166" s="23"/>
      <c r="V166" s="8" t="s">
        <v>580</v>
      </c>
    </row>
    <row r="167" spans="2:22" hidden="1">
      <c r="B167" t="s">
        <v>604</v>
      </c>
      <c r="C167" t="s">
        <v>40</v>
      </c>
      <c r="D167" t="s">
        <v>746</v>
      </c>
      <c r="E167" s="12">
        <v>1998</v>
      </c>
      <c r="F167" s="12" t="s">
        <v>620</v>
      </c>
      <c r="G167" s="12" t="s">
        <v>732</v>
      </c>
      <c r="H167" t="s">
        <v>603</v>
      </c>
      <c r="I167" t="s">
        <v>585</v>
      </c>
      <c r="K167" t="s">
        <v>582</v>
      </c>
      <c r="L167"/>
      <c r="O167" t="s">
        <v>26</v>
      </c>
      <c r="P167" t="s">
        <v>27</v>
      </c>
      <c r="S167" s="23">
        <v>47.5</v>
      </c>
      <c r="T167" s="23"/>
      <c r="U167" s="23"/>
      <c r="V167" s="8" t="s">
        <v>580</v>
      </c>
    </row>
    <row r="168" spans="2:22" hidden="1">
      <c r="B168" t="s">
        <v>604</v>
      </c>
      <c r="C168" t="s">
        <v>40</v>
      </c>
      <c r="D168" t="s">
        <v>746</v>
      </c>
      <c r="E168" s="12">
        <v>1998</v>
      </c>
      <c r="F168" s="12" t="s">
        <v>620</v>
      </c>
      <c r="G168" s="12" t="s">
        <v>732</v>
      </c>
      <c r="H168" t="s">
        <v>603</v>
      </c>
      <c r="I168" t="s">
        <v>586</v>
      </c>
      <c r="K168" t="s">
        <v>583</v>
      </c>
      <c r="L168"/>
      <c r="O168" t="s">
        <v>26</v>
      </c>
      <c r="P168" t="s">
        <v>27</v>
      </c>
      <c r="S168" s="23">
        <v>55</v>
      </c>
      <c r="T168" s="23"/>
      <c r="U168" s="23"/>
      <c r="V168" s="8" t="s">
        <v>580</v>
      </c>
    </row>
    <row r="169" spans="2:22" hidden="1">
      <c r="B169" t="s">
        <v>604</v>
      </c>
      <c r="C169" t="s">
        <v>40</v>
      </c>
      <c r="D169" t="s">
        <v>746</v>
      </c>
      <c r="E169" s="12">
        <v>1998</v>
      </c>
      <c r="F169" s="12" t="s">
        <v>620</v>
      </c>
      <c r="G169" s="12" t="s">
        <v>732</v>
      </c>
      <c r="H169" t="s">
        <v>603</v>
      </c>
      <c r="I169" t="s">
        <v>586</v>
      </c>
      <c r="K169" t="s">
        <v>587</v>
      </c>
      <c r="L169"/>
      <c r="O169" t="s">
        <v>26</v>
      </c>
      <c r="P169" t="s">
        <v>27</v>
      </c>
      <c r="S169" s="23">
        <v>31</v>
      </c>
      <c r="T169" s="23"/>
      <c r="U169" s="23"/>
      <c r="V169" s="8" t="s">
        <v>580</v>
      </c>
    </row>
    <row r="170" spans="2:22" hidden="1">
      <c r="B170" t="s">
        <v>604</v>
      </c>
      <c r="C170" t="s">
        <v>40</v>
      </c>
      <c r="D170" t="s">
        <v>746</v>
      </c>
      <c r="E170" s="12">
        <v>1998</v>
      </c>
      <c r="F170" s="12" t="s">
        <v>620</v>
      </c>
      <c r="G170" s="12" t="s">
        <v>732</v>
      </c>
      <c r="H170" t="s">
        <v>603</v>
      </c>
      <c r="I170" t="s">
        <v>586</v>
      </c>
      <c r="K170" t="s">
        <v>588</v>
      </c>
      <c r="L170"/>
      <c r="O170" t="s">
        <v>26</v>
      </c>
      <c r="P170" t="s">
        <v>27</v>
      </c>
      <c r="S170" s="23">
        <v>32.5</v>
      </c>
      <c r="T170" s="23"/>
      <c r="U170" s="23"/>
      <c r="V170" s="8" t="s">
        <v>580</v>
      </c>
    </row>
    <row r="171" spans="2:22" hidden="1">
      <c r="B171" t="s">
        <v>604</v>
      </c>
      <c r="C171" t="s">
        <v>40</v>
      </c>
      <c r="D171" t="s">
        <v>746</v>
      </c>
      <c r="E171" s="12">
        <v>1998</v>
      </c>
      <c r="F171" s="12" t="s">
        <v>620</v>
      </c>
      <c r="G171" s="12" t="s">
        <v>732</v>
      </c>
      <c r="H171" t="s">
        <v>603</v>
      </c>
      <c r="I171" t="s">
        <v>589</v>
      </c>
      <c r="K171" t="s">
        <v>590</v>
      </c>
      <c r="L171"/>
      <c r="O171" t="s">
        <v>26</v>
      </c>
      <c r="P171" t="s">
        <v>27</v>
      </c>
      <c r="S171" s="23">
        <v>25</v>
      </c>
      <c r="T171" s="23"/>
      <c r="U171" s="23"/>
      <c r="V171" s="8" t="s">
        <v>580</v>
      </c>
    </row>
    <row r="172" spans="2:22" hidden="1">
      <c r="B172" t="s">
        <v>604</v>
      </c>
      <c r="C172" t="s">
        <v>40</v>
      </c>
      <c r="D172" t="s">
        <v>746</v>
      </c>
      <c r="E172" s="12">
        <v>1998</v>
      </c>
      <c r="F172" s="12" t="s">
        <v>620</v>
      </c>
      <c r="G172" s="12" t="s">
        <v>732</v>
      </c>
      <c r="H172" t="s">
        <v>603</v>
      </c>
      <c r="I172" t="s">
        <v>589</v>
      </c>
      <c r="K172" t="s">
        <v>588</v>
      </c>
      <c r="L172"/>
      <c r="O172" t="s">
        <v>26</v>
      </c>
      <c r="P172" t="s">
        <v>27</v>
      </c>
      <c r="S172" s="23">
        <v>31</v>
      </c>
      <c r="T172" s="23"/>
      <c r="U172" s="23"/>
      <c r="V172" s="8" t="s">
        <v>580</v>
      </c>
    </row>
    <row r="173" spans="2:22" hidden="1">
      <c r="B173" t="s">
        <v>604</v>
      </c>
      <c r="C173" t="s">
        <v>40</v>
      </c>
      <c r="D173" t="s">
        <v>746</v>
      </c>
      <c r="E173" s="12">
        <v>1998</v>
      </c>
      <c r="F173" s="12" t="s">
        <v>620</v>
      </c>
      <c r="G173" s="12" t="s">
        <v>732</v>
      </c>
      <c r="H173" t="s">
        <v>603</v>
      </c>
      <c r="I173" t="s">
        <v>591</v>
      </c>
      <c r="K173" t="s">
        <v>582</v>
      </c>
      <c r="L173"/>
      <c r="O173" t="s">
        <v>26</v>
      </c>
      <c r="P173" t="s">
        <v>27</v>
      </c>
      <c r="S173" s="23">
        <v>35</v>
      </c>
      <c r="T173" s="23"/>
      <c r="U173" s="23"/>
      <c r="V173" s="8" t="s">
        <v>580</v>
      </c>
    </row>
    <row r="174" spans="2:22" hidden="1">
      <c r="B174" t="s">
        <v>604</v>
      </c>
      <c r="C174" t="s">
        <v>40</v>
      </c>
      <c r="D174" t="s">
        <v>746</v>
      </c>
      <c r="E174" s="12">
        <v>1998</v>
      </c>
      <c r="F174" s="12" t="s">
        <v>620</v>
      </c>
      <c r="G174" s="12" t="s">
        <v>732</v>
      </c>
      <c r="H174" t="s">
        <v>603</v>
      </c>
      <c r="I174" t="s">
        <v>592</v>
      </c>
      <c r="K174" t="s">
        <v>587</v>
      </c>
      <c r="L174"/>
      <c r="O174" t="s">
        <v>26</v>
      </c>
      <c r="P174" t="s">
        <v>27</v>
      </c>
      <c r="S174" s="23">
        <v>55</v>
      </c>
      <c r="T174" s="23"/>
      <c r="U174" s="23"/>
      <c r="V174" s="8" t="s">
        <v>580</v>
      </c>
    </row>
    <row r="175" spans="2:22" hidden="1">
      <c r="B175" t="s">
        <v>604</v>
      </c>
      <c r="C175" t="s">
        <v>40</v>
      </c>
      <c r="D175" t="s">
        <v>746</v>
      </c>
      <c r="E175" s="12">
        <v>1998</v>
      </c>
      <c r="F175" s="12" t="s">
        <v>620</v>
      </c>
      <c r="G175" s="12" t="s">
        <v>732</v>
      </c>
      <c r="H175" t="s">
        <v>603</v>
      </c>
      <c r="I175" t="s">
        <v>592</v>
      </c>
      <c r="K175" t="s">
        <v>588</v>
      </c>
      <c r="L175"/>
      <c r="O175" t="s">
        <v>26</v>
      </c>
      <c r="P175" t="s">
        <v>27</v>
      </c>
      <c r="S175" s="23">
        <v>40</v>
      </c>
      <c r="T175" s="23"/>
      <c r="U175" s="23"/>
      <c r="V175" s="8" t="s">
        <v>580</v>
      </c>
    </row>
    <row r="176" spans="2:22" hidden="1">
      <c r="B176" t="s">
        <v>604</v>
      </c>
      <c r="C176" t="s">
        <v>40</v>
      </c>
      <c r="D176" t="s">
        <v>746</v>
      </c>
      <c r="E176" s="12">
        <v>1998</v>
      </c>
      <c r="F176" s="12" t="s">
        <v>620</v>
      </c>
      <c r="G176" s="12" t="s">
        <v>732</v>
      </c>
      <c r="H176" t="s">
        <v>603</v>
      </c>
      <c r="I176" t="s">
        <v>593</v>
      </c>
      <c r="K176" t="s">
        <v>583</v>
      </c>
      <c r="L176"/>
      <c r="O176" t="s">
        <v>26</v>
      </c>
      <c r="P176" t="s">
        <v>27</v>
      </c>
      <c r="S176" s="23">
        <v>50</v>
      </c>
      <c r="T176" s="23"/>
      <c r="U176" s="23"/>
      <c r="V176" s="8" t="s">
        <v>580</v>
      </c>
    </row>
    <row r="177" spans="2:22" hidden="1">
      <c r="B177" t="s">
        <v>604</v>
      </c>
      <c r="C177" t="s">
        <v>40</v>
      </c>
      <c r="D177" t="s">
        <v>746</v>
      </c>
      <c r="E177" s="12">
        <v>1998</v>
      </c>
      <c r="F177" s="12" t="s">
        <v>620</v>
      </c>
      <c r="G177" s="12" t="s">
        <v>732</v>
      </c>
      <c r="H177" t="s">
        <v>603</v>
      </c>
      <c r="I177" t="s">
        <v>593</v>
      </c>
      <c r="K177" t="s">
        <v>582</v>
      </c>
      <c r="L177"/>
      <c r="O177" t="s">
        <v>26</v>
      </c>
      <c r="P177" t="s">
        <v>27</v>
      </c>
      <c r="S177" s="23">
        <v>35</v>
      </c>
      <c r="T177" s="23"/>
      <c r="U177" s="23"/>
      <c r="V177" s="8" t="s">
        <v>580</v>
      </c>
    </row>
    <row r="178" spans="2:22" hidden="1">
      <c r="B178" t="s">
        <v>604</v>
      </c>
      <c r="C178" t="s">
        <v>40</v>
      </c>
      <c r="D178" t="s">
        <v>746</v>
      </c>
      <c r="E178" s="12">
        <v>1998</v>
      </c>
      <c r="F178" s="12" t="s">
        <v>620</v>
      </c>
      <c r="G178" s="12" t="s">
        <v>732</v>
      </c>
      <c r="H178" t="s">
        <v>603</v>
      </c>
      <c r="I178" t="s">
        <v>594</v>
      </c>
      <c r="K178" t="s">
        <v>582</v>
      </c>
      <c r="L178"/>
      <c r="O178" t="s">
        <v>26</v>
      </c>
      <c r="P178" t="s">
        <v>27</v>
      </c>
      <c r="S178" s="23">
        <v>40</v>
      </c>
      <c r="T178" s="23"/>
      <c r="U178" s="23"/>
      <c r="V178" s="8" t="s">
        <v>580</v>
      </c>
    </row>
    <row r="179" spans="2:22" hidden="1">
      <c r="B179" t="s">
        <v>604</v>
      </c>
      <c r="C179" t="s">
        <v>40</v>
      </c>
      <c r="D179" t="s">
        <v>746</v>
      </c>
      <c r="E179" s="12">
        <v>1998</v>
      </c>
      <c r="F179" s="12" t="s">
        <v>620</v>
      </c>
      <c r="G179" s="12" t="s">
        <v>732</v>
      </c>
      <c r="H179" t="s">
        <v>603</v>
      </c>
      <c r="I179" t="s">
        <v>595</v>
      </c>
      <c r="K179" t="s">
        <v>596</v>
      </c>
      <c r="L179"/>
      <c r="O179" t="s">
        <v>26</v>
      </c>
      <c r="P179" t="s">
        <v>27</v>
      </c>
      <c r="S179" s="23">
        <v>55</v>
      </c>
      <c r="T179" s="23"/>
      <c r="U179" s="23"/>
      <c r="V179" s="8" t="s">
        <v>580</v>
      </c>
    </row>
    <row r="180" spans="2:22" hidden="1">
      <c r="B180" t="s">
        <v>604</v>
      </c>
      <c r="C180" t="s">
        <v>40</v>
      </c>
      <c r="D180" t="s">
        <v>746</v>
      </c>
      <c r="E180" s="12">
        <v>1998</v>
      </c>
      <c r="F180" s="12" t="s">
        <v>620</v>
      </c>
      <c r="G180" s="12" t="s">
        <v>732</v>
      </c>
      <c r="H180" t="s">
        <v>603</v>
      </c>
      <c r="I180" t="s">
        <v>595</v>
      </c>
      <c r="K180" t="s">
        <v>597</v>
      </c>
      <c r="L180"/>
      <c r="O180" t="s">
        <v>26</v>
      </c>
      <c r="P180" t="s">
        <v>27</v>
      </c>
      <c r="S180" s="23">
        <v>55</v>
      </c>
      <c r="T180" s="23"/>
      <c r="U180" s="23"/>
      <c r="V180" s="8" t="s">
        <v>580</v>
      </c>
    </row>
    <row r="181" spans="2:22" hidden="1">
      <c r="B181" t="s">
        <v>604</v>
      </c>
      <c r="C181" t="s">
        <v>40</v>
      </c>
      <c r="D181" t="s">
        <v>746</v>
      </c>
      <c r="E181" s="12">
        <v>1998</v>
      </c>
      <c r="F181" s="12" t="s">
        <v>620</v>
      </c>
      <c r="G181" s="12" t="s">
        <v>732</v>
      </c>
      <c r="H181" t="s">
        <v>603</v>
      </c>
      <c r="I181" t="s">
        <v>595</v>
      </c>
      <c r="K181" t="s">
        <v>598</v>
      </c>
      <c r="L181"/>
      <c r="O181" t="s">
        <v>26</v>
      </c>
      <c r="P181" t="s">
        <v>27</v>
      </c>
      <c r="S181" s="23">
        <v>25</v>
      </c>
      <c r="T181" s="23"/>
      <c r="U181" s="23"/>
      <c r="V181" s="8" t="s">
        <v>580</v>
      </c>
    </row>
    <row r="182" spans="2:22" hidden="1">
      <c r="B182" t="s">
        <v>604</v>
      </c>
      <c r="C182" t="s">
        <v>40</v>
      </c>
      <c r="D182" t="s">
        <v>746</v>
      </c>
      <c r="E182" s="12">
        <v>1998</v>
      </c>
      <c r="F182" s="12" t="s">
        <v>620</v>
      </c>
      <c r="G182" s="12" t="s">
        <v>732</v>
      </c>
      <c r="H182" t="s">
        <v>603</v>
      </c>
      <c r="I182" t="s">
        <v>599</v>
      </c>
      <c r="K182" t="s">
        <v>582</v>
      </c>
      <c r="L182"/>
      <c r="O182" t="s">
        <v>26</v>
      </c>
      <c r="P182" t="s">
        <v>27</v>
      </c>
      <c r="S182" s="23">
        <v>40</v>
      </c>
      <c r="T182" s="23"/>
      <c r="U182" s="23"/>
      <c r="V182" s="8" t="s">
        <v>580</v>
      </c>
    </row>
    <row r="183" spans="2:22" hidden="1">
      <c r="B183" t="s">
        <v>604</v>
      </c>
      <c r="C183" t="s">
        <v>40</v>
      </c>
      <c r="D183" t="s">
        <v>746</v>
      </c>
      <c r="E183" s="12">
        <v>1998</v>
      </c>
      <c r="F183" s="12" t="s">
        <v>620</v>
      </c>
      <c r="G183" s="12" t="s">
        <v>732</v>
      </c>
      <c r="H183" t="s">
        <v>603</v>
      </c>
      <c r="I183" t="s">
        <v>600</v>
      </c>
      <c r="K183" t="s">
        <v>583</v>
      </c>
      <c r="L183"/>
      <c r="O183" t="s">
        <v>26</v>
      </c>
      <c r="P183" t="s">
        <v>27</v>
      </c>
      <c r="S183" s="23">
        <v>25</v>
      </c>
      <c r="T183" s="23"/>
      <c r="U183" s="23"/>
      <c r="V183" s="8" t="s">
        <v>580</v>
      </c>
    </row>
    <row r="184" spans="2:22" hidden="1">
      <c r="B184" t="s">
        <v>604</v>
      </c>
      <c r="C184" t="s">
        <v>40</v>
      </c>
      <c r="D184" t="s">
        <v>746</v>
      </c>
      <c r="E184" s="12">
        <v>1998</v>
      </c>
      <c r="F184" s="12" t="s">
        <v>620</v>
      </c>
      <c r="G184" s="12" t="s">
        <v>732</v>
      </c>
      <c r="H184" t="s">
        <v>603</v>
      </c>
      <c r="I184" t="s">
        <v>600</v>
      </c>
      <c r="K184" t="s">
        <v>582</v>
      </c>
      <c r="L184"/>
      <c r="O184" t="s">
        <v>26</v>
      </c>
      <c r="P184" t="s">
        <v>27</v>
      </c>
      <c r="S184" s="23">
        <v>30</v>
      </c>
      <c r="T184" s="23"/>
      <c r="U184" s="23"/>
      <c r="V184" s="8" t="s">
        <v>580</v>
      </c>
    </row>
    <row r="185" spans="2:22" hidden="1">
      <c r="B185" t="s">
        <v>604</v>
      </c>
      <c r="C185" t="s">
        <v>40</v>
      </c>
      <c r="D185" t="s">
        <v>746</v>
      </c>
      <c r="E185" s="12">
        <v>1998</v>
      </c>
      <c r="F185" s="12" t="s">
        <v>620</v>
      </c>
      <c r="G185" s="12" t="s">
        <v>732</v>
      </c>
      <c r="H185" t="s">
        <v>603</v>
      </c>
      <c r="I185" t="s">
        <v>602</v>
      </c>
      <c r="K185" t="s">
        <v>601</v>
      </c>
      <c r="L185"/>
      <c r="O185" t="s">
        <v>26</v>
      </c>
      <c r="P185" t="s">
        <v>27</v>
      </c>
      <c r="S185" s="23">
        <v>20</v>
      </c>
      <c r="T185" s="23"/>
      <c r="U185" s="23"/>
      <c r="V185" s="8" t="s">
        <v>580</v>
      </c>
    </row>
    <row r="186" spans="2:22" hidden="1">
      <c r="B186" t="s">
        <v>604</v>
      </c>
      <c r="C186" t="s">
        <v>40</v>
      </c>
      <c r="D186" t="s">
        <v>745</v>
      </c>
      <c r="E186" s="12">
        <v>1987</v>
      </c>
      <c r="F186" s="12" t="s">
        <v>622</v>
      </c>
      <c r="G186" s="32" t="s">
        <v>732</v>
      </c>
      <c r="H186" t="s">
        <v>458</v>
      </c>
      <c r="L186"/>
      <c r="O186" t="s">
        <v>538</v>
      </c>
      <c r="P186" t="s">
        <v>27</v>
      </c>
      <c r="S186" s="23">
        <v>20</v>
      </c>
      <c r="T186" s="23"/>
      <c r="U186" s="23"/>
      <c r="V186" s="8" t="s">
        <v>580</v>
      </c>
    </row>
    <row r="187" spans="2:22" hidden="1">
      <c r="B187" t="s">
        <v>604</v>
      </c>
      <c r="C187" t="s">
        <v>40</v>
      </c>
      <c r="D187" t="s">
        <v>745</v>
      </c>
      <c r="E187" s="12" t="s">
        <v>611</v>
      </c>
      <c r="F187" s="12" t="s">
        <v>635</v>
      </c>
      <c r="H187" t="s">
        <v>471</v>
      </c>
      <c r="I187" t="s">
        <v>605</v>
      </c>
      <c r="L187"/>
      <c r="O187" t="s">
        <v>26</v>
      </c>
      <c r="P187" t="s">
        <v>27</v>
      </c>
      <c r="S187" s="23">
        <v>34.700000000000003</v>
      </c>
      <c r="T187" s="23"/>
      <c r="U187" s="23"/>
      <c r="V187" s="8" t="s">
        <v>580</v>
      </c>
    </row>
    <row r="188" spans="2:22" hidden="1">
      <c r="B188" t="s">
        <v>604</v>
      </c>
      <c r="C188" t="s">
        <v>40</v>
      </c>
      <c r="D188" t="s">
        <v>745</v>
      </c>
      <c r="E188" s="12" t="s">
        <v>611</v>
      </c>
      <c r="F188" s="12" t="s">
        <v>635</v>
      </c>
      <c r="H188" t="s">
        <v>471</v>
      </c>
      <c r="I188" t="s">
        <v>606</v>
      </c>
      <c r="L188"/>
      <c r="O188" t="s">
        <v>26</v>
      </c>
      <c r="P188" t="s">
        <v>27</v>
      </c>
      <c r="S188" s="23">
        <v>81.2</v>
      </c>
      <c r="T188" s="23"/>
      <c r="U188" s="23"/>
      <c r="V188" s="8" t="s">
        <v>580</v>
      </c>
    </row>
    <row r="189" spans="2:22" hidden="1">
      <c r="B189" t="s">
        <v>604</v>
      </c>
      <c r="C189" t="s">
        <v>40</v>
      </c>
      <c r="D189" t="s">
        <v>745</v>
      </c>
      <c r="E189" s="12" t="s">
        <v>607</v>
      </c>
      <c r="F189" s="12" t="s">
        <v>635</v>
      </c>
      <c r="H189" t="s">
        <v>473</v>
      </c>
      <c r="I189" t="s">
        <v>463</v>
      </c>
      <c r="J189" t="s">
        <v>608</v>
      </c>
      <c r="L189"/>
      <c r="O189" t="s">
        <v>26</v>
      </c>
      <c r="P189" t="s">
        <v>27</v>
      </c>
      <c r="S189" s="23">
        <v>13.9</v>
      </c>
      <c r="T189" s="23"/>
      <c r="U189" s="23"/>
      <c r="V189" s="8" t="s">
        <v>580</v>
      </c>
    </row>
    <row r="190" spans="2:22" hidden="1">
      <c r="B190" t="s">
        <v>604</v>
      </c>
      <c r="C190" t="s">
        <v>40</v>
      </c>
      <c r="D190" t="s">
        <v>745</v>
      </c>
      <c r="E190" s="12" t="s">
        <v>610</v>
      </c>
      <c r="F190" s="12" t="s">
        <v>620</v>
      </c>
      <c r="H190" t="s">
        <v>473</v>
      </c>
      <c r="I190" t="s">
        <v>51</v>
      </c>
      <c r="J190" t="s">
        <v>609</v>
      </c>
      <c r="L190"/>
      <c r="O190" t="s">
        <v>26</v>
      </c>
      <c r="P190" t="s">
        <v>27</v>
      </c>
      <c r="S190" s="23">
        <v>53.1</v>
      </c>
      <c r="T190" s="23"/>
      <c r="U190" s="23"/>
      <c r="V190" s="8" t="s">
        <v>580</v>
      </c>
    </row>
    <row r="191" spans="2:22" hidden="1">
      <c r="B191" t="s">
        <v>604</v>
      </c>
      <c r="C191" t="s">
        <v>40</v>
      </c>
      <c r="D191" t="s">
        <v>745</v>
      </c>
      <c r="E191" s="12" t="s">
        <v>612</v>
      </c>
      <c r="F191" s="12" t="s">
        <v>620</v>
      </c>
      <c r="H191" t="s">
        <v>613</v>
      </c>
      <c r="I191" t="s">
        <v>614</v>
      </c>
      <c r="J191" t="s">
        <v>615</v>
      </c>
      <c r="L191"/>
      <c r="O191" t="s">
        <v>538</v>
      </c>
      <c r="P191" t="s">
        <v>27</v>
      </c>
      <c r="S191" s="23">
        <v>75</v>
      </c>
      <c r="T191" s="23"/>
      <c r="U191" s="23"/>
      <c r="V191" s="8" t="s">
        <v>580</v>
      </c>
    </row>
    <row r="192" spans="2:22" hidden="1">
      <c r="B192" t="s">
        <v>604</v>
      </c>
      <c r="C192" t="s">
        <v>40</v>
      </c>
      <c r="D192" t="s">
        <v>745</v>
      </c>
      <c r="E192" s="12" t="s">
        <v>612</v>
      </c>
      <c r="F192" s="12" t="s">
        <v>620</v>
      </c>
      <c r="H192" t="s">
        <v>613</v>
      </c>
      <c r="I192" t="s">
        <v>614</v>
      </c>
      <c r="J192" t="s">
        <v>616</v>
      </c>
      <c r="L192"/>
      <c r="O192" t="s">
        <v>538</v>
      </c>
      <c r="P192" t="s">
        <v>27</v>
      </c>
      <c r="S192" s="23">
        <v>53</v>
      </c>
      <c r="T192" s="23"/>
      <c r="U192" s="23"/>
      <c r="V192" s="8" t="s">
        <v>580</v>
      </c>
    </row>
    <row r="193" spans="2:23" hidden="1">
      <c r="B193" t="s">
        <v>20</v>
      </c>
      <c r="C193" t="s">
        <v>21</v>
      </c>
      <c r="E193">
        <v>2011</v>
      </c>
      <c r="F193" s="12" t="s">
        <v>620</v>
      </c>
      <c r="H193" t="s">
        <v>22</v>
      </c>
      <c r="I193" t="s">
        <v>23</v>
      </c>
      <c r="J193" t="s">
        <v>24</v>
      </c>
      <c r="K193" t="s">
        <v>25</v>
      </c>
      <c r="M193" s="6">
        <v>-22345383000</v>
      </c>
      <c r="N193" s="6">
        <v>40327700000</v>
      </c>
      <c r="O193" t="s">
        <v>26</v>
      </c>
      <c r="P193" t="s">
        <v>27</v>
      </c>
      <c r="Q193">
        <v>7</v>
      </c>
      <c r="S193" s="7">
        <v>72.099999999999994</v>
      </c>
      <c r="T193" s="7">
        <v>7.4</v>
      </c>
      <c r="U193" s="7"/>
      <c r="V193" s="8" t="s">
        <v>28</v>
      </c>
    </row>
    <row r="194" spans="2:23" hidden="1">
      <c r="B194" t="s">
        <v>20</v>
      </c>
      <c r="C194" t="s">
        <v>21</v>
      </c>
      <c r="E194">
        <v>2011</v>
      </c>
      <c r="F194" s="12" t="s">
        <v>620</v>
      </c>
      <c r="H194" t="s">
        <v>22</v>
      </c>
      <c r="I194" t="s">
        <v>23</v>
      </c>
      <c r="J194" t="s">
        <v>24</v>
      </c>
      <c r="K194" t="s">
        <v>25</v>
      </c>
      <c r="M194" s="6">
        <v>-22345383000</v>
      </c>
      <c r="N194" s="6">
        <v>40327700000</v>
      </c>
      <c r="O194" t="s">
        <v>29</v>
      </c>
      <c r="P194" t="s">
        <v>30</v>
      </c>
      <c r="Q194">
        <v>7</v>
      </c>
      <c r="S194" s="7">
        <v>10.8</v>
      </c>
      <c r="T194" s="7">
        <v>6.6</v>
      </c>
      <c r="U194" s="7"/>
      <c r="V194" s="8" t="s">
        <v>28</v>
      </c>
    </row>
    <row r="195" spans="2:23" hidden="1">
      <c r="B195" t="s">
        <v>20</v>
      </c>
      <c r="C195" t="s">
        <v>21</v>
      </c>
      <c r="E195">
        <v>2011</v>
      </c>
      <c r="F195" s="12" t="s">
        <v>620</v>
      </c>
      <c r="H195" t="s">
        <v>22</v>
      </c>
      <c r="I195" t="s">
        <v>23</v>
      </c>
      <c r="J195" t="s">
        <v>24</v>
      </c>
      <c r="K195" t="s">
        <v>25</v>
      </c>
      <c r="M195" s="6">
        <v>-22345383000</v>
      </c>
      <c r="N195" s="6">
        <v>40327700000</v>
      </c>
      <c r="O195" t="s">
        <v>32</v>
      </c>
      <c r="Q195">
        <v>7</v>
      </c>
      <c r="S195" s="7">
        <v>7.8</v>
      </c>
      <c r="T195" s="7">
        <v>3.5</v>
      </c>
      <c r="U195" s="7"/>
      <c r="V195" s="8" t="s">
        <v>28</v>
      </c>
    </row>
    <row r="196" spans="2:23" hidden="1">
      <c r="B196" t="s">
        <v>20</v>
      </c>
      <c r="C196" t="s">
        <v>21</v>
      </c>
      <c r="E196">
        <v>2011</v>
      </c>
      <c r="F196" s="12" t="s">
        <v>620</v>
      </c>
      <c r="H196" t="s">
        <v>22</v>
      </c>
      <c r="I196" t="s">
        <v>23</v>
      </c>
      <c r="J196" t="s">
        <v>24</v>
      </c>
      <c r="K196" t="s">
        <v>25</v>
      </c>
      <c r="M196" s="6">
        <v>-22345383000</v>
      </c>
      <c r="N196" s="6">
        <v>40327700000</v>
      </c>
      <c r="O196" t="s">
        <v>33</v>
      </c>
      <c r="Q196">
        <v>7</v>
      </c>
      <c r="S196" s="7">
        <v>276.3</v>
      </c>
      <c r="T196" s="7">
        <v>156.6</v>
      </c>
      <c r="U196" s="7"/>
      <c r="V196" s="8" t="s">
        <v>28</v>
      </c>
    </row>
    <row r="197" spans="2:23" hidden="1">
      <c r="B197" t="s">
        <v>20</v>
      </c>
      <c r="C197" t="s">
        <v>21</v>
      </c>
      <c r="E197">
        <v>2012</v>
      </c>
      <c r="F197" s="12" t="s">
        <v>620</v>
      </c>
      <c r="H197" t="s">
        <v>22</v>
      </c>
      <c r="I197" t="s">
        <v>23</v>
      </c>
      <c r="J197" t="s">
        <v>34</v>
      </c>
      <c r="K197" t="s">
        <v>35</v>
      </c>
      <c r="M197" s="6">
        <v>-11561300000</v>
      </c>
      <c r="N197" s="6">
        <v>47291333000</v>
      </c>
      <c r="O197" t="s">
        <v>26</v>
      </c>
      <c r="P197" t="s">
        <v>27</v>
      </c>
      <c r="Q197">
        <v>7</v>
      </c>
      <c r="S197" s="7">
        <v>28.4</v>
      </c>
      <c r="T197" s="7">
        <v>7.6</v>
      </c>
      <c r="U197" s="7"/>
      <c r="V197" s="8" t="s">
        <v>28</v>
      </c>
    </row>
    <row r="198" spans="2:23" hidden="1">
      <c r="B198" t="s">
        <v>20</v>
      </c>
      <c r="C198" t="s">
        <v>21</v>
      </c>
      <c r="E198">
        <v>2012</v>
      </c>
      <c r="F198" s="12" t="s">
        <v>620</v>
      </c>
      <c r="H198" t="s">
        <v>22</v>
      </c>
      <c r="I198" t="s">
        <v>23</v>
      </c>
      <c r="J198" t="s">
        <v>34</v>
      </c>
      <c r="K198" t="s">
        <v>35</v>
      </c>
      <c r="M198" s="6">
        <v>-11561300000</v>
      </c>
      <c r="N198" s="6">
        <v>47291333000</v>
      </c>
      <c r="O198" t="s">
        <v>29</v>
      </c>
      <c r="P198" t="s">
        <v>30</v>
      </c>
      <c r="Q198">
        <v>7</v>
      </c>
      <c r="S198" s="7">
        <v>9.1</v>
      </c>
      <c r="T198" s="7">
        <v>4</v>
      </c>
      <c r="U198" s="7"/>
      <c r="V198" s="8" t="s">
        <v>28</v>
      </c>
    </row>
    <row r="199" spans="2:23" hidden="1">
      <c r="B199" t="s">
        <v>20</v>
      </c>
      <c r="C199" t="s">
        <v>21</v>
      </c>
      <c r="E199">
        <v>2012</v>
      </c>
      <c r="F199" s="12" t="s">
        <v>620</v>
      </c>
      <c r="H199" t="s">
        <v>22</v>
      </c>
      <c r="I199" t="s">
        <v>23</v>
      </c>
      <c r="J199" t="s">
        <v>34</v>
      </c>
      <c r="K199" t="s">
        <v>35</v>
      </c>
      <c r="M199" s="6">
        <v>-11561300000</v>
      </c>
      <c r="N199" s="6">
        <v>47291333000</v>
      </c>
      <c r="O199" t="s">
        <v>32</v>
      </c>
      <c r="Q199">
        <v>7</v>
      </c>
      <c r="S199" s="7">
        <v>17.3</v>
      </c>
      <c r="T199" s="7">
        <v>3.3</v>
      </c>
      <c r="U199" s="7"/>
      <c r="V199" s="8" t="s">
        <v>28</v>
      </c>
    </row>
    <row r="200" spans="2:23" hidden="1">
      <c r="B200" t="s">
        <v>20</v>
      </c>
      <c r="C200" t="s">
        <v>21</v>
      </c>
      <c r="E200">
        <v>2012</v>
      </c>
      <c r="F200" s="12" t="s">
        <v>620</v>
      </c>
      <c r="H200" t="s">
        <v>22</v>
      </c>
      <c r="I200" t="s">
        <v>23</v>
      </c>
      <c r="J200" t="s">
        <v>34</v>
      </c>
      <c r="K200" t="s">
        <v>35</v>
      </c>
      <c r="M200" s="6">
        <v>-11561300000</v>
      </c>
      <c r="N200" s="6">
        <v>47291333000</v>
      </c>
      <c r="O200" t="s">
        <v>33</v>
      </c>
      <c r="Q200">
        <v>7</v>
      </c>
      <c r="S200" s="7">
        <v>247.9</v>
      </c>
      <c r="T200" s="7">
        <v>221.9</v>
      </c>
      <c r="U200" s="7"/>
      <c r="V200" s="8" t="s">
        <v>28</v>
      </c>
    </row>
    <row r="201" spans="2:23" hidden="1">
      <c r="B201" t="s">
        <v>20</v>
      </c>
      <c r="C201" t="s">
        <v>21</v>
      </c>
      <c r="E201">
        <v>2013</v>
      </c>
      <c r="F201" s="12" t="s">
        <v>620</v>
      </c>
      <c r="H201" t="s">
        <v>22</v>
      </c>
      <c r="I201" t="s">
        <v>23</v>
      </c>
      <c r="J201" t="s">
        <v>36</v>
      </c>
      <c r="K201" t="s">
        <v>37</v>
      </c>
      <c r="M201" s="6">
        <v>-17019600000</v>
      </c>
      <c r="N201" s="6">
        <v>42681266667</v>
      </c>
      <c r="O201" t="s">
        <v>26</v>
      </c>
      <c r="P201" t="s">
        <v>27</v>
      </c>
      <c r="Q201">
        <v>7</v>
      </c>
      <c r="S201" s="7">
        <v>47.5</v>
      </c>
      <c r="T201" s="7">
        <v>12.9</v>
      </c>
      <c r="U201" s="7"/>
      <c r="V201" s="8" t="s">
        <v>28</v>
      </c>
    </row>
    <row r="202" spans="2:23" hidden="1">
      <c r="B202" t="s">
        <v>20</v>
      </c>
      <c r="C202" t="s">
        <v>21</v>
      </c>
      <c r="E202">
        <v>2013</v>
      </c>
      <c r="F202" s="12" t="s">
        <v>620</v>
      </c>
      <c r="H202" t="s">
        <v>22</v>
      </c>
      <c r="I202" t="s">
        <v>23</v>
      </c>
      <c r="J202" t="s">
        <v>36</v>
      </c>
      <c r="K202" t="s">
        <v>37</v>
      </c>
      <c r="M202" s="6">
        <v>-17019600000</v>
      </c>
      <c r="N202" s="6">
        <v>42681266667</v>
      </c>
      <c r="O202" t="s">
        <v>29</v>
      </c>
      <c r="P202" t="s">
        <v>30</v>
      </c>
      <c r="Q202">
        <v>7</v>
      </c>
      <c r="S202" s="7">
        <v>8.8000000000000007</v>
      </c>
      <c r="T202" s="7">
        <v>0.6</v>
      </c>
      <c r="U202" s="7"/>
      <c r="V202" s="8" t="s">
        <v>28</v>
      </c>
    </row>
    <row r="203" spans="2:23" hidden="1">
      <c r="B203" t="s">
        <v>20</v>
      </c>
      <c r="C203" t="s">
        <v>21</v>
      </c>
      <c r="E203">
        <v>2013</v>
      </c>
      <c r="F203" s="12" t="s">
        <v>620</v>
      </c>
      <c r="H203" t="s">
        <v>22</v>
      </c>
      <c r="I203" t="s">
        <v>23</v>
      </c>
      <c r="J203" t="s">
        <v>36</v>
      </c>
      <c r="K203" t="s">
        <v>37</v>
      </c>
      <c r="M203" s="6">
        <v>-17019600000</v>
      </c>
      <c r="N203" s="6">
        <v>42681266667</v>
      </c>
      <c r="O203" t="s">
        <v>32</v>
      </c>
      <c r="Q203">
        <v>7</v>
      </c>
      <c r="S203" s="7">
        <v>24.9</v>
      </c>
      <c r="T203" s="7">
        <v>6.2</v>
      </c>
      <c r="U203" s="7"/>
      <c r="V203" s="8" t="s">
        <v>28</v>
      </c>
    </row>
    <row r="204" spans="2:23" hidden="1">
      <c r="B204" t="s">
        <v>20</v>
      </c>
      <c r="C204" t="s">
        <v>21</v>
      </c>
      <c r="E204">
        <v>2013</v>
      </c>
      <c r="F204" s="12" t="s">
        <v>620</v>
      </c>
      <c r="H204" t="s">
        <v>22</v>
      </c>
      <c r="I204" t="s">
        <v>23</v>
      </c>
      <c r="J204" t="s">
        <v>36</v>
      </c>
      <c r="K204" t="s">
        <v>37</v>
      </c>
      <c r="M204" s="6">
        <v>-17019600000</v>
      </c>
      <c r="N204" s="6">
        <v>42681266667</v>
      </c>
      <c r="O204" t="s">
        <v>33</v>
      </c>
      <c r="Q204">
        <v>7</v>
      </c>
      <c r="S204" s="7">
        <v>484.6</v>
      </c>
      <c r="T204" s="7">
        <v>150</v>
      </c>
      <c r="U204" s="7"/>
      <c r="V204" s="8" t="s">
        <v>28</v>
      </c>
    </row>
    <row r="205" spans="2:23" hidden="1">
      <c r="B205" t="s">
        <v>20</v>
      </c>
      <c r="C205" t="s">
        <v>21</v>
      </c>
      <c r="E205">
        <v>2011</v>
      </c>
      <c r="F205" s="12" t="s">
        <v>620</v>
      </c>
      <c r="H205" t="s">
        <v>22</v>
      </c>
      <c r="I205" t="s">
        <v>23</v>
      </c>
      <c r="J205" t="s">
        <v>38</v>
      </c>
      <c r="K205" t="s">
        <v>25</v>
      </c>
      <c r="M205" s="6">
        <v>-21444117000</v>
      </c>
      <c r="N205" s="6">
        <v>39691583000</v>
      </c>
      <c r="O205" t="s">
        <v>26</v>
      </c>
      <c r="P205" t="s">
        <v>27</v>
      </c>
      <c r="Q205">
        <v>7</v>
      </c>
      <c r="S205" s="7">
        <v>62.9</v>
      </c>
      <c r="T205" s="7">
        <v>7.8</v>
      </c>
      <c r="U205" s="7"/>
      <c r="V205" s="8" t="s">
        <v>28</v>
      </c>
      <c r="W205" t="s">
        <v>39</v>
      </c>
    </row>
    <row r="206" spans="2:23" hidden="1">
      <c r="B206" t="s">
        <v>20</v>
      </c>
      <c r="C206" t="s">
        <v>21</v>
      </c>
      <c r="E206">
        <v>2011</v>
      </c>
      <c r="F206" s="12" t="s">
        <v>620</v>
      </c>
      <c r="H206" t="s">
        <v>22</v>
      </c>
      <c r="I206" t="s">
        <v>23</v>
      </c>
      <c r="J206" t="s">
        <v>38</v>
      </c>
      <c r="K206" t="s">
        <v>25</v>
      </c>
      <c r="M206" s="6">
        <v>-21444117000</v>
      </c>
      <c r="N206" s="6">
        <v>39691583000</v>
      </c>
      <c r="O206" t="s">
        <v>29</v>
      </c>
      <c r="P206" t="s">
        <v>30</v>
      </c>
      <c r="Q206">
        <v>7</v>
      </c>
      <c r="S206" s="7">
        <v>13.7</v>
      </c>
      <c r="T206" s="7">
        <v>6.6</v>
      </c>
      <c r="U206" s="7"/>
      <c r="V206" s="8" t="s">
        <v>28</v>
      </c>
    </row>
    <row r="207" spans="2:23" hidden="1">
      <c r="B207" t="s">
        <v>20</v>
      </c>
      <c r="C207" t="s">
        <v>21</v>
      </c>
      <c r="E207">
        <v>2011</v>
      </c>
      <c r="F207" s="12" t="s">
        <v>620</v>
      </c>
      <c r="H207" t="s">
        <v>22</v>
      </c>
      <c r="I207" t="s">
        <v>23</v>
      </c>
      <c r="J207" t="s">
        <v>38</v>
      </c>
      <c r="K207" t="s">
        <v>25</v>
      </c>
      <c r="M207" s="6">
        <v>-21444117000</v>
      </c>
      <c r="N207" s="6">
        <v>39691583000</v>
      </c>
      <c r="O207" t="s">
        <v>32</v>
      </c>
      <c r="Q207">
        <v>7</v>
      </c>
      <c r="S207" s="7">
        <v>29.9</v>
      </c>
      <c r="T207" s="7">
        <v>9.6</v>
      </c>
      <c r="U207" s="7"/>
      <c r="V207" s="8" t="s">
        <v>28</v>
      </c>
    </row>
    <row r="208" spans="2:23" hidden="1">
      <c r="B208" t="s">
        <v>20</v>
      </c>
      <c r="C208" t="s">
        <v>21</v>
      </c>
      <c r="E208">
        <v>2011</v>
      </c>
      <c r="F208" s="12" t="s">
        <v>620</v>
      </c>
      <c r="H208" t="s">
        <v>22</v>
      </c>
      <c r="I208" t="s">
        <v>23</v>
      </c>
      <c r="J208" t="s">
        <v>38</v>
      </c>
      <c r="K208" t="s">
        <v>25</v>
      </c>
      <c r="M208" s="6">
        <v>-21444117000</v>
      </c>
      <c r="N208" s="6">
        <v>39691583000</v>
      </c>
      <c r="O208" t="s">
        <v>33</v>
      </c>
      <c r="Q208">
        <v>7</v>
      </c>
      <c r="S208" s="7">
        <v>451.1</v>
      </c>
      <c r="T208" s="7">
        <v>238.6</v>
      </c>
      <c r="U208" s="7"/>
      <c r="V208" s="8" t="s">
        <v>28</v>
      </c>
    </row>
    <row r="209" spans="2:22" hidden="1">
      <c r="B209" t="s">
        <v>53</v>
      </c>
      <c r="C209" t="s">
        <v>21</v>
      </c>
      <c r="E209">
        <v>2018</v>
      </c>
      <c r="F209" s="12" t="s">
        <v>620</v>
      </c>
      <c r="H209" t="s">
        <v>54</v>
      </c>
      <c r="I209" t="s">
        <v>54</v>
      </c>
      <c r="J209" t="s">
        <v>55</v>
      </c>
      <c r="K209" t="s">
        <v>56</v>
      </c>
      <c r="L209" s="5" t="s">
        <v>57</v>
      </c>
      <c r="M209" t="s">
        <v>58</v>
      </c>
      <c r="N209" t="s">
        <v>59</v>
      </c>
      <c r="O209" s="11" t="s">
        <v>26</v>
      </c>
      <c r="P209" t="s">
        <v>27</v>
      </c>
      <c r="Q209">
        <v>5</v>
      </c>
      <c r="S209" s="9">
        <v>5.2</v>
      </c>
      <c r="T209" s="9">
        <v>1.9</v>
      </c>
      <c r="U209" s="9"/>
      <c r="V209" t="s">
        <v>60</v>
      </c>
    </row>
    <row r="210" spans="2:22" hidden="1">
      <c r="B210" t="s">
        <v>53</v>
      </c>
      <c r="C210" t="s">
        <v>21</v>
      </c>
      <c r="E210">
        <v>2018</v>
      </c>
      <c r="F210" s="12" t="s">
        <v>620</v>
      </c>
      <c r="H210" t="s">
        <v>54</v>
      </c>
      <c r="I210" t="s">
        <v>54</v>
      </c>
      <c r="J210" t="s">
        <v>55</v>
      </c>
      <c r="K210" t="s">
        <v>56</v>
      </c>
      <c r="L210" s="5" t="s">
        <v>57</v>
      </c>
      <c r="M210" t="s">
        <v>58</v>
      </c>
      <c r="N210" t="s">
        <v>59</v>
      </c>
      <c r="O210" t="s">
        <v>61</v>
      </c>
      <c r="P210" t="s">
        <v>62</v>
      </c>
      <c r="Q210">
        <v>5</v>
      </c>
      <c r="S210" s="9">
        <v>32.799999999999997</v>
      </c>
      <c r="T210" s="9">
        <v>3.9</v>
      </c>
      <c r="U210" s="9"/>
      <c r="V210" t="s">
        <v>60</v>
      </c>
    </row>
    <row r="211" spans="2:22" hidden="1">
      <c r="B211" t="s">
        <v>53</v>
      </c>
      <c r="C211" t="s">
        <v>21</v>
      </c>
      <c r="E211">
        <v>2018</v>
      </c>
      <c r="F211" s="12" t="s">
        <v>620</v>
      </c>
      <c r="H211" t="s">
        <v>54</v>
      </c>
      <c r="I211" t="s">
        <v>54</v>
      </c>
      <c r="J211" t="s">
        <v>55</v>
      </c>
      <c r="K211" t="s">
        <v>56</v>
      </c>
      <c r="L211" s="5" t="s">
        <v>57</v>
      </c>
      <c r="M211" t="s">
        <v>58</v>
      </c>
      <c r="N211" t="s">
        <v>59</v>
      </c>
      <c r="O211" t="s">
        <v>63</v>
      </c>
      <c r="Q211">
        <v>5</v>
      </c>
      <c r="S211" s="9">
        <v>0</v>
      </c>
      <c r="T211" s="9">
        <v>0</v>
      </c>
      <c r="U211" s="9"/>
      <c r="V211" t="s">
        <v>60</v>
      </c>
    </row>
    <row r="212" spans="2:22" hidden="1">
      <c r="B212" t="s">
        <v>53</v>
      </c>
      <c r="C212" t="s">
        <v>21</v>
      </c>
      <c r="E212">
        <v>2018</v>
      </c>
      <c r="F212" s="12" t="s">
        <v>620</v>
      </c>
      <c r="H212" t="s">
        <v>54</v>
      </c>
      <c r="I212" t="s">
        <v>54</v>
      </c>
      <c r="J212" t="s">
        <v>55</v>
      </c>
      <c r="K212" t="s">
        <v>56</v>
      </c>
      <c r="L212" s="5" t="s">
        <v>57</v>
      </c>
      <c r="M212" t="s">
        <v>58</v>
      </c>
      <c r="N212" t="s">
        <v>59</v>
      </c>
      <c r="O212" t="s">
        <v>64</v>
      </c>
      <c r="P212" t="s">
        <v>42</v>
      </c>
      <c r="Q212">
        <v>5</v>
      </c>
      <c r="S212" s="9">
        <v>0</v>
      </c>
      <c r="T212" s="9">
        <v>0</v>
      </c>
      <c r="U212" s="9"/>
      <c r="V212" t="s">
        <v>60</v>
      </c>
    </row>
    <row r="213" spans="2:22" hidden="1">
      <c r="B213" t="s">
        <v>53</v>
      </c>
      <c r="C213" t="s">
        <v>21</v>
      </c>
      <c r="E213">
        <v>2018</v>
      </c>
      <c r="F213" s="12" t="s">
        <v>620</v>
      </c>
      <c r="H213" t="s">
        <v>54</v>
      </c>
      <c r="I213" t="s">
        <v>54</v>
      </c>
      <c r="J213" t="s">
        <v>65</v>
      </c>
      <c r="K213" t="s">
        <v>56</v>
      </c>
      <c r="L213" s="5" t="s">
        <v>66</v>
      </c>
      <c r="M213" t="s">
        <v>67</v>
      </c>
      <c r="N213" t="s">
        <v>68</v>
      </c>
      <c r="O213" s="11" t="s">
        <v>26</v>
      </c>
      <c r="P213" t="s">
        <v>27</v>
      </c>
      <c r="Q213">
        <v>4</v>
      </c>
      <c r="S213" s="9">
        <v>14.6</v>
      </c>
      <c r="T213" s="9">
        <v>5</v>
      </c>
      <c r="U213" s="9"/>
      <c r="V213" t="s">
        <v>60</v>
      </c>
    </row>
    <row r="214" spans="2:22" hidden="1">
      <c r="B214" t="s">
        <v>53</v>
      </c>
      <c r="C214" t="s">
        <v>21</v>
      </c>
      <c r="E214">
        <v>2018</v>
      </c>
      <c r="F214" s="12" t="s">
        <v>620</v>
      </c>
      <c r="H214" t="s">
        <v>54</v>
      </c>
      <c r="I214" t="s">
        <v>54</v>
      </c>
      <c r="J214" t="s">
        <v>65</v>
      </c>
      <c r="K214" t="s">
        <v>56</v>
      </c>
      <c r="L214" s="5" t="s">
        <v>66</v>
      </c>
      <c r="M214" t="s">
        <v>67</v>
      </c>
      <c r="N214" t="s">
        <v>68</v>
      </c>
      <c r="O214" t="s">
        <v>61</v>
      </c>
      <c r="P214" t="s">
        <v>62</v>
      </c>
      <c r="Q214">
        <v>4</v>
      </c>
      <c r="S214" s="9">
        <v>23.8</v>
      </c>
      <c r="T214" s="9">
        <v>7.5</v>
      </c>
      <c r="U214" s="9"/>
      <c r="V214" t="s">
        <v>60</v>
      </c>
    </row>
    <row r="215" spans="2:22" hidden="1">
      <c r="B215" t="s">
        <v>53</v>
      </c>
      <c r="C215" t="s">
        <v>21</v>
      </c>
      <c r="E215">
        <v>2018</v>
      </c>
      <c r="F215" s="12" t="s">
        <v>620</v>
      </c>
      <c r="H215" t="s">
        <v>54</v>
      </c>
      <c r="I215" t="s">
        <v>54</v>
      </c>
      <c r="J215" t="s">
        <v>65</v>
      </c>
      <c r="K215" t="s">
        <v>56</v>
      </c>
      <c r="L215" s="5" t="s">
        <v>66</v>
      </c>
      <c r="M215" t="s">
        <v>67</v>
      </c>
      <c r="N215" t="s">
        <v>68</v>
      </c>
      <c r="O215" t="s">
        <v>63</v>
      </c>
      <c r="Q215">
        <v>4</v>
      </c>
      <c r="S215" s="9">
        <v>0.2</v>
      </c>
      <c r="T215" s="9">
        <v>0.3</v>
      </c>
      <c r="U215" s="9"/>
      <c r="V215" t="s">
        <v>60</v>
      </c>
    </row>
    <row r="216" spans="2:22" hidden="1">
      <c r="B216" t="s">
        <v>53</v>
      </c>
      <c r="C216" t="s">
        <v>21</v>
      </c>
      <c r="E216">
        <v>2018</v>
      </c>
      <c r="F216" s="12" t="s">
        <v>620</v>
      </c>
      <c r="H216" t="s">
        <v>54</v>
      </c>
      <c r="I216" t="s">
        <v>54</v>
      </c>
      <c r="J216" t="s">
        <v>65</v>
      </c>
      <c r="K216" t="s">
        <v>56</v>
      </c>
      <c r="L216" s="5" t="s">
        <v>66</v>
      </c>
      <c r="M216" t="s">
        <v>67</v>
      </c>
      <c r="N216" t="s">
        <v>68</v>
      </c>
      <c r="O216" t="s">
        <v>64</v>
      </c>
      <c r="P216" t="s">
        <v>42</v>
      </c>
      <c r="Q216">
        <v>4</v>
      </c>
      <c r="S216" s="9">
        <v>0</v>
      </c>
      <c r="T216" s="9">
        <v>0</v>
      </c>
      <c r="U216" s="9"/>
      <c r="V216" t="s">
        <v>60</v>
      </c>
    </row>
    <row r="217" spans="2:22" hidden="1">
      <c r="B217" t="s">
        <v>53</v>
      </c>
      <c r="C217" t="s">
        <v>21</v>
      </c>
      <c r="E217">
        <v>2018</v>
      </c>
      <c r="F217" s="12" t="s">
        <v>620</v>
      </c>
      <c r="H217" t="s">
        <v>54</v>
      </c>
      <c r="I217" t="s">
        <v>54</v>
      </c>
      <c r="J217" t="s">
        <v>69</v>
      </c>
      <c r="K217" t="s">
        <v>56</v>
      </c>
      <c r="L217" s="5" t="s">
        <v>70</v>
      </c>
      <c r="M217" t="s">
        <v>71</v>
      </c>
      <c r="N217" t="s">
        <v>72</v>
      </c>
      <c r="O217" s="11" t="s">
        <v>26</v>
      </c>
      <c r="P217" t="s">
        <v>27</v>
      </c>
      <c r="Q217">
        <v>5</v>
      </c>
      <c r="S217" s="9">
        <v>4.0999999999999996</v>
      </c>
      <c r="T217" s="9">
        <v>4.0999999999999996</v>
      </c>
      <c r="U217" s="9"/>
      <c r="V217" t="s">
        <v>60</v>
      </c>
    </row>
    <row r="218" spans="2:22" hidden="1">
      <c r="B218" t="s">
        <v>53</v>
      </c>
      <c r="C218" t="s">
        <v>21</v>
      </c>
      <c r="E218">
        <v>2018</v>
      </c>
      <c r="F218" s="12" t="s">
        <v>620</v>
      </c>
      <c r="H218" t="s">
        <v>54</v>
      </c>
      <c r="I218" t="s">
        <v>54</v>
      </c>
      <c r="J218" t="s">
        <v>69</v>
      </c>
      <c r="K218" t="s">
        <v>56</v>
      </c>
      <c r="L218" s="5" t="s">
        <v>70</v>
      </c>
      <c r="M218" t="s">
        <v>71</v>
      </c>
      <c r="N218" t="s">
        <v>72</v>
      </c>
      <c r="O218" t="s">
        <v>61</v>
      </c>
      <c r="P218" t="s">
        <v>62</v>
      </c>
      <c r="Q218">
        <v>5</v>
      </c>
      <c r="S218" s="9">
        <v>27.5</v>
      </c>
      <c r="T218" s="9">
        <v>13.6</v>
      </c>
      <c r="U218" s="9"/>
      <c r="V218" t="s">
        <v>60</v>
      </c>
    </row>
    <row r="219" spans="2:22" hidden="1">
      <c r="B219" t="s">
        <v>53</v>
      </c>
      <c r="C219" t="s">
        <v>21</v>
      </c>
      <c r="E219">
        <v>2018</v>
      </c>
      <c r="F219" s="12" t="s">
        <v>620</v>
      </c>
      <c r="H219" t="s">
        <v>54</v>
      </c>
      <c r="I219" t="s">
        <v>54</v>
      </c>
      <c r="J219" t="s">
        <v>69</v>
      </c>
      <c r="K219" t="s">
        <v>56</v>
      </c>
      <c r="L219" s="5" t="s">
        <v>70</v>
      </c>
      <c r="M219" t="s">
        <v>71</v>
      </c>
      <c r="N219" t="s">
        <v>72</v>
      </c>
      <c r="O219" t="s">
        <v>63</v>
      </c>
      <c r="Q219">
        <v>5</v>
      </c>
      <c r="S219" s="9">
        <v>0.2</v>
      </c>
      <c r="T219" s="9">
        <v>0.2</v>
      </c>
      <c r="U219" s="9"/>
      <c r="V219" t="s">
        <v>60</v>
      </c>
    </row>
    <row r="220" spans="2:22" hidden="1">
      <c r="B220" t="s">
        <v>53</v>
      </c>
      <c r="C220" t="s">
        <v>21</v>
      </c>
      <c r="E220">
        <v>2018</v>
      </c>
      <c r="F220" s="12" t="s">
        <v>620</v>
      </c>
      <c r="H220" t="s">
        <v>54</v>
      </c>
      <c r="I220" t="s">
        <v>54</v>
      </c>
      <c r="J220" t="s">
        <v>69</v>
      </c>
      <c r="K220" t="s">
        <v>56</v>
      </c>
      <c r="L220" s="5" t="s">
        <v>70</v>
      </c>
      <c r="M220" t="s">
        <v>71</v>
      </c>
      <c r="N220" t="s">
        <v>72</v>
      </c>
      <c r="O220" t="s">
        <v>64</v>
      </c>
      <c r="P220" t="s">
        <v>42</v>
      </c>
      <c r="Q220">
        <v>5</v>
      </c>
      <c r="S220" s="9">
        <v>0.1</v>
      </c>
      <c r="T220" s="9">
        <v>0.2</v>
      </c>
      <c r="U220" s="9"/>
      <c r="V220" t="s">
        <v>60</v>
      </c>
    </row>
    <row r="221" spans="2:22" hidden="1">
      <c r="B221" t="s">
        <v>53</v>
      </c>
      <c r="C221" t="s">
        <v>21</v>
      </c>
      <c r="E221">
        <v>2018</v>
      </c>
      <c r="F221" s="12" t="s">
        <v>620</v>
      </c>
      <c r="H221" t="s">
        <v>54</v>
      </c>
      <c r="I221" t="s">
        <v>54</v>
      </c>
      <c r="J221" t="s">
        <v>73</v>
      </c>
      <c r="K221" t="s">
        <v>56</v>
      </c>
      <c r="L221" s="5" t="s">
        <v>74</v>
      </c>
      <c r="M221" t="s">
        <v>75</v>
      </c>
      <c r="N221" t="s">
        <v>76</v>
      </c>
      <c r="O221" s="11" t="s">
        <v>26</v>
      </c>
      <c r="P221" t="s">
        <v>27</v>
      </c>
      <c r="Q221">
        <v>6</v>
      </c>
      <c r="S221" s="9">
        <v>10</v>
      </c>
      <c r="T221" s="9">
        <v>16</v>
      </c>
      <c r="U221" s="9"/>
      <c r="V221" t="s">
        <v>60</v>
      </c>
    </row>
    <row r="222" spans="2:22" hidden="1">
      <c r="B222" t="s">
        <v>53</v>
      </c>
      <c r="C222" t="s">
        <v>21</v>
      </c>
      <c r="E222">
        <v>2018</v>
      </c>
      <c r="F222" s="12" t="s">
        <v>620</v>
      </c>
      <c r="H222" t="s">
        <v>54</v>
      </c>
      <c r="I222" t="s">
        <v>54</v>
      </c>
      <c r="J222" t="s">
        <v>73</v>
      </c>
      <c r="K222" t="s">
        <v>56</v>
      </c>
      <c r="L222" s="5" t="s">
        <v>74</v>
      </c>
      <c r="M222" t="s">
        <v>75</v>
      </c>
      <c r="N222" t="s">
        <v>76</v>
      </c>
      <c r="O222" t="s">
        <v>61</v>
      </c>
      <c r="P222" t="s">
        <v>62</v>
      </c>
      <c r="Q222">
        <v>6</v>
      </c>
      <c r="S222" s="9">
        <v>14.1</v>
      </c>
      <c r="T222" s="9">
        <v>11</v>
      </c>
      <c r="U222" s="9"/>
      <c r="V222" t="s">
        <v>60</v>
      </c>
    </row>
    <row r="223" spans="2:22" hidden="1">
      <c r="B223" t="s">
        <v>53</v>
      </c>
      <c r="C223" t="s">
        <v>21</v>
      </c>
      <c r="E223">
        <v>2018</v>
      </c>
      <c r="F223" s="12" t="s">
        <v>620</v>
      </c>
      <c r="H223" t="s">
        <v>54</v>
      </c>
      <c r="I223" t="s">
        <v>54</v>
      </c>
      <c r="J223" t="s">
        <v>73</v>
      </c>
      <c r="K223" t="s">
        <v>56</v>
      </c>
      <c r="L223" s="5" t="s">
        <v>74</v>
      </c>
      <c r="M223" t="s">
        <v>75</v>
      </c>
      <c r="N223" t="s">
        <v>76</v>
      </c>
      <c r="O223" t="s">
        <v>63</v>
      </c>
      <c r="Q223">
        <v>6</v>
      </c>
      <c r="S223" s="9">
        <v>1.2</v>
      </c>
      <c r="T223" s="9">
        <v>2.2999999999999998</v>
      </c>
      <c r="U223" s="9"/>
      <c r="V223" t="s">
        <v>60</v>
      </c>
    </row>
    <row r="224" spans="2:22" hidden="1">
      <c r="B224" t="s">
        <v>53</v>
      </c>
      <c r="C224" t="s">
        <v>21</v>
      </c>
      <c r="E224">
        <v>2018</v>
      </c>
      <c r="F224" s="12" t="s">
        <v>620</v>
      </c>
      <c r="H224" t="s">
        <v>54</v>
      </c>
      <c r="I224" t="s">
        <v>54</v>
      </c>
      <c r="J224" t="s">
        <v>73</v>
      </c>
      <c r="K224" t="s">
        <v>56</v>
      </c>
      <c r="L224" s="5" t="s">
        <v>74</v>
      </c>
      <c r="M224" t="s">
        <v>75</v>
      </c>
      <c r="N224" t="s">
        <v>76</v>
      </c>
      <c r="O224" t="s">
        <v>64</v>
      </c>
      <c r="P224" t="s">
        <v>42</v>
      </c>
      <c r="Q224">
        <v>6</v>
      </c>
      <c r="S224" s="9">
        <v>0</v>
      </c>
      <c r="T224" s="9">
        <v>0</v>
      </c>
      <c r="U224" s="9"/>
      <c r="V224" t="s">
        <v>60</v>
      </c>
    </row>
    <row r="225" spans="2:22" hidden="1">
      <c r="B225" t="s">
        <v>53</v>
      </c>
      <c r="C225" t="s">
        <v>21</v>
      </c>
      <c r="E225">
        <v>2018</v>
      </c>
      <c r="F225" s="12" t="s">
        <v>620</v>
      </c>
      <c r="H225" t="s">
        <v>54</v>
      </c>
      <c r="I225" t="s">
        <v>54</v>
      </c>
      <c r="J225" t="s">
        <v>77</v>
      </c>
      <c r="K225" t="s">
        <v>56</v>
      </c>
      <c r="L225" s="5" t="s">
        <v>78</v>
      </c>
      <c r="M225" t="s">
        <v>79</v>
      </c>
      <c r="N225" t="s">
        <v>80</v>
      </c>
      <c r="O225" s="11" t="s">
        <v>26</v>
      </c>
      <c r="P225" t="s">
        <v>27</v>
      </c>
      <c r="Q225">
        <v>5</v>
      </c>
      <c r="S225" s="9">
        <v>5.8</v>
      </c>
      <c r="T225" s="9">
        <v>1.8</v>
      </c>
      <c r="U225" s="9"/>
      <c r="V225" t="s">
        <v>60</v>
      </c>
    </row>
    <row r="226" spans="2:22" hidden="1">
      <c r="B226" t="s">
        <v>53</v>
      </c>
      <c r="C226" t="s">
        <v>21</v>
      </c>
      <c r="E226">
        <v>2018</v>
      </c>
      <c r="F226" s="12" t="s">
        <v>620</v>
      </c>
      <c r="H226" t="s">
        <v>54</v>
      </c>
      <c r="I226" t="s">
        <v>54</v>
      </c>
      <c r="J226" t="s">
        <v>77</v>
      </c>
      <c r="K226" t="s">
        <v>56</v>
      </c>
      <c r="L226" s="5" t="s">
        <v>78</v>
      </c>
      <c r="M226" t="s">
        <v>79</v>
      </c>
      <c r="N226" t="s">
        <v>80</v>
      </c>
      <c r="O226" t="s">
        <v>61</v>
      </c>
      <c r="P226" t="s">
        <v>62</v>
      </c>
      <c r="Q226">
        <v>5</v>
      </c>
      <c r="S226" s="9">
        <v>37</v>
      </c>
      <c r="T226" s="9">
        <v>8.6999999999999993</v>
      </c>
      <c r="U226" s="9"/>
      <c r="V226" t="s">
        <v>60</v>
      </c>
    </row>
    <row r="227" spans="2:22" hidden="1">
      <c r="B227" t="s">
        <v>53</v>
      </c>
      <c r="C227" t="s">
        <v>21</v>
      </c>
      <c r="E227">
        <v>2018</v>
      </c>
      <c r="F227" s="12" t="s">
        <v>620</v>
      </c>
      <c r="H227" t="s">
        <v>54</v>
      </c>
      <c r="I227" t="s">
        <v>54</v>
      </c>
      <c r="J227" t="s">
        <v>77</v>
      </c>
      <c r="K227" t="s">
        <v>56</v>
      </c>
      <c r="L227" s="5" t="s">
        <v>78</v>
      </c>
      <c r="M227" t="s">
        <v>79</v>
      </c>
      <c r="N227" t="s">
        <v>80</v>
      </c>
      <c r="O227" t="s">
        <v>63</v>
      </c>
      <c r="Q227">
        <v>5</v>
      </c>
      <c r="S227" s="9">
        <v>0.1</v>
      </c>
      <c r="T227" s="9">
        <v>0.1</v>
      </c>
      <c r="U227" s="9"/>
      <c r="V227" t="s">
        <v>60</v>
      </c>
    </row>
    <row r="228" spans="2:22" hidden="1">
      <c r="B228" t="s">
        <v>53</v>
      </c>
      <c r="C228" t="s">
        <v>21</v>
      </c>
      <c r="E228">
        <v>2018</v>
      </c>
      <c r="F228" s="12" t="s">
        <v>620</v>
      </c>
      <c r="H228" t="s">
        <v>54</v>
      </c>
      <c r="I228" t="s">
        <v>54</v>
      </c>
      <c r="J228" t="s">
        <v>77</v>
      </c>
      <c r="K228" t="s">
        <v>56</v>
      </c>
      <c r="L228" s="5" t="s">
        <v>78</v>
      </c>
      <c r="M228" t="s">
        <v>79</v>
      </c>
      <c r="N228" t="s">
        <v>80</v>
      </c>
      <c r="O228" t="s">
        <v>64</v>
      </c>
      <c r="P228" t="s">
        <v>42</v>
      </c>
      <c r="Q228">
        <v>5</v>
      </c>
      <c r="S228" s="9">
        <v>0</v>
      </c>
      <c r="T228" s="9">
        <v>0</v>
      </c>
      <c r="U228" s="9"/>
      <c r="V228" t="s">
        <v>60</v>
      </c>
    </row>
    <row r="229" spans="2:22" hidden="1">
      <c r="B229" t="s">
        <v>81</v>
      </c>
      <c r="C229" t="s">
        <v>21</v>
      </c>
      <c r="E229">
        <v>2017</v>
      </c>
      <c r="F229" s="12" t="s">
        <v>620</v>
      </c>
      <c r="H229" s="11" t="s">
        <v>82</v>
      </c>
      <c r="I229" s="11" t="s">
        <v>82</v>
      </c>
      <c r="J229" t="s">
        <v>83</v>
      </c>
      <c r="K229" t="s">
        <v>84</v>
      </c>
      <c r="L229" s="5" t="s">
        <v>85</v>
      </c>
      <c r="M229" t="s">
        <v>86</v>
      </c>
      <c r="N229" t="s">
        <v>87</v>
      </c>
      <c r="O229" s="11" t="s">
        <v>26</v>
      </c>
      <c r="P229" t="s">
        <v>27</v>
      </c>
      <c r="S229" s="9">
        <v>46.1</v>
      </c>
      <c r="T229" s="9">
        <v>18.899999999999999</v>
      </c>
      <c r="U229" s="9"/>
      <c r="V229" t="s">
        <v>88</v>
      </c>
    </row>
    <row r="230" spans="2:22" hidden="1">
      <c r="B230" t="s">
        <v>81</v>
      </c>
      <c r="C230" t="s">
        <v>21</v>
      </c>
      <c r="E230">
        <v>2017</v>
      </c>
      <c r="F230" s="12" t="s">
        <v>620</v>
      </c>
      <c r="H230" s="11" t="s">
        <v>82</v>
      </c>
      <c r="I230" s="11" t="s">
        <v>82</v>
      </c>
      <c r="J230" t="s">
        <v>83</v>
      </c>
      <c r="K230" t="s">
        <v>84</v>
      </c>
      <c r="L230" s="5" t="s">
        <v>85</v>
      </c>
      <c r="M230" t="s">
        <v>86</v>
      </c>
      <c r="N230" t="s">
        <v>87</v>
      </c>
      <c r="O230" t="s">
        <v>61</v>
      </c>
      <c r="P230" t="s">
        <v>62</v>
      </c>
      <c r="S230" s="9">
        <v>0.5</v>
      </c>
      <c r="T230" s="9">
        <v>0.5</v>
      </c>
      <c r="U230" s="9"/>
      <c r="V230" t="s">
        <v>88</v>
      </c>
    </row>
    <row r="231" spans="2:22" hidden="1">
      <c r="B231" t="s">
        <v>81</v>
      </c>
      <c r="C231" t="s">
        <v>21</v>
      </c>
      <c r="E231">
        <v>2017</v>
      </c>
      <c r="F231" s="12" t="s">
        <v>620</v>
      </c>
      <c r="H231" s="11" t="s">
        <v>82</v>
      </c>
      <c r="I231" s="11" t="s">
        <v>82</v>
      </c>
      <c r="J231" t="s">
        <v>83</v>
      </c>
      <c r="K231" t="s">
        <v>84</v>
      </c>
      <c r="L231" s="5" t="s">
        <v>85</v>
      </c>
      <c r="M231" t="s">
        <v>86</v>
      </c>
      <c r="N231" t="s">
        <v>87</v>
      </c>
      <c r="O231" t="s">
        <v>89</v>
      </c>
      <c r="P231" t="s">
        <v>43</v>
      </c>
      <c r="S231" s="9">
        <v>0.1</v>
      </c>
      <c r="T231" s="9">
        <v>0.1</v>
      </c>
      <c r="U231" s="9"/>
      <c r="V231" t="s">
        <v>88</v>
      </c>
    </row>
    <row r="232" spans="2:22" hidden="1">
      <c r="B232" t="s">
        <v>81</v>
      </c>
      <c r="C232" t="s">
        <v>21</v>
      </c>
      <c r="E232">
        <v>2017</v>
      </c>
      <c r="F232" s="12" t="s">
        <v>620</v>
      </c>
      <c r="H232" s="11" t="s">
        <v>82</v>
      </c>
      <c r="I232" s="11" t="s">
        <v>82</v>
      </c>
      <c r="J232" t="s">
        <v>90</v>
      </c>
      <c r="K232" t="s">
        <v>91</v>
      </c>
      <c r="L232" s="5" t="s">
        <v>92</v>
      </c>
      <c r="M232" t="s">
        <v>93</v>
      </c>
      <c r="N232" t="s">
        <v>94</v>
      </c>
      <c r="O232" s="11" t="s">
        <v>26</v>
      </c>
      <c r="P232" t="s">
        <v>27</v>
      </c>
      <c r="S232" s="9">
        <v>31.3</v>
      </c>
      <c r="T232" s="9">
        <v>8.6</v>
      </c>
      <c r="U232" s="9"/>
      <c r="V232" t="s">
        <v>88</v>
      </c>
    </row>
    <row r="233" spans="2:22" hidden="1">
      <c r="B233" t="s">
        <v>81</v>
      </c>
      <c r="C233" t="s">
        <v>21</v>
      </c>
      <c r="E233">
        <v>2017</v>
      </c>
      <c r="F233" s="12" t="s">
        <v>620</v>
      </c>
      <c r="H233" s="11" t="s">
        <v>82</v>
      </c>
      <c r="I233" s="11" t="s">
        <v>82</v>
      </c>
      <c r="J233" t="s">
        <v>90</v>
      </c>
      <c r="K233" t="s">
        <v>91</v>
      </c>
      <c r="L233" s="5" t="s">
        <v>92</v>
      </c>
      <c r="M233" t="s">
        <v>93</v>
      </c>
      <c r="N233" t="s">
        <v>94</v>
      </c>
      <c r="O233" t="s">
        <v>61</v>
      </c>
      <c r="P233" t="s">
        <v>62</v>
      </c>
      <c r="S233" s="9">
        <v>2</v>
      </c>
      <c r="T233" s="9">
        <v>1.9</v>
      </c>
      <c r="U233" s="9"/>
      <c r="V233" t="s">
        <v>88</v>
      </c>
    </row>
    <row r="234" spans="2:22" hidden="1">
      <c r="B234" t="s">
        <v>81</v>
      </c>
      <c r="C234" t="s">
        <v>21</v>
      </c>
      <c r="E234">
        <v>2017</v>
      </c>
      <c r="F234" s="12" t="s">
        <v>620</v>
      </c>
      <c r="H234" s="11" t="s">
        <v>82</v>
      </c>
      <c r="I234" s="11" t="s">
        <v>82</v>
      </c>
      <c r="J234" t="s">
        <v>90</v>
      </c>
      <c r="K234" t="s">
        <v>91</v>
      </c>
      <c r="L234" s="5" t="s">
        <v>92</v>
      </c>
      <c r="M234" t="s">
        <v>93</v>
      </c>
      <c r="N234" t="s">
        <v>94</v>
      </c>
      <c r="O234" t="s">
        <v>89</v>
      </c>
      <c r="P234" t="s">
        <v>43</v>
      </c>
      <c r="S234" s="9">
        <v>0.1</v>
      </c>
      <c r="T234" s="9">
        <v>0.1</v>
      </c>
      <c r="U234" s="9"/>
      <c r="V234" t="s">
        <v>88</v>
      </c>
    </row>
    <row r="235" spans="2:22" hidden="1">
      <c r="B235" t="s">
        <v>81</v>
      </c>
      <c r="C235" t="s">
        <v>21</v>
      </c>
      <c r="E235">
        <v>2017</v>
      </c>
      <c r="F235" s="12" t="s">
        <v>620</v>
      </c>
      <c r="H235" s="11" t="s">
        <v>82</v>
      </c>
      <c r="I235" s="11" t="s">
        <v>82</v>
      </c>
      <c r="J235" t="s">
        <v>95</v>
      </c>
      <c r="K235" t="s">
        <v>96</v>
      </c>
      <c r="L235" s="5" t="s">
        <v>97</v>
      </c>
      <c r="M235" t="s">
        <v>98</v>
      </c>
      <c r="N235" t="s">
        <v>99</v>
      </c>
      <c r="O235" s="11" t="s">
        <v>26</v>
      </c>
      <c r="P235" t="s">
        <v>27</v>
      </c>
      <c r="S235" s="9">
        <v>15.5</v>
      </c>
      <c r="T235" s="9">
        <v>12</v>
      </c>
      <c r="U235" s="9"/>
      <c r="V235" t="s">
        <v>88</v>
      </c>
    </row>
    <row r="236" spans="2:22" hidden="1">
      <c r="B236" t="s">
        <v>81</v>
      </c>
      <c r="C236" t="s">
        <v>21</v>
      </c>
      <c r="E236">
        <v>2017</v>
      </c>
      <c r="F236" s="12" t="s">
        <v>620</v>
      </c>
      <c r="H236" s="11" t="s">
        <v>82</v>
      </c>
      <c r="I236" s="11" t="s">
        <v>82</v>
      </c>
      <c r="J236" t="s">
        <v>95</v>
      </c>
      <c r="K236" t="s">
        <v>96</v>
      </c>
      <c r="L236" s="5" t="s">
        <v>97</v>
      </c>
      <c r="M236" t="s">
        <v>98</v>
      </c>
      <c r="N236" t="s">
        <v>99</v>
      </c>
      <c r="O236" t="s">
        <v>61</v>
      </c>
      <c r="P236" t="s">
        <v>62</v>
      </c>
      <c r="S236" s="9">
        <v>18.5</v>
      </c>
      <c r="T236" s="9">
        <v>5.3</v>
      </c>
      <c r="U236" s="9"/>
      <c r="V236" t="s">
        <v>88</v>
      </c>
    </row>
    <row r="237" spans="2:22" hidden="1">
      <c r="B237" t="s">
        <v>81</v>
      </c>
      <c r="C237" t="s">
        <v>21</v>
      </c>
      <c r="E237">
        <v>2017</v>
      </c>
      <c r="F237" s="12" t="s">
        <v>620</v>
      </c>
      <c r="H237" s="11" t="s">
        <v>82</v>
      </c>
      <c r="I237" s="11" t="s">
        <v>82</v>
      </c>
      <c r="J237" t="s">
        <v>95</v>
      </c>
      <c r="K237" t="s">
        <v>96</v>
      </c>
      <c r="L237" s="5" t="s">
        <v>97</v>
      </c>
      <c r="M237" t="s">
        <v>98</v>
      </c>
      <c r="N237" t="s">
        <v>99</v>
      </c>
      <c r="O237" t="s">
        <v>89</v>
      </c>
      <c r="P237" t="s">
        <v>43</v>
      </c>
      <c r="S237" s="9">
        <v>0.2</v>
      </c>
      <c r="T237" s="9">
        <v>0.3</v>
      </c>
      <c r="U237" s="9"/>
      <c r="V237" t="s">
        <v>88</v>
      </c>
    </row>
    <row r="238" spans="2:22" hidden="1">
      <c r="B238" t="s">
        <v>81</v>
      </c>
      <c r="C238" t="s">
        <v>21</v>
      </c>
      <c r="E238">
        <v>2017</v>
      </c>
      <c r="F238" s="12" t="s">
        <v>620</v>
      </c>
      <c r="H238" s="11" t="s">
        <v>82</v>
      </c>
      <c r="I238" s="11" t="s">
        <v>82</v>
      </c>
      <c r="J238" t="s">
        <v>100</v>
      </c>
      <c r="K238" t="s">
        <v>101</v>
      </c>
      <c r="L238" s="5" t="s">
        <v>102</v>
      </c>
      <c r="M238" t="s">
        <v>103</v>
      </c>
      <c r="N238" t="s">
        <v>104</v>
      </c>
      <c r="O238" s="11" t="s">
        <v>26</v>
      </c>
      <c r="P238" t="s">
        <v>27</v>
      </c>
      <c r="S238" s="9">
        <v>26.2</v>
      </c>
      <c r="T238" s="9">
        <v>5.4</v>
      </c>
      <c r="U238" s="9"/>
      <c r="V238" t="s">
        <v>88</v>
      </c>
    </row>
    <row r="239" spans="2:22" hidden="1">
      <c r="B239" t="s">
        <v>81</v>
      </c>
      <c r="C239" t="s">
        <v>21</v>
      </c>
      <c r="E239">
        <v>2017</v>
      </c>
      <c r="F239" s="12" t="s">
        <v>620</v>
      </c>
      <c r="H239" s="11" t="s">
        <v>82</v>
      </c>
      <c r="I239" s="11" t="s">
        <v>82</v>
      </c>
      <c r="J239" t="s">
        <v>100</v>
      </c>
      <c r="K239" t="s">
        <v>101</v>
      </c>
      <c r="L239" s="5" t="s">
        <v>102</v>
      </c>
      <c r="M239" t="s">
        <v>103</v>
      </c>
      <c r="N239" t="s">
        <v>104</v>
      </c>
      <c r="O239" t="s">
        <v>61</v>
      </c>
      <c r="P239" t="s">
        <v>62</v>
      </c>
      <c r="S239" s="9">
        <v>1.1000000000000001</v>
      </c>
      <c r="T239" s="9">
        <v>0.9</v>
      </c>
      <c r="U239" s="9"/>
      <c r="V239" t="s">
        <v>88</v>
      </c>
    </row>
    <row r="240" spans="2:22" hidden="1">
      <c r="B240" t="s">
        <v>81</v>
      </c>
      <c r="C240" t="s">
        <v>21</v>
      </c>
      <c r="E240">
        <v>2017</v>
      </c>
      <c r="F240" s="12" t="s">
        <v>620</v>
      </c>
      <c r="H240" s="11" t="s">
        <v>82</v>
      </c>
      <c r="I240" s="11" t="s">
        <v>82</v>
      </c>
      <c r="J240" t="s">
        <v>100</v>
      </c>
      <c r="K240" t="s">
        <v>101</v>
      </c>
      <c r="L240" s="5" t="s">
        <v>102</v>
      </c>
      <c r="M240" t="s">
        <v>103</v>
      </c>
      <c r="N240" t="s">
        <v>104</v>
      </c>
      <c r="O240" t="s">
        <v>89</v>
      </c>
      <c r="P240" t="s">
        <v>43</v>
      </c>
      <c r="S240" s="9">
        <v>0.3</v>
      </c>
      <c r="T240" s="9">
        <v>0.3</v>
      </c>
      <c r="U240" s="9"/>
      <c r="V240" t="s">
        <v>88</v>
      </c>
    </row>
    <row r="241" spans="2:22" hidden="1">
      <c r="B241" t="s">
        <v>81</v>
      </c>
      <c r="C241" t="s">
        <v>21</v>
      </c>
      <c r="E241">
        <v>2017</v>
      </c>
      <c r="F241" s="12" t="s">
        <v>620</v>
      </c>
      <c r="I241" s="11" t="s">
        <v>105</v>
      </c>
      <c r="J241" s="11"/>
      <c r="K241" s="11" t="s">
        <v>106</v>
      </c>
      <c r="L241" s="5" t="s">
        <v>107</v>
      </c>
      <c r="M241" t="s">
        <v>108</v>
      </c>
      <c r="N241" t="s">
        <v>109</v>
      </c>
      <c r="O241" s="11" t="s">
        <v>26</v>
      </c>
      <c r="P241" t="s">
        <v>27</v>
      </c>
      <c r="S241" s="9">
        <v>34.9</v>
      </c>
      <c r="T241" s="9"/>
      <c r="U241" s="9"/>
      <c r="V241" t="s">
        <v>88</v>
      </c>
    </row>
    <row r="242" spans="2:22" hidden="1">
      <c r="B242" t="s">
        <v>81</v>
      </c>
      <c r="C242" t="s">
        <v>21</v>
      </c>
      <c r="E242">
        <v>2017</v>
      </c>
      <c r="F242" s="12" t="s">
        <v>620</v>
      </c>
      <c r="I242" s="11" t="s">
        <v>105</v>
      </c>
      <c r="J242" s="11"/>
      <c r="K242" s="11" t="s">
        <v>106</v>
      </c>
      <c r="L242" s="5" t="s">
        <v>107</v>
      </c>
      <c r="M242" t="s">
        <v>108</v>
      </c>
      <c r="N242" t="s">
        <v>109</v>
      </c>
      <c r="O242" t="s">
        <v>61</v>
      </c>
      <c r="P242" t="s">
        <v>62</v>
      </c>
      <c r="S242" s="9">
        <v>9.4</v>
      </c>
      <c r="T242" s="9"/>
      <c r="U242" s="9"/>
      <c r="V242" t="s">
        <v>88</v>
      </c>
    </row>
    <row r="243" spans="2:22" hidden="1">
      <c r="B243" t="s">
        <v>81</v>
      </c>
      <c r="C243" t="s">
        <v>21</v>
      </c>
      <c r="E243">
        <v>2017</v>
      </c>
      <c r="F243" s="12" t="s">
        <v>620</v>
      </c>
      <c r="I243" s="11" t="s">
        <v>105</v>
      </c>
      <c r="J243" s="11"/>
      <c r="K243" s="11" t="s">
        <v>106</v>
      </c>
      <c r="L243" s="5" t="s">
        <v>107</v>
      </c>
      <c r="M243" t="s">
        <v>108</v>
      </c>
      <c r="N243" t="s">
        <v>109</v>
      </c>
      <c r="O243" t="s">
        <v>89</v>
      </c>
      <c r="P243" t="s">
        <v>43</v>
      </c>
      <c r="S243" s="9">
        <v>0.5</v>
      </c>
      <c r="T243" s="9"/>
      <c r="U243" s="9"/>
      <c r="V243" t="s">
        <v>88</v>
      </c>
    </row>
    <row r="244" spans="2:22" hidden="1">
      <c r="B244" t="s">
        <v>81</v>
      </c>
      <c r="C244" t="s">
        <v>21</v>
      </c>
      <c r="E244">
        <v>2017</v>
      </c>
      <c r="F244" s="12" t="s">
        <v>620</v>
      </c>
      <c r="I244" s="11" t="s">
        <v>105</v>
      </c>
      <c r="K244" s="11" t="s">
        <v>110</v>
      </c>
      <c r="L244" s="5" t="s">
        <v>111</v>
      </c>
      <c r="M244" t="s">
        <v>112</v>
      </c>
      <c r="N244" t="s">
        <v>113</v>
      </c>
      <c r="O244" s="11" t="s">
        <v>26</v>
      </c>
      <c r="P244" t="s">
        <v>27</v>
      </c>
      <c r="S244" s="9">
        <v>27.6</v>
      </c>
      <c r="T244" s="9"/>
      <c r="U244" s="9"/>
      <c r="V244" t="s">
        <v>88</v>
      </c>
    </row>
    <row r="245" spans="2:22" hidden="1">
      <c r="B245" t="s">
        <v>81</v>
      </c>
      <c r="C245" t="s">
        <v>21</v>
      </c>
      <c r="E245">
        <v>2017</v>
      </c>
      <c r="F245" s="12" t="s">
        <v>620</v>
      </c>
      <c r="I245" s="11" t="s">
        <v>105</v>
      </c>
      <c r="K245" s="11" t="s">
        <v>110</v>
      </c>
      <c r="L245" s="5" t="s">
        <v>111</v>
      </c>
      <c r="M245" t="s">
        <v>112</v>
      </c>
      <c r="N245" t="s">
        <v>113</v>
      </c>
      <c r="O245" t="s">
        <v>61</v>
      </c>
      <c r="P245" t="s">
        <v>62</v>
      </c>
      <c r="S245" s="9">
        <v>1.1000000000000001</v>
      </c>
      <c r="T245" s="9"/>
      <c r="U245" s="9"/>
      <c r="V245" t="s">
        <v>88</v>
      </c>
    </row>
    <row r="246" spans="2:22" hidden="1">
      <c r="B246" t="s">
        <v>81</v>
      </c>
      <c r="C246" t="s">
        <v>21</v>
      </c>
      <c r="E246">
        <v>2017</v>
      </c>
      <c r="F246" s="12" t="s">
        <v>620</v>
      </c>
      <c r="I246" s="11" t="s">
        <v>105</v>
      </c>
      <c r="K246" s="11" t="s">
        <v>110</v>
      </c>
      <c r="L246" s="5" t="s">
        <v>111</v>
      </c>
      <c r="M246" t="s">
        <v>112</v>
      </c>
      <c r="N246" t="s">
        <v>113</v>
      </c>
      <c r="O246" t="s">
        <v>89</v>
      </c>
      <c r="P246" t="s">
        <v>43</v>
      </c>
      <c r="S246" s="9">
        <v>0.4</v>
      </c>
      <c r="T246" s="9"/>
      <c r="U246" s="9"/>
      <c r="V246" t="s">
        <v>88</v>
      </c>
    </row>
    <row r="247" spans="2:22" hidden="1">
      <c r="B247" t="s">
        <v>81</v>
      </c>
      <c r="C247" t="s">
        <v>21</v>
      </c>
      <c r="E247">
        <v>2017</v>
      </c>
      <c r="F247" s="12" t="s">
        <v>620</v>
      </c>
      <c r="I247" s="11" t="s">
        <v>105</v>
      </c>
      <c r="K247" s="11" t="s">
        <v>114</v>
      </c>
      <c r="L247" s="5" t="s">
        <v>115</v>
      </c>
      <c r="M247" t="s">
        <v>116</v>
      </c>
      <c r="N247" t="s">
        <v>117</v>
      </c>
      <c r="O247" s="11" t="s">
        <v>26</v>
      </c>
      <c r="P247" t="s">
        <v>27</v>
      </c>
      <c r="S247" s="9">
        <v>31.3</v>
      </c>
      <c r="T247" s="9"/>
      <c r="U247" s="9"/>
      <c r="V247" t="s">
        <v>88</v>
      </c>
    </row>
    <row r="248" spans="2:22" hidden="1">
      <c r="B248" t="s">
        <v>81</v>
      </c>
      <c r="C248" t="s">
        <v>21</v>
      </c>
      <c r="E248">
        <v>2017</v>
      </c>
      <c r="F248" s="12" t="s">
        <v>620</v>
      </c>
      <c r="I248" s="11" t="s">
        <v>105</v>
      </c>
      <c r="K248" s="11" t="s">
        <v>114</v>
      </c>
      <c r="L248" s="5" t="s">
        <v>115</v>
      </c>
      <c r="M248" t="s">
        <v>116</v>
      </c>
      <c r="N248" t="s">
        <v>117</v>
      </c>
      <c r="O248" t="s">
        <v>61</v>
      </c>
      <c r="P248" t="s">
        <v>62</v>
      </c>
      <c r="S248" s="9">
        <v>5.9</v>
      </c>
      <c r="T248" s="9"/>
      <c r="U248" s="9"/>
      <c r="V248" t="s">
        <v>88</v>
      </c>
    </row>
    <row r="249" spans="2:22" hidden="1">
      <c r="B249" t="s">
        <v>81</v>
      </c>
      <c r="C249" t="s">
        <v>21</v>
      </c>
      <c r="E249">
        <v>2017</v>
      </c>
      <c r="F249" s="12" t="s">
        <v>620</v>
      </c>
      <c r="I249" s="11" t="s">
        <v>105</v>
      </c>
      <c r="K249" s="11" t="s">
        <v>114</v>
      </c>
      <c r="L249" s="5" t="s">
        <v>115</v>
      </c>
      <c r="M249" t="s">
        <v>116</v>
      </c>
      <c r="N249" t="s">
        <v>117</v>
      </c>
      <c r="O249" t="s">
        <v>89</v>
      </c>
      <c r="P249" t="s">
        <v>43</v>
      </c>
      <c r="S249" s="9">
        <v>0.2</v>
      </c>
      <c r="T249" s="9"/>
      <c r="U249" s="9"/>
      <c r="V249" t="s">
        <v>88</v>
      </c>
    </row>
    <row r="250" spans="2:22" hidden="1">
      <c r="B250" t="s">
        <v>81</v>
      </c>
      <c r="C250" t="s">
        <v>21</v>
      </c>
      <c r="E250">
        <v>2017</v>
      </c>
      <c r="F250" s="12" t="s">
        <v>620</v>
      </c>
      <c r="I250" s="11" t="s">
        <v>105</v>
      </c>
      <c r="K250" s="11" t="s">
        <v>118</v>
      </c>
      <c r="L250" s="5" t="s">
        <v>85</v>
      </c>
      <c r="M250" t="s">
        <v>119</v>
      </c>
      <c r="N250" t="s">
        <v>120</v>
      </c>
      <c r="O250" s="11" t="s">
        <v>26</v>
      </c>
      <c r="P250" t="s">
        <v>27</v>
      </c>
      <c r="S250" s="9">
        <v>25</v>
      </c>
      <c r="T250" s="9"/>
      <c r="U250" s="9"/>
      <c r="V250" t="s">
        <v>88</v>
      </c>
    </row>
    <row r="251" spans="2:22" hidden="1">
      <c r="B251" t="s">
        <v>81</v>
      </c>
      <c r="C251" t="s">
        <v>21</v>
      </c>
      <c r="E251">
        <v>2017</v>
      </c>
      <c r="F251" s="12" t="s">
        <v>620</v>
      </c>
      <c r="I251" s="11" t="s">
        <v>105</v>
      </c>
      <c r="K251" s="11" t="s">
        <v>118</v>
      </c>
      <c r="L251" s="5" t="s">
        <v>85</v>
      </c>
      <c r="M251" t="s">
        <v>119</v>
      </c>
      <c r="N251" t="s">
        <v>120</v>
      </c>
      <c r="O251" t="s">
        <v>61</v>
      </c>
      <c r="P251" t="s">
        <v>62</v>
      </c>
      <c r="S251" s="9">
        <v>4.5999999999999996</v>
      </c>
      <c r="T251" s="9"/>
      <c r="U251" s="9"/>
      <c r="V251" t="s">
        <v>88</v>
      </c>
    </row>
    <row r="252" spans="2:22" hidden="1">
      <c r="B252" t="s">
        <v>81</v>
      </c>
      <c r="C252" t="s">
        <v>21</v>
      </c>
      <c r="E252">
        <v>2017</v>
      </c>
      <c r="F252" s="12" t="s">
        <v>620</v>
      </c>
      <c r="I252" s="11" t="s">
        <v>105</v>
      </c>
      <c r="K252" s="11" t="s">
        <v>118</v>
      </c>
      <c r="L252" s="5" t="s">
        <v>85</v>
      </c>
      <c r="M252" t="s">
        <v>119</v>
      </c>
      <c r="N252" t="s">
        <v>120</v>
      </c>
      <c r="O252" t="s">
        <v>89</v>
      </c>
      <c r="P252" t="s">
        <v>43</v>
      </c>
      <c r="S252" s="9">
        <v>0.4</v>
      </c>
      <c r="T252" s="9"/>
      <c r="U252" s="9"/>
      <c r="V252" t="s">
        <v>88</v>
      </c>
    </row>
    <row r="253" spans="2:22" hidden="1">
      <c r="B253" t="s">
        <v>347</v>
      </c>
      <c r="C253" t="s">
        <v>21</v>
      </c>
      <c r="E253">
        <v>1999</v>
      </c>
      <c r="F253" s="12" t="s">
        <v>620</v>
      </c>
      <c r="H253" t="s">
        <v>322</v>
      </c>
      <c r="I253" t="s">
        <v>636</v>
      </c>
      <c r="L253"/>
      <c r="M253" t="s">
        <v>637</v>
      </c>
      <c r="N253" t="s">
        <v>638</v>
      </c>
      <c r="O253" s="11" t="s">
        <v>26</v>
      </c>
      <c r="P253" t="s">
        <v>27</v>
      </c>
      <c r="S253" s="12" t="s">
        <v>323</v>
      </c>
      <c r="T253" s="9"/>
      <c r="U253" s="9"/>
      <c r="V253" t="s">
        <v>347</v>
      </c>
    </row>
    <row r="254" spans="2:22" hidden="1">
      <c r="B254" t="s">
        <v>347</v>
      </c>
      <c r="C254" t="s">
        <v>21</v>
      </c>
      <c r="E254">
        <v>1999</v>
      </c>
      <c r="F254" s="12" t="s">
        <v>620</v>
      </c>
      <c r="H254" t="s">
        <v>322</v>
      </c>
      <c r="I254" t="s">
        <v>324</v>
      </c>
      <c r="L254"/>
      <c r="M254" t="s">
        <v>639</v>
      </c>
      <c r="N254" t="s">
        <v>640</v>
      </c>
      <c r="O254" s="11" t="s">
        <v>26</v>
      </c>
      <c r="P254" t="s">
        <v>27</v>
      </c>
      <c r="S254" s="12" t="s">
        <v>343</v>
      </c>
      <c r="T254" s="9"/>
      <c r="U254" s="9"/>
      <c r="V254" t="s">
        <v>347</v>
      </c>
    </row>
    <row r="255" spans="2:22" hidden="1">
      <c r="B255" t="s">
        <v>347</v>
      </c>
      <c r="C255" t="s">
        <v>21</v>
      </c>
      <c r="E255">
        <v>1999</v>
      </c>
      <c r="F255" s="12" t="s">
        <v>620</v>
      </c>
      <c r="H255" t="s">
        <v>322</v>
      </c>
      <c r="I255" t="s">
        <v>325</v>
      </c>
      <c r="L255"/>
      <c r="O255" s="11" t="s">
        <v>26</v>
      </c>
      <c r="P255" t="s">
        <v>27</v>
      </c>
      <c r="S255" s="12" t="s">
        <v>344</v>
      </c>
      <c r="T255" s="9"/>
      <c r="U255" s="9"/>
      <c r="V255" t="s">
        <v>347</v>
      </c>
    </row>
    <row r="256" spans="2:22" hidden="1">
      <c r="B256" t="s">
        <v>347</v>
      </c>
      <c r="C256" t="s">
        <v>21</v>
      </c>
      <c r="E256">
        <v>1999</v>
      </c>
      <c r="F256" s="12" t="s">
        <v>620</v>
      </c>
      <c r="H256" t="s">
        <v>322</v>
      </c>
      <c r="I256" t="s">
        <v>326</v>
      </c>
      <c r="L256"/>
      <c r="M256" t="s">
        <v>641</v>
      </c>
      <c r="N256" t="s">
        <v>642</v>
      </c>
      <c r="O256" s="11" t="s">
        <v>26</v>
      </c>
      <c r="P256" t="s">
        <v>27</v>
      </c>
      <c r="S256" s="12"/>
      <c r="T256" s="9"/>
      <c r="U256" s="9"/>
      <c r="V256" t="s">
        <v>347</v>
      </c>
    </row>
    <row r="257" spans="2:22" hidden="1">
      <c r="B257" t="s">
        <v>347</v>
      </c>
      <c r="C257" t="s">
        <v>21</v>
      </c>
      <c r="E257">
        <v>1999</v>
      </c>
      <c r="F257" s="12" t="s">
        <v>620</v>
      </c>
      <c r="H257" t="s">
        <v>327</v>
      </c>
      <c r="I257" t="s">
        <v>328</v>
      </c>
      <c r="L257"/>
      <c r="M257" t="s">
        <v>643</v>
      </c>
      <c r="N257" t="s">
        <v>644</v>
      </c>
      <c r="O257" s="11" t="s">
        <v>26</v>
      </c>
      <c r="P257" t="s">
        <v>27</v>
      </c>
      <c r="S257" s="12" t="s">
        <v>345</v>
      </c>
      <c r="T257" s="9"/>
      <c r="U257" s="9"/>
      <c r="V257" t="s">
        <v>347</v>
      </c>
    </row>
    <row r="258" spans="2:22" hidden="1">
      <c r="B258" t="s">
        <v>347</v>
      </c>
      <c r="C258" t="s">
        <v>21</v>
      </c>
      <c r="E258">
        <v>1999</v>
      </c>
      <c r="F258" s="12" t="s">
        <v>620</v>
      </c>
      <c r="H258" t="s">
        <v>329</v>
      </c>
      <c r="I258" t="s">
        <v>330</v>
      </c>
      <c r="L258"/>
      <c r="M258" t="s">
        <v>645</v>
      </c>
      <c r="N258" t="s">
        <v>646</v>
      </c>
      <c r="O258" s="11" t="s">
        <v>26</v>
      </c>
      <c r="P258" t="s">
        <v>27</v>
      </c>
      <c r="S258" s="12" t="s">
        <v>346</v>
      </c>
      <c r="T258" s="9"/>
      <c r="U258" s="9"/>
      <c r="V258" t="s">
        <v>347</v>
      </c>
    </row>
    <row r="259" spans="2:22" hidden="1">
      <c r="B259" t="s">
        <v>347</v>
      </c>
      <c r="C259" t="s">
        <v>21</v>
      </c>
      <c r="E259">
        <v>1999</v>
      </c>
      <c r="F259" s="12" t="s">
        <v>620</v>
      </c>
      <c r="H259" t="s">
        <v>329</v>
      </c>
      <c r="I259" t="s">
        <v>331</v>
      </c>
      <c r="L259"/>
      <c r="M259" t="s">
        <v>647</v>
      </c>
      <c r="N259" t="s">
        <v>648</v>
      </c>
      <c r="O259" s="11" t="s">
        <v>26</v>
      </c>
      <c r="P259" t="s">
        <v>27</v>
      </c>
      <c r="S259" s="12">
        <v>20</v>
      </c>
      <c r="T259" s="9"/>
      <c r="U259" s="9"/>
      <c r="V259" t="s">
        <v>347</v>
      </c>
    </row>
    <row r="260" spans="2:22" hidden="1">
      <c r="B260" t="s">
        <v>347</v>
      </c>
      <c r="C260" t="s">
        <v>21</v>
      </c>
      <c r="E260">
        <v>1999</v>
      </c>
      <c r="F260" s="12" t="s">
        <v>620</v>
      </c>
      <c r="H260" t="s">
        <v>332</v>
      </c>
      <c r="I260" t="s">
        <v>333</v>
      </c>
      <c r="L260"/>
      <c r="M260" t="s">
        <v>649</v>
      </c>
      <c r="N260" t="s">
        <v>650</v>
      </c>
      <c r="O260" s="11" t="s">
        <v>26</v>
      </c>
      <c r="P260" t="s">
        <v>27</v>
      </c>
      <c r="S260" s="12">
        <v>20</v>
      </c>
      <c r="T260" s="9"/>
      <c r="U260" s="9"/>
      <c r="V260" t="s">
        <v>347</v>
      </c>
    </row>
    <row r="261" spans="2:22" hidden="1">
      <c r="B261" t="s">
        <v>347</v>
      </c>
      <c r="C261" t="s">
        <v>21</v>
      </c>
      <c r="E261">
        <v>1999</v>
      </c>
      <c r="F261" s="12" t="s">
        <v>620</v>
      </c>
      <c r="H261" t="s">
        <v>332</v>
      </c>
      <c r="I261" t="s">
        <v>19</v>
      </c>
      <c r="L261"/>
      <c r="M261" t="s">
        <v>651</v>
      </c>
      <c r="N261" t="s">
        <v>652</v>
      </c>
      <c r="O261" s="11" t="s">
        <v>26</v>
      </c>
      <c r="P261" t="s">
        <v>27</v>
      </c>
      <c r="S261" s="12" t="s">
        <v>345</v>
      </c>
      <c r="T261" s="9"/>
      <c r="U261" s="9"/>
      <c r="V261" t="s">
        <v>347</v>
      </c>
    </row>
    <row r="262" spans="2:22" hidden="1">
      <c r="B262" t="s">
        <v>347</v>
      </c>
      <c r="C262" t="s">
        <v>21</v>
      </c>
      <c r="E262">
        <v>1999</v>
      </c>
      <c r="F262" s="12" t="s">
        <v>620</v>
      </c>
      <c r="H262" t="s">
        <v>332</v>
      </c>
      <c r="I262" t="s">
        <v>334</v>
      </c>
      <c r="L262"/>
      <c r="M262" t="s">
        <v>653</v>
      </c>
      <c r="N262" t="s">
        <v>654</v>
      </c>
      <c r="O262" s="11" t="s">
        <v>26</v>
      </c>
      <c r="P262" t="s">
        <v>27</v>
      </c>
      <c r="S262" s="12" t="s">
        <v>345</v>
      </c>
      <c r="T262" s="9"/>
      <c r="U262" s="9"/>
      <c r="V262" t="s">
        <v>347</v>
      </c>
    </row>
    <row r="263" spans="2:22" hidden="1">
      <c r="B263" t="s">
        <v>347</v>
      </c>
      <c r="C263" t="s">
        <v>21</v>
      </c>
      <c r="E263">
        <v>1999</v>
      </c>
      <c r="F263" s="12" t="s">
        <v>620</v>
      </c>
      <c r="H263" t="s">
        <v>335</v>
      </c>
      <c r="I263" t="s">
        <v>336</v>
      </c>
      <c r="L263"/>
      <c r="M263" t="s">
        <v>655</v>
      </c>
      <c r="N263" t="s">
        <v>656</v>
      </c>
      <c r="O263" s="11" t="s">
        <v>26</v>
      </c>
      <c r="P263" t="s">
        <v>27</v>
      </c>
      <c r="S263" s="12">
        <v>10</v>
      </c>
      <c r="T263" s="9"/>
      <c r="U263" s="9"/>
      <c r="V263" t="s">
        <v>347</v>
      </c>
    </row>
    <row r="264" spans="2:22" hidden="1">
      <c r="B264" t="s">
        <v>347</v>
      </c>
      <c r="C264" t="s">
        <v>21</v>
      </c>
      <c r="E264">
        <v>1999</v>
      </c>
      <c r="F264" s="12" t="s">
        <v>620</v>
      </c>
      <c r="H264" t="s">
        <v>335</v>
      </c>
      <c r="I264" t="s">
        <v>19</v>
      </c>
      <c r="L264"/>
      <c r="M264" t="s">
        <v>657</v>
      </c>
      <c r="N264" t="s">
        <v>658</v>
      </c>
      <c r="O264" s="11" t="s">
        <v>26</v>
      </c>
      <c r="P264" t="s">
        <v>27</v>
      </c>
      <c r="S264" s="12" t="s">
        <v>323</v>
      </c>
      <c r="T264" s="9"/>
      <c r="U264" s="9"/>
      <c r="V264" t="s">
        <v>347</v>
      </c>
    </row>
    <row r="265" spans="2:22" hidden="1">
      <c r="B265" t="s">
        <v>347</v>
      </c>
      <c r="C265" t="s">
        <v>21</v>
      </c>
      <c r="E265">
        <v>1999</v>
      </c>
      <c r="F265" s="12" t="s">
        <v>620</v>
      </c>
      <c r="H265" t="s">
        <v>335</v>
      </c>
      <c r="I265" t="s">
        <v>337</v>
      </c>
      <c r="L265"/>
      <c r="M265" t="s">
        <v>659</v>
      </c>
      <c r="N265" t="s">
        <v>660</v>
      </c>
      <c r="O265" s="11" t="s">
        <v>26</v>
      </c>
      <c r="P265" t="s">
        <v>27</v>
      </c>
      <c r="S265" s="12">
        <v>5</v>
      </c>
      <c r="T265" s="9"/>
      <c r="U265" s="9"/>
      <c r="V265" t="s">
        <v>347</v>
      </c>
    </row>
    <row r="266" spans="2:22" hidden="1">
      <c r="B266" t="s">
        <v>347</v>
      </c>
      <c r="C266" t="s">
        <v>21</v>
      </c>
      <c r="D266" t="s">
        <v>747</v>
      </c>
      <c r="E266">
        <v>1999</v>
      </c>
      <c r="F266" s="12" t="s">
        <v>620</v>
      </c>
      <c r="G266" s="12" t="s">
        <v>732</v>
      </c>
      <c r="H266" t="s">
        <v>335</v>
      </c>
      <c r="I266" t="s">
        <v>338</v>
      </c>
      <c r="L266"/>
      <c r="M266" t="s">
        <v>661</v>
      </c>
      <c r="N266" t="s">
        <v>662</v>
      </c>
      <c r="O266" s="11" t="s">
        <v>26</v>
      </c>
      <c r="P266" t="s">
        <v>27</v>
      </c>
      <c r="S266" s="12">
        <v>60</v>
      </c>
      <c r="T266" s="9"/>
      <c r="U266" s="9"/>
      <c r="V266" t="s">
        <v>347</v>
      </c>
    </row>
    <row r="267" spans="2:22" hidden="1">
      <c r="B267" t="s">
        <v>347</v>
      </c>
      <c r="C267" t="s">
        <v>21</v>
      </c>
      <c r="E267">
        <v>1999</v>
      </c>
      <c r="F267" s="12" t="s">
        <v>620</v>
      </c>
      <c r="H267" t="s">
        <v>339</v>
      </c>
      <c r="I267" t="s">
        <v>340</v>
      </c>
      <c r="L267"/>
      <c r="M267" t="s">
        <v>663</v>
      </c>
      <c r="N267" t="s">
        <v>664</v>
      </c>
      <c r="O267" s="11" t="s">
        <v>26</v>
      </c>
      <c r="P267" t="s">
        <v>27</v>
      </c>
      <c r="S267" s="12"/>
      <c r="T267" s="9"/>
      <c r="U267" s="9"/>
      <c r="V267" t="s">
        <v>347</v>
      </c>
    </row>
    <row r="268" spans="2:22" hidden="1">
      <c r="B268" t="s">
        <v>347</v>
      </c>
      <c r="C268" t="s">
        <v>21</v>
      </c>
      <c r="E268">
        <v>1999</v>
      </c>
      <c r="F268" s="12" t="s">
        <v>620</v>
      </c>
      <c r="H268" t="s">
        <v>339</v>
      </c>
      <c r="I268" t="s">
        <v>341</v>
      </c>
      <c r="L268"/>
      <c r="M268" t="s">
        <v>665</v>
      </c>
      <c r="N268" t="s">
        <v>666</v>
      </c>
      <c r="O268" s="11" t="s">
        <v>26</v>
      </c>
      <c r="P268" t="s">
        <v>27</v>
      </c>
      <c r="S268" s="12">
        <v>5</v>
      </c>
      <c r="T268" s="9"/>
      <c r="U268" s="9"/>
      <c r="V268" t="s">
        <v>347</v>
      </c>
    </row>
    <row r="269" spans="2:22" hidden="1">
      <c r="B269" t="s">
        <v>347</v>
      </c>
      <c r="C269" t="s">
        <v>21</v>
      </c>
      <c r="E269">
        <v>1999</v>
      </c>
      <c r="F269" s="12" t="s">
        <v>620</v>
      </c>
      <c r="H269" t="s">
        <v>339</v>
      </c>
      <c r="I269" t="s">
        <v>342</v>
      </c>
      <c r="L269"/>
      <c r="M269" t="s">
        <v>667</v>
      </c>
      <c r="N269" t="s">
        <v>668</v>
      </c>
      <c r="O269" s="11" t="s">
        <v>26</v>
      </c>
      <c r="P269" t="s">
        <v>27</v>
      </c>
      <c r="S269" s="12"/>
      <c r="T269" s="9"/>
      <c r="U269" s="9"/>
      <c r="V269" t="s">
        <v>347</v>
      </c>
    </row>
    <row r="270" spans="2:22" hidden="1">
      <c r="B270" t="s">
        <v>351</v>
      </c>
      <c r="C270" t="s">
        <v>21</v>
      </c>
      <c r="E270">
        <v>1999</v>
      </c>
      <c r="F270" s="12" t="s">
        <v>620</v>
      </c>
      <c r="H270" t="s">
        <v>348</v>
      </c>
      <c r="L270"/>
      <c r="O270" s="11" t="s">
        <v>26</v>
      </c>
      <c r="P270" t="s">
        <v>27</v>
      </c>
      <c r="S270" s="12">
        <v>48.4</v>
      </c>
      <c r="T270" s="9"/>
      <c r="U270" s="9"/>
      <c r="V270" t="s">
        <v>351</v>
      </c>
    </row>
    <row r="271" spans="2:22" hidden="1">
      <c r="B271" t="s">
        <v>351</v>
      </c>
      <c r="C271" t="s">
        <v>21</v>
      </c>
      <c r="E271">
        <v>1999</v>
      </c>
      <c r="F271" s="12" t="s">
        <v>620</v>
      </c>
      <c r="H271" t="s">
        <v>349</v>
      </c>
      <c r="L271"/>
      <c r="O271" s="11" t="s">
        <v>26</v>
      </c>
      <c r="P271" t="s">
        <v>27</v>
      </c>
      <c r="S271" s="12">
        <v>32.5</v>
      </c>
      <c r="T271" s="9"/>
      <c r="U271" s="9"/>
      <c r="V271" t="s">
        <v>351</v>
      </c>
    </row>
    <row r="272" spans="2:22" hidden="1">
      <c r="B272" t="s">
        <v>351</v>
      </c>
      <c r="C272" t="s">
        <v>21</v>
      </c>
      <c r="D272" t="s">
        <v>747</v>
      </c>
      <c r="E272">
        <v>1999</v>
      </c>
      <c r="F272" s="12" t="s">
        <v>620</v>
      </c>
      <c r="H272" t="s">
        <v>332</v>
      </c>
      <c r="L272"/>
      <c r="O272" s="11" t="s">
        <v>26</v>
      </c>
      <c r="P272" t="s">
        <v>27</v>
      </c>
      <c r="S272" s="12">
        <v>69.5</v>
      </c>
      <c r="T272" s="9"/>
      <c r="U272" s="9"/>
      <c r="V272" t="s">
        <v>351</v>
      </c>
    </row>
    <row r="273" spans="2:22" hidden="1">
      <c r="B273" t="s">
        <v>351</v>
      </c>
      <c r="C273" t="s">
        <v>21</v>
      </c>
      <c r="E273">
        <v>1999</v>
      </c>
      <c r="F273" s="12" t="s">
        <v>620</v>
      </c>
      <c r="H273" t="s">
        <v>335</v>
      </c>
      <c r="L273"/>
      <c r="O273" s="11" t="s">
        <v>26</v>
      </c>
      <c r="P273" t="s">
        <v>27</v>
      </c>
      <c r="S273" s="12">
        <v>13.8</v>
      </c>
      <c r="T273" s="9"/>
      <c r="U273" s="9"/>
      <c r="V273" t="s">
        <v>351</v>
      </c>
    </row>
    <row r="274" spans="2:22" hidden="1">
      <c r="B274" t="s">
        <v>351</v>
      </c>
      <c r="C274" t="s">
        <v>21</v>
      </c>
      <c r="E274">
        <v>1999</v>
      </c>
      <c r="F274" s="12" t="s">
        <v>620</v>
      </c>
      <c r="H274" t="s">
        <v>339</v>
      </c>
      <c r="L274"/>
      <c r="O274" s="11" t="s">
        <v>26</v>
      </c>
      <c r="P274" t="s">
        <v>27</v>
      </c>
      <c r="S274" s="12">
        <v>50</v>
      </c>
      <c r="T274" s="9"/>
      <c r="U274" s="9"/>
      <c r="V274" t="s">
        <v>351</v>
      </c>
    </row>
    <row r="275" spans="2:22" hidden="1">
      <c r="B275" t="s">
        <v>351</v>
      </c>
      <c r="C275" t="s">
        <v>21</v>
      </c>
      <c r="E275" s="12" t="s">
        <v>350</v>
      </c>
      <c r="F275" s="12" t="s">
        <v>620</v>
      </c>
      <c r="H275" t="s">
        <v>348</v>
      </c>
      <c r="L275"/>
      <c r="O275" s="11" t="s">
        <v>26</v>
      </c>
      <c r="P275" t="s">
        <v>27</v>
      </c>
      <c r="S275" s="12">
        <v>35</v>
      </c>
      <c r="T275" s="9"/>
      <c r="U275" s="9"/>
      <c r="V275" t="s">
        <v>351</v>
      </c>
    </row>
    <row r="276" spans="2:22" hidden="1">
      <c r="B276" t="s">
        <v>351</v>
      </c>
      <c r="C276" t="s">
        <v>21</v>
      </c>
      <c r="E276" s="12" t="s">
        <v>350</v>
      </c>
      <c r="F276" s="12" t="s">
        <v>620</v>
      </c>
      <c r="H276" t="s">
        <v>349</v>
      </c>
      <c r="L276"/>
      <c r="O276" s="11" t="s">
        <v>26</v>
      </c>
      <c r="P276" t="s">
        <v>27</v>
      </c>
      <c r="S276" s="12">
        <v>30</v>
      </c>
      <c r="T276" s="9"/>
      <c r="U276" s="9"/>
      <c r="V276" t="s">
        <v>351</v>
      </c>
    </row>
    <row r="277" spans="2:22" hidden="1">
      <c r="B277" t="s">
        <v>351</v>
      </c>
      <c r="C277" t="s">
        <v>21</v>
      </c>
      <c r="E277" s="12" t="s">
        <v>350</v>
      </c>
      <c r="F277" s="12" t="s">
        <v>620</v>
      </c>
      <c r="H277" t="s">
        <v>332</v>
      </c>
      <c r="L277"/>
      <c r="O277" s="11" t="s">
        <v>26</v>
      </c>
      <c r="P277" t="s">
        <v>27</v>
      </c>
      <c r="S277" s="12">
        <v>65</v>
      </c>
      <c r="T277" s="9"/>
      <c r="U277" s="9"/>
      <c r="V277" t="s">
        <v>351</v>
      </c>
    </row>
    <row r="278" spans="2:22" hidden="1">
      <c r="B278" t="s">
        <v>351</v>
      </c>
      <c r="C278" t="s">
        <v>21</v>
      </c>
      <c r="E278" s="12" t="s">
        <v>350</v>
      </c>
      <c r="F278" s="12" t="s">
        <v>620</v>
      </c>
      <c r="H278" t="s">
        <v>335</v>
      </c>
      <c r="L278"/>
      <c r="O278" s="11" t="s">
        <v>26</v>
      </c>
      <c r="P278" t="s">
        <v>27</v>
      </c>
      <c r="S278" s="12">
        <v>7</v>
      </c>
      <c r="T278" s="9"/>
      <c r="U278" s="9"/>
      <c r="V278" t="s">
        <v>351</v>
      </c>
    </row>
    <row r="279" spans="2:22" hidden="1">
      <c r="B279" t="s">
        <v>351</v>
      </c>
      <c r="C279" t="s">
        <v>21</v>
      </c>
      <c r="E279" s="12" t="s">
        <v>350</v>
      </c>
      <c r="F279" s="12" t="s">
        <v>620</v>
      </c>
      <c r="H279" t="s">
        <v>339</v>
      </c>
      <c r="L279"/>
      <c r="O279" s="11" t="s">
        <v>26</v>
      </c>
      <c r="P279" t="s">
        <v>27</v>
      </c>
      <c r="S279" s="12">
        <v>40</v>
      </c>
      <c r="T279" s="9"/>
      <c r="U279" s="9"/>
      <c r="V279" t="s">
        <v>351</v>
      </c>
    </row>
    <row r="280" spans="2:22" hidden="1">
      <c r="B280" t="s">
        <v>358</v>
      </c>
      <c r="C280" t="s">
        <v>21</v>
      </c>
      <c r="E280">
        <v>2005</v>
      </c>
      <c r="F280" s="12" t="s">
        <v>669</v>
      </c>
      <c r="H280" t="s">
        <v>352</v>
      </c>
      <c r="I280" t="s">
        <v>353</v>
      </c>
      <c r="L280"/>
      <c r="O280" s="11" t="s">
        <v>26</v>
      </c>
      <c r="P280" t="s">
        <v>27</v>
      </c>
      <c r="Q280">
        <v>7</v>
      </c>
      <c r="S280" s="12">
        <v>29.8</v>
      </c>
      <c r="T280" s="9"/>
      <c r="U280">
        <v>4.4000000000000004</v>
      </c>
      <c r="V280" t="s">
        <v>358</v>
      </c>
    </row>
    <row r="281" spans="2:22" hidden="1">
      <c r="B281" t="s">
        <v>358</v>
      </c>
      <c r="C281" t="s">
        <v>21</v>
      </c>
      <c r="E281">
        <v>2005</v>
      </c>
      <c r="F281" s="12" t="s">
        <v>669</v>
      </c>
      <c r="H281" t="s">
        <v>352</v>
      </c>
      <c r="I281" t="s">
        <v>354</v>
      </c>
      <c r="L281"/>
      <c r="O281" s="11" t="s">
        <v>26</v>
      </c>
      <c r="P281" t="s">
        <v>27</v>
      </c>
      <c r="Q281">
        <v>7</v>
      </c>
      <c r="S281" s="12">
        <v>48</v>
      </c>
      <c r="T281" s="9"/>
      <c r="U281">
        <v>5.2</v>
      </c>
      <c r="V281" t="s">
        <v>358</v>
      </c>
    </row>
    <row r="282" spans="2:22" hidden="1">
      <c r="B282" t="s">
        <v>358</v>
      </c>
      <c r="C282" t="s">
        <v>21</v>
      </c>
      <c r="E282">
        <v>2005</v>
      </c>
      <c r="F282" s="12" t="s">
        <v>669</v>
      </c>
      <c r="H282" t="s">
        <v>352</v>
      </c>
      <c r="I282" t="s">
        <v>355</v>
      </c>
      <c r="L282"/>
      <c r="O282" s="11" t="s">
        <v>26</v>
      </c>
      <c r="P282" t="s">
        <v>27</v>
      </c>
      <c r="Q282">
        <v>7</v>
      </c>
      <c r="S282" s="12">
        <v>30.4</v>
      </c>
      <c r="T282" s="9"/>
      <c r="U282">
        <v>1.9</v>
      </c>
      <c r="V282" t="s">
        <v>358</v>
      </c>
    </row>
    <row r="283" spans="2:22" hidden="1">
      <c r="B283" t="s">
        <v>358</v>
      </c>
      <c r="C283" t="s">
        <v>21</v>
      </c>
      <c r="E283">
        <v>2005</v>
      </c>
      <c r="F283" s="12" t="s">
        <v>669</v>
      </c>
      <c r="H283" t="s">
        <v>352</v>
      </c>
      <c r="I283" t="s">
        <v>356</v>
      </c>
      <c r="L283"/>
      <c r="O283" s="11" t="s">
        <v>26</v>
      </c>
      <c r="P283" t="s">
        <v>27</v>
      </c>
      <c r="Q283">
        <v>7</v>
      </c>
      <c r="S283" s="12">
        <v>32.200000000000003</v>
      </c>
      <c r="T283" s="9"/>
      <c r="U283">
        <v>2.6</v>
      </c>
      <c r="V283" t="s">
        <v>358</v>
      </c>
    </row>
    <row r="284" spans="2:22" hidden="1">
      <c r="B284" t="s">
        <v>358</v>
      </c>
      <c r="C284" t="s">
        <v>21</v>
      </c>
      <c r="E284">
        <v>2005</v>
      </c>
      <c r="F284" s="12" t="s">
        <v>669</v>
      </c>
      <c r="H284" t="s">
        <v>352</v>
      </c>
      <c r="I284" t="s">
        <v>331</v>
      </c>
      <c r="L284"/>
      <c r="O284" s="11" t="s">
        <v>26</v>
      </c>
      <c r="P284" t="s">
        <v>27</v>
      </c>
      <c r="Q284">
        <v>7</v>
      </c>
      <c r="S284" s="12">
        <v>50.5</v>
      </c>
      <c r="T284" s="9"/>
      <c r="U284">
        <v>5.7</v>
      </c>
      <c r="V284" t="s">
        <v>358</v>
      </c>
    </row>
    <row r="285" spans="2:22" hidden="1">
      <c r="B285" t="s">
        <v>358</v>
      </c>
      <c r="C285" t="s">
        <v>21</v>
      </c>
      <c r="E285">
        <v>2005</v>
      </c>
      <c r="F285" s="12" t="s">
        <v>669</v>
      </c>
      <c r="H285" t="s">
        <v>332</v>
      </c>
      <c r="I285" t="s">
        <v>19</v>
      </c>
      <c r="L285"/>
      <c r="O285" s="11" t="s">
        <v>26</v>
      </c>
      <c r="P285" t="s">
        <v>27</v>
      </c>
      <c r="Q285">
        <v>8</v>
      </c>
      <c r="S285" s="12">
        <v>35.9</v>
      </c>
      <c r="T285" s="9"/>
      <c r="U285">
        <v>12.7</v>
      </c>
      <c r="V285" t="s">
        <v>358</v>
      </c>
    </row>
    <row r="286" spans="2:22" hidden="1">
      <c r="B286" t="s">
        <v>358</v>
      </c>
      <c r="C286" t="s">
        <v>21</v>
      </c>
      <c r="E286">
        <v>2005</v>
      </c>
      <c r="F286" s="12" t="s">
        <v>669</v>
      </c>
      <c r="H286" t="s">
        <v>332</v>
      </c>
      <c r="I286" t="s">
        <v>357</v>
      </c>
      <c r="L286"/>
      <c r="O286" s="11" t="s">
        <v>26</v>
      </c>
      <c r="P286" t="s">
        <v>27</v>
      </c>
      <c r="Q286">
        <v>5</v>
      </c>
      <c r="S286" s="12">
        <v>39.5</v>
      </c>
      <c r="T286" s="9"/>
      <c r="U286">
        <v>13.6</v>
      </c>
      <c r="V286" t="s">
        <v>358</v>
      </c>
    </row>
    <row r="287" spans="2:22" s="40" customFormat="1" hidden="1">
      <c r="B287" s="40" t="s">
        <v>364</v>
      </c>
      <c r="C287" s="40" t="s">
        <v>21</v>
      </c>
      <c r="D287" s="40" t="s">
        <v>746</v>
      </c>
      <c r="E287" s="40">
        <v>1999</v>
      </c>
      <c r="F287" s="39" t="s">
        <v>620</v>
      </c>
      <c r="G287" s="39"/>
      <c r="H287" s="40" t="s">
        <v>322</v>
      </c>
      <c r="I287" s="40" t="s">
        <v>360</v>
      </c>
      <c r="O287" s="45" t="s">
        <v>26</v>
      </c>
      <c r="P287" s="40" t="s">
        <v>27</v>
      </c>
      <c r="S287" s="39">
        <v>69.7</v>
      </c>
      <c r="T287" s="41"/>
      <c r="U287" s="40">
        <v>14.5</v>
      </c>
      <c r="V287" s="40" t="s">
        <v>364</v>
      </c>
    </row>
    <row r="288" spans="2:22" hidden="1">
      <c r="B288" t="s">
        <v>364</v>
      </c>
      <c r="C288" t="s">
        <v>21</v>
      </c>
      <c r="E288">
        <v>2004</v>
      </c>
      <c r="F288" s="12" t="s">
        <v>620</v>
      </c>
      <c r="H288" t="s">
        <v>322</v>
      </c>
      <c r="I288" t="s">
        <v>360</v>
      </c>
      <c r="L288"/>
      <c r="O288" s="11" t="s">
        <v>26</v>
      </c>
      <c r="P288" t="s">
        <v>27</v>
      </c>
      <c r="S288" s="12">
        <v>80</v>
      </c>
      <c r="T288" s="9"/>
      <c r="U288">
        <v>4.4000000000000004</v>
      </c>
      <c r="V288" t="s">
        <v>364</v>
      </c>
    </row>
    <row r="289" spans="2:22" hidden="1">
      <c r="B289" t="s">
        <v>364</v>
      </c>
      <c r="C289" t="s">
        <v>21</v>
      </c>
      <c r="E289">
        <v>1999</v>
      </c>
      <c r="F289" s="12" t="s">
        <v>620</v>
      </c>
      <c r="H289" t="s">
        <v>349</v>
      </c>
      <c r="I289" t="s">
        <v>361</v>
      </c>
      <c r="L289"/>
      <c r="O289" s="11" t="s">
        <v>26</v>
      </c>
      <c r="P289" t="s">
        <v>27</v>
      </c>
      <c r="S289" s="12">
        <v>27.7</v>
      </c>
      <c r="T289" s="9"/>
      <c r="U289">
        <v>25.5</v>
      </c>
      <c r="V289" t="s">
        <v>364</v>
      </c>
    </row>
    <row r="290" spans="2:22" hidden="1">
      <c r="B290" t="s">
        <v>364</v>
      </c>
      <c r="C290" t="s">
        <v>21</v>
      </c>
      <c r="E290">
        <v>2002</v>
      </c>
      <c r="F290" s="12" t="s">
        <v>620</v>
      </c>
      <c r="H290" t="s">
        <v>349</v>
      </c>
      <c r="I290" t="s">
        <v>361</v>
      </c>
      <c r="L290"/>
      <c r="O290" s="11" t="s">
        <v>26</v>
      </c>
      <c r="P290" t="s">
        <v>27</v>
      </c>
      <c r="S290" s="12">
        <v>13.2</v>
      </c>
      <c r="T290" s="9"/>
      <c r="U290">
        <v>9.5</v>
      </c>
      <c r="V290" t="s">
        <v>364</v>
      </c>
    </row>
    <row r="291" spans="2:22" hidden="1">
      <c r="B291" t="s">
        <v>364</v>
      </c>
      <c r="C291" t="s">
        <v>21</v>
      </c>
      <c r="E291">
        <v>2002</v>
      </c>
      <c r="F291" s="12" t="s">
        <v>620</v>
      </c>
      <c r="H291" t="s">
        <v>332</v>
      </c>
      <c r="I291" t="s">
        <v>334</v>
      </c>
      <c r="L291"/>
      <c r="O291" s="11" t="s">
        <v>26</v>
      </c>
      <c r="P291" t="s">
        <v>27</v>
      </c>
      <c r="S291" s="12" t="s">
        <v>363</v>
      </c>
      <c r="T291" s="9"/>
      <c r="U291"/>
      <c r="V291" t="s">
        <v>364</v>
      </c>
    </row>
    <row r="292" spans="2:22" hidden="1">
      <c r="B292" t="s">
        <v>364</v>
      </c>
      <c r="C292" t="s">
        <v>21</v>
      </c>
      <c r="E292">
        <v>1999</v>
      </c>
      <c r="F292" s="12" t="s">
        <v>620</v>
      </c>
      <c r="H292" t="s">
        <v>362</v>
      </c>
      <c r="I292" t="s">
        <v>336</v>
      </c>
      <c r="L292"/>
      <c r="O292" s="11" t="s">
        <v>26</v>
      </c>
      <c r="P292" t="s">
        <v>27</v>
      </c>
      <c r="S292" s="12">
        <v>11.9</v>
      </c>
      <c r="T292" s="9"/>
      <c r="U292">
        <v>5.3</v>
      </c>
      <c r="V292" t="s">
        <v>364</v>
      </c>
    </row>
    <row r="293" spans="2:22" hidden="1">
      <c r="B293" t="s">
        <v>364</v>
      </c>
      <c r="C293" t="s">
        <v>21</v>
      </c>
      <c r="E293">
        <v>2002</v>
      </c>
      <c r="F293" s="12" t="s">
        <v>620</v>
      </c>
      <c r="H293" t="s">
        <v>362</v>
      </c>
      <c r="I293" t="s">
        <v>336</v>
      </c>
      <c r="L293"/>
      <c r="O293" s="11" t="s">
        <v>26</v>
      </c>
      <c r="P293" t="s">
        <v>27</v>
      </c>
      <c r="S293" s="12">
        <v>11</v>
      </c>
      <c r="T293" s="9"/>
      <c r="U293">
        <v>5.8</v>
      </c>
      <c r="V293" t="s">
        <v>364</v>
      </c>
    </row>
    <row r="294" spans="2:22" hidden="1">
      <c r="B294" t="s">
        <v>364</v>
      </c>
      <c r="C294" t="s">
        <v>21</v>
      </c>
      <c r="D294" t="s">
        <v>747</v>
      </c>
      <c r="E294">
        <v>1999</v>
      </c>
      <c r="F294" s="12" t="s">
        <v>620</v>
      </c>
      <c r="H294" t="s">
        <v>339</v>
      </c>
      <c r="I294" t="s">
        <v>342</v>
      </c>
      <c r="L294"/>
      <c r="O294" s="11" t="s">
        <v>26</v>
      </c>
      <c r="P294" t="s">
        <v>27</v>
      </c>
      <c r="S294" s="12">
        <v>60.5</v>
      </c>
      <c r="T294" s="9"/>
      <c r="U294">
        <v>7.3</v>
      </c>
      <c r="V294" t="s">
        <v>364</v>
      </c>
    </row>
    <row r="295" spans="2:22" hidden="1">
      <c r="B295" t="s">
        <v>364</v>
      </c>
      <c r="C295" t="s">
        <v>21</v>
      </c>
      <c r="E295">
        <v>2000</v>
      </c>
      <c r="F295" s="12" t="s">
        <v>620</v>
      </c>
      <c r="H295" t="s">
        <v>339</v>
      </c>
      <c r="I295" t="s">
        <v>342</v>
      </c>
      <c r="L295"/>
      <c r="O295" s="11" t="s">
        <v>26</v>
      </c>
      <c r="P295" t="s">
        <v>27</v>
      </c>
      <c r="S295" s="12">
        <v>41.9</v>
      </c>
      <c r="T295" s="9"/>
      <c r="U295">
        <v>14.9</v>
      </c>
      <c r="V295" t="s">
        <v>364</v>
      </c>
    </row>
    <row r="296" spans="2:22" hidden="1">
      <c r="B296" t="s">
        <v>364</v>
      </c>
      <c r="C296" t="s">
        <v>21</v>
      </c>
      <c r="E296">
        <v>2002</v>
      </c>
      <c r="F296" s="12" t="s">
        <v>620</v>
      </c>
      <c r="H296" t="s">
        <v>339</v>
      </c>
      <c r="I296" t="s">
        <v>342</v>
      </c>
      <c r="L296"/>
      <c r="O296" s="11" t="s">
        <v>26</v>
      </c>
      <c r="P296" t="s">
        <v>27</v>
      </c>
      <c r="S296" s="12">
        <v>37.799999999999997</v>
      </c>
      <c r="T296" s="9"/>
      <c r="U296">
        <v>14.2</v>
      </c>
      <c r="V296" t="s">
        <v>364</v>
      </c>
    </row>
    <row r="297" spans="2:22" hidden="1">
      <c r="B297" t="s">
        <v>121</v>
      </c>
      <c r="C297" t="s">
        <v>135</v>
      </c>
      <c r="E297">
        <v>1999</v>
      </c>
      <c r="F297" s="12" t="s">
        <v>620</v>
      </c>
      <c r="I297" s="11" t="s">
        <v>136</v>
      </c>
      <c r="J297" s="11" t="s">
        <v>137</v>
      </c>
      <c r="K297" s="11" t="s">
        <v>138</v>
      </c>
      <c r="L297" s="5" t="s">
        <v>139</v>
      </c>
      <c r="M297" t="s">
        <v>140</v>
      </c>
      <c r="N297" t="s">
        <v>141</v>
      </c>
      <c r="O297" t="s">
        <v>127</v>
      </c>
      <c r="P297" t="s">
        <v>27</v>
      </c>
      <c r="S297" s="9">
        <v>40.700000000000003</v>
      </c>
      <c r="T297" s="9"/>
      <c r="U297" s="9"/>
      <c r="V297" s="8" t="s">
        <v>128</v>
      </c>
    </row>
    <row r="298" spans="2:22" hidden="1">
      <c r="B298" t="s">
        <v>121</v>
      </c>
      <c r="C298" t="s">
        <v>135</v>
      </c>
      <c r="E298">
        <v>1999</v>
      </c>
      <c r="F298" s="12" t="s">
        <v>620</v>
      </c>
      <c r="I298" s="11" t="s">
        <v>136</v>
      </c>
      <c r="J298" s="11" t="s">
        <v>137</v>
      </c>
      <c r="K298" s="11" t="s">
        <v>138</v>
      </c>
      <c r="L298" s="5" t="s">
        <v>139</v>
      </c>
      <c r="M298" t="s">
        <v>140</v>
      </c>
      <c r="N298" t="s">
        <v>141</v>
      </c>
      <c r="O298" t="s">
        <v>129</v>
      </c>
      <c r="S298" s="9">
        <v>1</v>
      </c>
      <c r="T298" s="9"/>
      <c r="U298" s="9"/>
      <c r="V298" s="8" t="s">
        <v>128</v>
      </c>
    </row>
    <row r="299" spans="2:22" hidden="1">
      <c r="B299" t="s">
        <v>121</v>
      </c>
      <c r="C299" t="s">
        <v>135</v>
      </c>
      <c r="E299">
        <v>1999</v>
      </c>
      <c r="F299" s="12" t="s">
        <v>620</v>
      </c>
      <c r="I299" s="11" t="s">
        <v>136</v>
      </c>
      <c r="J299" s="11" t="s">
        <v>137</v>
      </c>
      <c r="K299" s="11" t="s">
        <v>138</v>
      </c>
      <c r="L299" s="5" t="s">
        <v>139</v>
      </c>
      <c r="M299" t="s">
        <v>140</v>
      </c>
      <c r="N299" t="s">
        <v>141</v>
      </c>
      <c r="O299" t="s">
        <v>130</v>
      </c>
      <c r="S299" s="9">
        <v>54.8</v>
      </c>
      <c r="T299" s="9"/>
      <c r="U299" s="9"/>
      <c r="V299" s="8" t="s">
        <v>128</v>
      </c>
    </row>
    <row r="300" spans="2:22" hidden="1">
      <c r="B300" t="s">
        <v>121</v>
      </c>
      <c r="C300" t="s">
        <v>135</v>
      </c>
      <c r="E300">
        <v>1999</v>
      </c>
      <c r="F300" s="12" t="s">
        <v>620</v>
      </c>
      <c r="I300" s="11" t="s">
        <v>136</v>
      </c>
      <c r="J300" s="11" t="s">
        <v>137</v>
      </c>
      <c r="K300" s="11" t="s">
        <v>138</v>
      </c>
      <c r="L300" s="5" t="s">
        <v>139</v>
      </c>
      <c r="M300" t="s">
        <v>140</v>
      </c>
      <c r="N300" t="s">
        <v>141</v>
      </c>
      <c r="O300" t="s">
        <v>64</v>
      </c>
      <c r="P300" t="s">
        <v>42</v>
      </c>
      <c r="S300" s="9">
        <v>14.1</v>
      </c>
      <c r="T300" s="9"/>
      <c r="U300" s="9"/>
      <c r="V300" s="8" t="s">
        <v>128</v>
      </c>
    </row>
    <row r="301" spans="2:22">
      <c r="B301" t="s">
        <v>121</v>
      </c>
      <c r="C301" t="s">
        <v>135</v>
      </c>
      <c r="D301" t="s">
        <v>772</v>
      </c>
      <c r="E301">
        <v>1999</v>
      </c>
      <c r="F301" s="12" t="s">
        <v>620</v>
      </c>
      <c r="G301" s="12" t="s">
        <v>732</v>
      </c>
      <c r="I301" s="11" t="s">
        <v>136</v>
      </c>
      <c r="J301" s="11" t="s">
        <v>142</v>
      </c>
      <c r="K301" s="11" t="s">
        <v>143</v>
      </c>
      <c r="M301" t="s">
        <v>144</v>
      </c>
      <c r="N301" t="s">
        <v>145</v>
      </c>
      <c r="O301" t="s">
        <v>1001</v>
      </c>
      <c r="P301" t="s">
        <v>27</v>
      </c>
      <c r="S301" s="9">
        <f>42.3+26</f>
        <v>68.3</v>
      </c>
      <c r="T301" s="9"/>
      <c r="U301" s="9"/>
      <c r="V301" s="8" t="s">
        <v>128</v>
      </c>
    </row>
    <row r="302" spans="2:22" hidden="1">
      <c r="B302" t="s">
        <v>121</v>
      </c>
      <c r="C302" t="s">
        <v>135</v>
      </c>
      <c r="E302">
        <v>1999</v>
      </c>
      <c r="F302" s="12" t="s">
        <v>620</v>
      </c>
      <c r="I302" s="11" t="s">
        <v>136</v>
      </c>
      <c r="J302" s="11" t="s">
        <v>142</v>
      </c>
      <c r="K302" s="11" t="s">
        <v>143</v>
      </c>
      <c r="M302" t="s">
        <v>144</v>
      </c>
      <c r="N302" t="s">
        <v>145</v>
      </c>
      <c r="O302" t="s">
        <v>129</v>
      </c>
      <c r="S302" s="9">
        <v>10</v>
      </c>
      <c r="T302" s="9"/>
      <c r="U302" s="9"/>
      <c r="V302" s="8" t="s">
        <v>128</v>
      </c>
    </row>
    <row r="303" spans="2:22" hidden="1">
      <c r="B303" t="s">
        <v>121</v>
      </c>
      <c r="C303" t="s">
        <v>135</v>
      </c>
      <c r="E303">
        <v>1999</v>
      </c>
      <c r="F303" s="12" t="s">
        <v>620</v>
      </c>
      <c r="I303" s="11" t="s">
        <v>136</v>
      </c>
      <c r="J303" s="11" t="s">
        <v>142</v>
      </c>
      <c r="K303" s="11" t="s">
        <v>143</v>
      </c>
      <c r="M303" t="s">
        <v>144</v>
      </c>
      <c r="N303" t="s">
        <v>145</v>
      </c>
      <c r="O303" t="s">
        <v>130</v>
      </c>
      <c r="S303" s="9">
        <v>36.200000000000003</v>
      </c>
      <c r="T303" s="9"/>
      <c r="U303" s="9"/>
      <c r="V303" s="8" t="s">
        <v>128</v>
      </c>
    </row>
    <row r="304" spans="2:22" hidden="1">
      <c r="B304" t="s">
        <v>121</v>
      </c>
      <c r="C304" t="s">
        <v>135</v>
      </c>
      <c r="E304">
        <v>1999</v>
      </c>
      <c r="F304" s="12" t="s">
        <v>620</v>
      </c>
      <c r="I304" s="11" t="s">
        <v>136</v>
      </c>
      <c r="J304" s="11" t="s">
        <v>142</v>
      </c>
      <c r="K304" s="11" t="s">
        <v>143</v>
      </c>
      <c r="M304" t="s">
        <v>144</v>
      </c>
      <c r="N304" t="s">
        <v>145</v>
      </c>
      <c r="O304" t="s">
        <v>64</v>
      </c>
      <c r="P304" t="s">
        <v>42</v>
      </c>
      <c r="S304" s="9">
        <v>26</v>
      </c>
      <c r="T304" s="9"/>
      <c r="U304" s="9"/>
      <c r="V304" s="8" t="s">
        <v>128</v>
      </c>
    </row>
    <row r="305" spans="2:22" hidden="1">
      <c r="B305" t="s">
        <v>146</v>
      </c>
      <c r="C305" t="s">
        <v>135</v>
      </c>
      <c r="E305" s="12" t="s">
        <v>147</v>
      </c>
      <c r="F305" s="12" t="s">
        <v>620</v>
      </c>
      <c r="H305" t="s">
        <v>148</v>
      </c>
      <c r="J305" t="s">
        <v>149</v>
      </c>
      <c r="K305" t="s">
        <v>150</v>
      </c>
      <c r="L305" s="5" t="s">
        <v>151</v>
      </c>
      <c r="O305" s="11" t="s">
        <v>26</v>
      </c>
      <c r="P305" t="s">
        <v>27</v>
      </c>
      <c r="Q305">
        <v>12</v>
      </c>
      <c r="S305" s="9">
        <v>16.399999999999999</v>
      </c>
      <c r="T305" s="9"/>
      <c r="U305" s="9">
        <v>2.5</v>
      </c>
      <c r="V305" s="8" t="s">
        <v>152</v>
      </c>
    </row>
    <row r="306" spans="2:22" hidden="1">
      <c r="B306" t="s">
        <v>146</v>
      </c>
      <c r="C306" t="s">
        <v>135</v>
      </c>
      <c r="E306" s="12" t="s">
        <v>147</v>
      </c>
      <c r="F306" s="12" t="s">
        <v>620</v>
      </c>
      <c r="H306" t="s">
        <v>148</v>
      </c>
      <c r="J306" t="s">
        <v>149</v>
      </c>
      <c r="K306" t="s">
        <v>150</v>
      </c>
      <c r="L306" s="5" t="s">
        <v>151</v>
      </c>
      <c r="O306" s="11" t="s">
        <v>61</v>
      </c>
      <c r="P306" t="s">
        <v>30</v>
      </c>
      <c r="Q306">
        <v>12</v>
      </c>
      <c r="S306" s="9">
        <v>14.1</v>
      </c>
      <c r="T306" s="9"/>
      <c r="U306" s="9">
        <v>2.2000000000000002</v>
      </c>
      <c r="V306" s="8" t="s">
        <v>152</v>
      </c>
    </row>
    <row r="307" spans="2:22" hidden="1">
      <c r="B307" t="s">
        <v>146</v>
      </c>
      <c r="C307" t="s">
        <v>135</v>
      </c>
      <c r="E307" s="12" t="s">
        <v>147</v>
      </c>
      <c r="F307" s="12" t="s">
        <v>620</v>
      </c>
      <c r="H307" t="s">
        <v>153</v>
      </c>
      <c r="J307" t="s">
        <v>154</v>
      </c>
      <c r="K307" t="s">
        <v>155</v>
      </c>
      <c r="L307" s="5" t="s">
        <v>156</v>
      </c>
      <c r="O307" s="11" t="s">
        <v>26</v>
      </c>
      <c r="P307" t="s">
        <v>27</v>
      </c>
      <c r="Q307" s="5" t="s">
        <v>157</v>
      </c>
      <c r="R307" s="5"/>
      <c r="S307" s="9">
        <v>12.1</v>
      </c>
      <c r="T307" s="9"/>
      <c r="U307" s="9">
        <v>1.1000000000000001</v>
      </c>
      <c r="V307" s="8" t="s">
        <v>152</v>
      </c>
    </row>
    <row r="308" spans="2:22" hidden="1">
      <c r="B308" t="s">
        <v>146</v>
      </c>
      <c r="C308" t="s">
        <v>135</v>
      </c>
      <c r="E308" s="12" t="s">
        <v>147</v>
      </c>
      <c r="F308" s="12" t="s">
        <v>620</v>
      </c>
      <c r="H308" t="s">
        <v>153</v>
      </c>
      <c r="J308" t="s">
        <v>154</v>
      </c>
      <c r="K308" t="s">
        <v>155</v>
      </c>
      <c r="L308" s="5" t="s">
        <v>156</v>
      </c>
      <c r="O308" s="11" t="s">
        <v>61</v>
      </c>
      <c r="P308" t="s">
        <v>30</v>
      </c>
      <c r="Q308" s="5" t="s">
        <v>157</v>
      </c>
      <c r="R308" s="5"/>
      <c r="S308" s="9">
        <v>23</v>
      </c>
      <c r="T308" s="9"/>
      <c r="U308" s="9">
        <v>2.7</v>
      </c>
      <c r="V308" s="8" t="s">
        <v>152</v>
      </c>
    </row>
    <row r="309" spans="2:22" hidden="1">
      <c r="B309" t="s">
        <v>146</v>
      </c>
      <c r="C309" t="s">
        <v>135</v>
      </c>
      <c r="E309" s="12" t="s">
        <v>147</v>
      </c>
      <c r="F309" s="12" t="s">
        <v>620</v>
      </c>
      <c r="H309" t="s">
        <v>153</v>
      </c>
      <c r="J309" t="s">
        <v>158</v>
      </c>
      <c r="K309" t="s">
        <v>155</v>
      </c>
      <c r="L309" s="5" t="s">
        <v>156</v>
      </c>
      <c r="O309" s="11" t="s">
        <v>26</v>
      </c>
      <c r="P309" t="s">
        <v>27</v>
      </c>
      <c r="Q309" s="5" t="s">
        <v>157</v>
      </c>
      <c r="R309" s="5"/>
      <c r="S309" s="9">
        <v>13</v>
      </c>
      <c r="T309" s="9"/>
      <c r="U309" s="9">
        <v>1.6</v>
      </c>
      <c r="V309" s="8" t="s">
        <v>152</v>
      </c>
    </row>
    <row r="310" spans="2:22" hidden="1">
      <c r="B310" t="s">
        <v>146</v>
      </c>
      <c r="C310" t="s">
        <v>135</v>
      </c>
      <c r="E310" s="12" t="s">
        <v>147</v>
      </c>
      <c r="F310" s="12" t="s">
        <v>620</v>
      </c>
      <c r="H310" t="s">
        <v>153</v>
      </c>
      <c r="J310" t="s">
        <v>158</v>
      </c>
      <c r="K310" t="s">
        <v>155</v>
      </c>
      <c r="L310" s="5" t="s">
        <v>156</v>
      </c>
      <c r="O310" s="11" t="s">
        <v>61</v>
      </c>
      <c r="P310" t="s">
        <v>30</v>
      </c>
      <c r="Q310" s="5" t="s">
        <v>157</v>
      </c>
      <c r="R310" s="5"/>
      <c r="S310" s="9">
        <v>10.8</v>
      </c>
      <c r="T310" s="9"/>
      <c r="U310" s="9">
        <v>1.1000000000000001</v>
      </c>
      <c r="V310" s="8" t="s">
        <v>152</v>
      </c>
    </row>
    <row r="311" spans="2:22" hidden="1">
      <c r="B311" t="s">
        <v>146</v>
      </c>
      <c r="C311" t="s">
        <v>135</v>
      </c>
      <c r="E311" s="12" t="s">
        <v>147</v>
      </c>
      <c r="F311" s="12" t="s">
        <v>620</v>
      </c>
      <c r="H311" t="s">
        <v>153</v>
      </c>
      <c r="J311" t="s">
        <v>159</v>
      </c>
      <c r="K311" t="s">
        <v>155</v>
      </c>
      <c r="L311" s="5" t="s">
        <v>156</v>
      </c>
      <c r="O311" s="11" t="s">
        <v>26</v>
      </c>
      <c r="P311" t="s">
        <v>27</v>
      </c>
      <c r="Q311" s="5" t="s">
        <v>157</v>
      </c>
      <c r="R311" s="5"/>
      <c r="S311" s="9">
        <v>24.3</v>
      </c>
      <c r="T311" s="9"/>
      <c r="U311" s="9">
        <v>3.5</v>
      </c>
      <c r="V311" s="8" t="s">
        <v>152</v>
      </c>
    </row>
    <row r="312" spans="2:22" hidden="1">
      <c r="B312" t="s">
        <v>146</v>
      </c>
      <c r="C312" t="s">
        <v>135</v>
      </c>
      <c r="E312" s="12" t="s">
        <v>147</v>
      </c>
      <c r="F312" s="12" t="s">
        <v>620</v>
      </c>
      <c r="H312" t="s">
        <v>153</v>
      </c>
      <c r="J312" t="s">
        <v>159</v>
      </c>
      <c r="K312" t="s">
        <v>155</v>
      </c>
      <c r="L312" s="5" t="s">
        <v>156</v>
      </c>
      <c r="O312" s="11" t="s">
        <v>61</v>
      </c>
      <c r="P312" t="s">
        <v>30</v>
      </c>
      <c r="Q312" s="5" t="s">
        <v>157</v>
      </c>
      <c r="R312" s="5"/>
      <c r="S312" s="9">
        <v>7.8</v>
      </c>
      <c r="T312" s="9"/>
      <c r="U312" s="9">
        <v>2.2999999999999998</v>
      </c>
      <c r="V312" s="8" t="s">
        <v>152</v>
      </c>
    </row>
    <row r="313" spans="2:22" hidden="1">
      <c r="B313" t="s">
        <v>146</v>
      </c>
      <c r="C313" t="s">
        <v>135</v>
      </c>
      <c r="E313" s="12" t="s">
        <v>147</v>
      </c>
      <c r="F313" s="12" t="s">
        <v>620</v>
      </c>
      <c r="H313" t="s">
        <v>160</v>
      </c>
      <c r="J313" t="s">
        <v>161</v>
      </c>
      <c r="K313" t="s">
        <v>125</v>
      </c>
      <c r="L313" s="5" t="s">
        <v>162</v>
      </c>
      <c r="O313" s="11" t="s">
        <v>26</v>
      </c>
      <c r="P313" t="s">
        <v>27</v>
      </c>
      <c r="Q313">
        <v>4</v>
      </c>
      <c r="S313" s="9">
        <v>13.4</v>
      </c>
      <c r="T313" s="9"/>
      <c r="U313" s="9">
        <v>1.7</v>
      </c>
      <c r="V313" s="8" t="s">
        <v>152</v>
      </c>
    </row>
    <row r="314" spans="2:22" hidden="1">
      <c r="B314" t="s">
        <v>146</v>
      </c>
      <c r="C314" t="s">
        <v>135</v>
      </c>
      <c r="E314" s="12" t="s">
        <v>147</v>
      </c>
      <c r="F314" s="12" t="s">
        <v>620</v>
      </c>
      <c r="H314" t="s">
        <v>160</v>
      </c>
      <c r="J314" t="s">
        <v>163</v>
      </c>
      <c r="K314" t="s">
        <v>125</v>
      </c>
      <c r="L314" s="5" t="s">
        <v>162</v>
      </c>
      <c r="O314" s="11" t="s">
        <v>61</v>
      </c>
      <c r="P314" t="s">
        <v>30</v>
      </c>
      <c r="Q314">
        <v>4</v>
      </c>
      <c r="S314" s="9">
        <v>8.9</v>
      </c>
      <c r="T314" s="9"/>
      <c r="U314" s="9">
        <v>1.7</v>
      </c>
      <c r="V314" s="8" t="s">
        <v>152</v>
      </c>
    </row>
    <row r="315" spans="2:22" hidden="1">
      <c r="B315" t="s">
        <v>193</v>
      </c>
      <c r="C315" t="s">
        <v>135</v>
      </c>
      <c r="D315" t="s">
        <v>774</v>
      </c>
      <c r="E315">
        <v>1999</v>
      </c>
      <c r="F315" s="12" t="s">
        <v>620</v>
      </c>
      <c r="G315" s="12" t="s">
        <v>732</v>
      </c>
      <c r="H315" t="s">
        <v>203</v>
      </c>
      <c r="I315" t="s">
        <v>204</v>
      </c>
      <c r="K315" t="s">
        <v>198</v>
      </c>
      <c r="L315"/>
      <c r="O315" t="s">
        <v>26</v>
      </c>
      <c r="P315" t="s">
        <v>27</v>
      </c>
      <c r="S315" s="9">
        <v>50.9</v>
      </c>
      <c r="T315" s="9"/>
      <c r="U315" s="9"/>
      <c r="V315" s="8" t="s">
        <v>197</v>
      </c>
    </row>
    <row r="316" spans="2:22" hidden="1">
      <c r="B316" t="s">
        <v>193</v>
      </c>
      <c r="C316" t="s">
        <v>135</v>
      </c>
      <c r="E316">
        <v>1999</v>
      </c>
      <c r="F316" s="12" t="s">
        <v>620</v>
      </c>
      <c r="H316" t="s">
        <v>203</v>
      </c>
      <c r="I316" t="s">
        <v>204</v>
      </c>
      <c r="K316" t="s">
        <v>198</v>
      </c>
      <c r="L316"/>
      <c r="O316" t="s">
        <v>130</v>
      </c>
      <c r="P316" t="s">
        <v>31</v>
      </c>
      <c r="S316" s="9">
        <v>4</v>
      </c>
      <c r="T316" s="9"/>
      <c r="U316" s="9"/>
      <c r="V316" s="8" t="s">
        <v>197</v>
      </c>
    </row>
    <row r="317" spans="2:22" hidden="1">
      <c r="B317" t="s">
        <v>193</v>
      </c>
      <c r="C317" t="s">
        <v>135</v>
      </c>
      <c r="E317">
        <v>1999</v>
      </c>
      <c r="F317" s="12" t="s">
        <v>620</v>
      </c>
      <c r="H317" t="s">
        <v>205</v>
      </c>
      <c r="I317" t="s">
        <v>206</v>
      </c>
      <c r="K317" t="s">
        <v>198</v>
      </c>
      <c r="L317"/>
      <c r="O317" t="s">
        <v>26</v>
      </c>
      <c r="P317" t="s">
        <v>27</v>
      </c>
      <c r="S317" s="9">
        <v>30</v>
      </c>
      <c r="T317" s="9"/>
      <c r="U317" s="9"/>
      <c r="V317" s="8" t="s">
        <v>197</v>
      </c>
    </row>
    <row r="318" spans="2:22" hidden="1">
      <c r="B318" t="s">
        <v>193</v>
      </c>
      <c r="C318" t="s">
        <v>135</v>
      </c>
      <c r="E318">
        <v>1999</v>
      </c>
      <c r="F318" s="12" t="s">
        <v>620</v>
      </c>
      <c r="H318" t="s">
        <v>205</v>
      </c>
      <c r="I318" t="s">
        <v>206</v>
      </c>
      <c r="K318" t="s">
        <v>198</v>
      </c>
      <c r="L318"/>
      <c r="O318" t="s">
        <v>130</v>
      </c>
      <c r="P318" t="s">
        <v>31</v>
      </c>
      <c r="S318" s="9" t="s">
        <v>173</v>
      </c>
      <c r="T318" s="9"/>
      <c r="U318" s="9"/>
      <c r="V318" s="8" t="s">
        <v>197</v>
      </c>
    </row>
    <row r="319" spans="2:22" hidden="1">
      <c r="B319" t="s">
        <v>193</v>
      </c>
      <c r="C319" t="s">
        <v>135</v>
      </c>
      <c r="D319" t="s">
        <v>773</v>
      </c>
      <c r="E319">
        <v>1999</v>
      </c>
      <c r="F319" s="12" t="s">
        <v>620</v>
      </c>
      <c r="G319" s="12" t="s">
        <v>732</v>
      </c>
      <c r="H319" t="s">
        <v>207</v>
      </c>
      <c r="I319" t="s">
        <v>208</v>
      </c>
      <c r="K319" t="s">
        <v>196</v>
      </c>
      <c r="L319"/>
      <c r="O319" t="s">
        <v>26</v>
      </c>
      <c r="P319" t="s">
        <v>27</v>
      </c>
      <c r="S319" s="9">
        <v>47.1</v>
      </c>
      <c r="T319" s="9"/>
      <c r="U319" s="9"/>
      <c r="V319" s="8" t="s">
        <v>197</v>
      </c>
    </row>
    <row r="320" spans="2:22" hidden="1">
      <c r="B320" t="s">
        <v>193</v>
      </c>
      <c r="C320" t="s">
        <v>135</v>
      </c>
      <c r="E320">
        <v>1999</v>
      </c>
      <c r="F320" s="12" t="s">
        <v>620</v>
      </c>
      <c r="H320" t="s">
        <v>207</v>
      </c>
      <c r="I320" t="s">
        <v>208</v>
      </c>
      <c r="K320" t="s">
        <v>196</v>
      </c>
      <c r="L320"/>
      <c r="O320" t="s">
        <v>130</v>
      </c>
      <c r="P320" t="s">
        <v>31</v>
      </c>
      <c r="S320" s="9">
        <v>0.5</v>
      </c>
      <c r="T320" s="9"/>
      <c r="U320" s="9"/>
      <c r="V320" s="8" t="s">
        <v>197</v>
      </c>
    </row>
    <row r="321" spans="2:22" hidden="1">
      <c r="B321" t="s">
        <v>193</v>
      </c>
      <c r="C321" t="s">
        <v>135</v>
      </c>
      <c r="E321">
        <v>1999</v>
      </c>
      <c r="F321" s="12" t="s">
        <v>620</v>
      </c>
      <c r="H321" t="s">
        <v>207</v>
      </c>
      <c r="I321" t="s">
        <v>208</v>
      </c>
      <c r="K321" t="s">
        <v>198</v>
      </c>
      <c r="L321"/>
      <c r="O321" t="s">
        <v>26</v>
      </c>
      <c r="P321" t="s">
        <v>27</v>
      </c>
      <c r="S321" s="9">
        <v>35</v>
      </c>
      <c r="T321" s="9"/>
      <c r="U321" s="9"/>
      <c r="V321" s="8" t="s">
        <v>197</v>
      </c>
    </row>
    <row r="322" spans="2:22" hidden="1">
      <c r="B322" t="s">
        <v>193</v>
      </c>
      <c r="C322" t="s">
        <v>135</v>
      </c>
      <c r="E322">
        <v>1999</v>
      </c>
      <c r="F322" s="12" t="s">
        <v>620</v>
      </c>
      <c r="H322" t="s">
        <v>207</v>
      </c>
      <c r="I322" t="s">
        <v>208</v>
      </c>
      <c r="K322" t="s">
        <v>198</v>
      </c>
      <c r="L322"/>
      <c r="O322" t="s">
        <v>130</v>
      </c>
      <c r="P322" t="s">
        <v>31</v>
      </c>
      <c r="S322" s="9">
        <v>6.7</v>
      </c>
      <c r="T322" s="9"/>
      <c r="U322" s="9"/>
      <c r="V322" s="8" t="s">
        <v>197</v>
      </c>
    </row>
    <row r="323" spans="2:22" hidden="1">
      <c r="B323" t="s">
        <v>193</v>
      </c>
      <c r="C323" t="s">
        <v>135</v>
      </c>
      <c r="E323">
        <v>1999</v>
      </c>
      <c r="F323" s="12" t="s">
        <v>620</v>
      </c>
      <c r="H323" t="s">
        <v>209</v>
      </c>
      <c r="I323" t="s">
        <v>137</v>
      </c>
      <c r="K323" t="s">
        <v>196</v>
      </c>
      <c r="L323"/>
      <c r="O323" t="s">
        <v>26</v>
      </c>
      <c r="P323" t="s">
        <v>27</v>
      </c>
      <c r="S323" s="9">
        <v>25.2</v>
      </c>
      <c r="T323" s="9"/>
      <c r="U323" s="9"/>
      <c r="V323" s="8" t="s">
        <v>197</v>
      </c>
    </row>
    <row r="324" spans="2:22" hidden="1">
      <c r="B324" t="s">
        <v>193</v>
      </c>
      <c r="C324" t="s">
        <v>135</v>
      </c>
      <c r="E324">
        <v>1999</v>
      </c>
      <c r="F324" s="12" t="s">
        <v>620</v>
      </c>
      <c r="H324" t="s">
        <v>209</v>
      </c>
      <c r="I324" t="s">
        <v>137</v>
      </c>
      <c r="K324" t="s">
        <v>196</v>
      </c>
      <c r="L324"/>
      <c r="O324" t="s">
        <v>130</v>
      </c>
      <c r="P324" t="s">
        <v>31</v>
      </c>
      <c r="S324" s="9">
        <v>4.7</v>
      </c>
      <c r="T324" s="9"/>
      <c r="U324" s="9"/>
      <c r="V324" s="8" t="s">
        <v>197</v>
      </c>
    </row>
    <row r="325" spans="2:22" hidden="1">
      <c r="B325" t="s">
        <v>193</v>
      </c>
      <c r="C325" t="s">
        <v>135</v>
      </c>
      <c r="E325">
        <v>1999</v>
      </c>
      <c r="F325" s="12" t="s">
        <v>620</v>
      </c>
      <c r="H325" t="s">
        <v>209</v>
      </c>
      <c r="I325" t="s">
        <v>137</v>
      </c>
      <c r="K325" t="s">
        <v>198</v>
      </c>
      <c r="L325"/>
      <c r="O325" t="s">
        <v>26</v>
      </c>
      <c r="P325" t="s">
        <v>27</v>
      </c>
      <c r="S325" s="9">
        <v>40.700000000000003</v>
      </c>
      <c r="T325" s="9"/>
      <c r="U325" s="9"/>
      <c r="V325" s="8" t="s">
        <v>197</v>
      </c>
    </row>
    <row r="326" spans="2:22" hidden="1">
      <c r="B326" t="s">
        <v>193</v>
      </c>
      <c r="C326" t="s">
        <v>135</v>
      </c>
      <c r="E326">
        <v>1999</v>
      </c>
      <c r="F326" s="12" t="s">
        <v>620</v>
      </c>
      <c r="H326" t="s">
        <v>209</v>
      </c>
      <c r="I326" t="s">
        <v>137</v>
      </c>
      <c r="K326" t="s">
        <v>198</v>
      </c>
      <c r="L326"/>
      <c r="O326" t="s">
        <v>130</v>
      </c>
      <c r="P326" t="s">
        <v>31</v>
      </c>
      <c r="S326" s="9">
        <v>27.5</v>
      </c>
      <c r="T326" s="9"/>
      <c r="U326" s="9"/>
      <c r="V326" s="8" t="s">
        <v>197</v>
      </c>
    </row>
    <row r="327" spans="2:22" hidden="1">
      <c r="B327" t="s">
        <v>193</v>
      </c>
      <c r="C327" t="s">
        <v>135</v>
      </c>
      <c r="E327">
        <v>2000</v>
      </c>
      <c r="F327" s="12" t="s">
        <v>620</v>
      </c>
      <c r="H327" t="s">
        <v>209</v>
      </c>
      <c r="I327" t="s">
        <v>137</v>
      </c>
      <c r="K327" t="s">
        <v>196</v>
      </c>
      <c r="L327"/>
      <c r="O327" t="s">
        <v>26</v>
      </c>
      <c r="P327" t="s">
        <v>27</v>
      </c>
      <c r="S327" s="9">
        <v>28.8</v>
      </c>
      <c r="T327" s="9"/>
      <c r="U327" s="9"/>
      <c r="V327" s="8" t="s">
        <v>197</v>
      </c>
    </row>
    <row r="328" spans="2:22" hidden="1">
      <c r="B328" t="s">
        <v>193</v>
      </c>
      <c r="C328" t="s">
        <v>135</v>
      </c>
      <c r="E328">
        <v>2000</v>
      </c>
      <c r="F328" s="12" t="s">
        <v>620</v>
      </c>
      <c r="H328" t="s">
        <v>209</v>
      </c>
      <c r="I328" t="s">
        <v>137</v>
      </c>
      <c r="K328" t="s">
        <v>196</v>
      </c>
      <c r="L328"/>
      <c r="O328" t="s">
        <v>130</v>
      </c>
      <c r="P328" t="s">
        <v>31</v>
      </c>
      <c r="S328" s="9">
        <v>26.5</v>
      </c>
      <c r="T328" s="9"/>
      <c r="U328" s="9"/>
      <c r="V328" s="8" t="s">
        <v>197</v>
      </c>
    </row>
    <row r="329" spans="2:22" hidden="1">
      <c r="B329" t="s">
        <v>193</v>
      </c>
      <c r="C329" t="s">
        <v>135</v>
      </c>
      <c r="E329">
        <v>2000</v>
      </c>
      <c r="F329" s="12" t="s">
        <v>620</v>
      </c>
      <c r="H329" t="s">
        <v>209</v>
      </c>
      <c r="I329" t="s">
        <v>137</v>
      </c>
      <c r="K329" t="s">
        <v>198</v>
      </c>
      <c r="L329"/>
      <c r="O329" t="s">
        <v>26</v>
      </c>
      <c r="P329" t="s">
        <v>27</v>
      </c>
      <c r="S329" s="9">
        <v>41.9</v>
      </c>
      <c r="T329" s="9"/>
      <c r="U329" s="9"/>
      <c r="V329" s="8" t="s">
        <v>197</v>
      </c>
    </row>
    <row r="330" spans="2:22" hidden="1">
      <c r="B330" t="s">
        <v>193</v>
      </c>
      <c r="C330" t="s">
        <v>135</v>
      </c>
      <c r="E330">
        <v>2000</v>
      </c>
      <c r="F330" s="12" t="s">
        <v>620</v>
      </c>
      <c r="H330" t="s">
        <v>209</v>
      </c>
      <c r="I330" t="s">
        <v>137</v>
      </c>
      <c r="K330" t="s">
        <v>198</v>
      </c>
      <c r="L330"/>
      <c r="O330" t="s">
        <v>130</v>
      </c>
      <c r="P330" t="s">
        <v>31</v>
      </c>
      <c r="S330" s="9">
        <v>20</v>
      </c>
      <c r="T330" s="9"/>
      <c r="U330" s="9"/>
      <c r="V330" s="8" t="s">
        <v>197</v>
      </c>
    </row>
    <row r="331" spans="2:22" hidden="1">
      <c r="B331" t="s">
        <v>193</v>
      </c>
      <c r="C331" t="s">
        <v>135</v>
      </c>
      <c r="D331" t="s">
        <v>1000</v>
      </c>
      <c r="E331">
        <v>2001</v>
      </c>
      <c r="F331" s="12" t="s">
        <v>620</v>
      </c>
      <c r="G331" t="s">
        <v>732</v>
      </c>
      <c r="H331" t="s">
        <v>205</v>
      </c>
      <c r="I331" t="s">
        <v>206</v>
      </c>
      <c r="K331" t="s">
        <v>198</v>
      </c>
      <c r="L331"/>
      <c r="O331" t="s">
        <v>26</v>
      </c>
      <c r="P331" t="s">
        <v>27</v>
      </c>
      <c r="S331" s="9">
        <v>56.7</v>
      </c>
      <c r="T331" s="9"/>
      <c r="U331" s="9"/>
      <c r="V331" s="8" t="s">
        <v>197</v>
      </c>
    </row>
    <row r="332" spans="2:22" hidden="1">
      <c r="B332" t="s">
        <v>193</v>
      </c>
      <c r="C332" t="s">
        <v>135</v>
      </c>
      <c r="E332">
        <v>2001</v>
      </c>
      <c r="F332" s="12" t="s">
        <v>620</v>
      </c>
      <c r="H332" t="s">
        <v>205</v>
      </c>
      <c r="I332" t="s">
        <v>206</v>
      </c>
      <c r="K332" t="s">
        <v>198</v>
      </c>
      <c r="L332"/>
      <c r="O332" t="s">
        <v>130</v>
      </c>
      <c r="P332" t="s">
        <v>31</v>
      </c>
      <c r="S332" s="9">
        <v>14.4</v>
      </c>
      <c r="T332" s="9"/>
      <c r="U332" s="9"/>
      <c r="V332" s="8" t="s">
        <v>197</v>
      </c>
    </row>
    <row r="333" spans="2:22" hidden="1">
      <c r="B333" t="s">
        <v>193</v>
      </c>
      <c r="C333" t="s">
        <v>135</v>
      </c>
      <c r="E333">
        <v>2001</v>
      </c>
      <c r="F333" s="12" t="s">
        <v>620</v>
      </c>
      <c r="H333" t="s">
        <v>207</v>
      </c>
      <c r="I333" t="s">
        <v>208</v>
      </c>
      <c r="K333" t="s">
        <v>196</v>
      </c>
      <c r="L333"/>
      <c r="O333" t="s">
        <v>26</v>
      </c>
      <c r="P333" t="s">
        <v>27</v>
      </c>
      <c r="S333" s="9">
        <v>13</v>
      </c>
      <c r="T333" s="9"/>
      <c r="U333" s="9"/>
      <c r="V333" s="8" t="s">
        <v>197</v>
      </c>
    </row>
    <row r="334" spans="2:22" hidden="1">
      <c r="B334" t="s">
        <v>193</v>
      </c>
      <c r="C334" t="s">
        <v>135</v>
      </c>
      <c r="E334">
        <v>2001</v>
      </c>
      <c r="F334" s="12" t="s">
        <v>620</v>
      </c>
      <c r="H334" t="s">
        <v>207</v>
      </c>
      <c r="I334" t="s">
        <v>208</v>
      </c>
      <c r="K334" t="s">
        <v>196</v>
      </c>
      <c r="L334"/>
      <c r="O334" t="s">
        <v>130</v>
      </c>
      <c r="P334" t="s">
        <v>31</v>
      </c>
      <c r="S334" s="9">
        <v>20.8</v>
      </c>
      <c r="T334" s="9"/>
      <c r="U334" s="9"/>
      <c r="V334" s="8" t="s">
        <v>197</v>
      </c>
    </row>
    <row r="335" spans="2:22" hidden="1">
      <c r="B335" t="s">
        <v>193</v>
      </c>
      <c r="C335" t="s">
        <v>135</v>
      </c>
      <c r="E335">
        <v>2001</v>
      </c>
      <c r="F335" s="12" t="s">
        <v>620</v>
      </c>
      <c r="H335" t="s">
        <v>207</v>
      </c>
      <c r="I335" t="s">
        <v>208</v>
      </c>
      <c r="K335" t="s">
        <v>198</v>
      </c>
      <c r="L335"/>
      <c r="O335" t="s">
        <v>26</v>
      </c>
      <c r="P335" t="s">
        <v>27</v>
      </c>
      <c r="S335" s="9">
        <v>36.4</v>
      </c>
      <c r="T335" s="9"/>
      <c r="U335" s="9"/>
      <c r="V335" s="8" t="s">
        <v>197</v>
      </c>
    </row>
    <row r="336" spans="2:22" hidden="1">
      <c r="B336" t="s">
        <v>193</v>
      </c>
      <c r="C336" t="s">
        <v>135</v>
      </c>
      <c r="E336">
        <v>2001</v>
      </c>
      <c r="F336" s="12" t="s">
        <v>620</v>
      </c>
      <c r="H336" t="s">
        <v>207</v>
      </c>
      <c r="I336" t="s">
        <v>208</v>
      </c>
      <c r="K336" t="s">
        <v>198</v>
      </c>
      <c r="L336"/>
      <c r="O336" t="s">
        <v>130</v>
      </c>
      <c r="P336" t="s">
        <v>31</v>
      </c>
      <c r="S336" s="9">
        <v>3.2</v>
      </c>
      <c r="T336" s="9"/>
      <c r="U336" s="9"/>
      <c r="V336" s="8" t="s">
        <v>197</v>
      </c>
    </row>
    <row r="337" spans="2:22" hidden="1">
      <c r="B337" t="s">
        <v>193</v>
      </c>
      <c r="C337" t="s">
        <v>135</v>
      </c>
      <c r="E337">
        <v>2002</v>
      </c>
      <c r="F337" s="12" t="s">
        <v>620</v>
      </c>
      <c r="H337" t="s">
        <v>203</v>
      </c>
      <c r="I337" t="s">
        <v>204</v>
      </c>
      <c r="K337" t="s">
        <v>196</v>
      </c>
      <c r="L337"/>
      <c r="O337" t="s">
        <v>26</v>
      </c>
      <c r="P337" t="s">
        <v>27</v>
      </c>
      <c r="S337" s="9">
        <v>35.799999999999997</v>
      </c>
      <c r="T337" s="9"/>
      <c r="U337" s="9"/>
      <c r="V337" s="8" t="s">
        <v>197</v>
      </c>
    </row>
    <row r="338" spans="2:22" hidden="1">
      <c r="B338" t="s">
        <v>193</v>
      </c>
      <c r="C338" t="s">
        <v>135</v>
      </c>
      <c r="E338">
        <v>2002</v>
      </c>
      <c r="F338" s="12" t="s">
        <v>620</v>
      </c>
      <c r="H338" t="s">
        <v>203</v>
      </c>
      <c r="I338" t="s">
        <v>204</v>
      </c>
      <c r="K338" t="s">
        <v>196</v>
      </c>
      <c r="L338"/>
      <c r="O338" t="s">
        <v>130</v>
      </c>
      <c r="P338" t="s">
        <v>31</v>
      </c>
      <c r="S338" s="9">
        <v>0.5</v>
      </c>
      <c r="T338" s="9"/>
      <c r="U338" s="9"/>
      <c r="V338" s="8" t="s">
        <v>197</v>
      </c>
    </row>
    <row r="339" spans="2:22" hidden="1">
      <c r="B339" t="s">
        <v>193</v>
      </c>
      <c r="C339" t="s">
        <v>135</v>
      </c>
      <c r="E339">
        <v>2002</v>
      </c>
      <c r="F339" s="12" t="s">
        <v>620</v>
      </c>
      <c r="H339" t="s">
        <v>203</v>
      </c>
      <c r="I339" t="s">
        <v>204</v>
      </c>
      <c r="K339" t="s">
        <v>198</v>
      </c>
      <c r="L339"/>
      <c r="O339" t="s">
        <v>26</v>
      </c>
      <c r="P339" t="s">
        <v>27</v>
      </c>
      <c r="S339" s="9">
        <v>48.2</v>
      </c>
      <c r="T339" s="9"/>
      <c r="U339" s="9"/>
      <c r="V339" s="8" t="s">
        <v>197</v>
      </c>
    </row>
    <row r="340" spans="2:22" hidden="1">
      <c r="B340" t="s">
        <v>193</v>
      </c>
      <c r="C340" t="s">
        <v>135</v>
      </c>
      <c r="E340">
        <v>2002</v>
      </c>
      <c r="F340" s="12" t="s">
        <v>620</v>
      </c>
      <c r="H340" t="s">
        <v>203</v>
      </c>
      <c r="I340" t="s">
        <v>204</v>
      </c>
      <c r="K340" t="s">
        <v>198</v>
      </c>
      <c r="L340"/>
      <c r="O340" t="s">
        <v>130</v>
      </c>
      <c r="P340" t="s">
        <v>31</v>
      </c>
      <c r="S340" s="9">
        <v>3.8</v>
      </c>
      <c r="T340" s="9"/>
      <c r="U340" s="9"/>
      <c r="V340" s="8" t="s">
        <v>197</v>
      </c>
    </row>
    <row r="341" spans="2:22" hidden="1">
      <c r="B341" t="s">
        <v>193</v>
      </c>
      <c r="C341" t="s">
        <v>135</v>
      </c>
      <c r="E341">
        <v>2002</v>
      </c>
      <c r="F341" s="12" t="s">
        <v>620</v>
      </c>
      <c r="H341" t="s">
        <v>209</v>
      </c>
      <c r="I341" t="s">
        <v>137</v>
      </c>
      <c r="K341" t="s">
        <v>196</v>
      </c>
      <c r="L341"/>
      <c r="O341" t="s">
        <v>26</v>
      </c>
      <c r="P341" t="s">
        <v>27</v>
      </c>
      <c r="S341" s="9">
        <v>28.7</v>
      </c>
      <c r="T341" s="9"/>
      <c r="U341" s="9"/>
      <c r="V341" s="8" t="s">
        <v>197</v>
      </c>
    </row>
    <row r="342" spans="2:22" hidden="1">
      <c r="B342" t="s">
        <v>193</v>
      </c>
      <c r="C342" t="s">
        <v>135</v>
      </c>
      <c r="E342">
        <v>2002</v>
      </c>
      <c r="F342" s="12" t="s">
        <v>620</v>
      </c>
      <c r="H342" t="s">
        <v>209</v>
      </c>
      <c r="I342" t="s">
        <v>137</v>
      </c>
      <c r="K342" t="s">
        <v>196</v>
      </c>
      <c r="L342"/>
      <c r="O342" t="s">
        <v>130</v>
      </c>
      <c r="P342" t="s">
        <v>31</v>
      </c>
      <c r="S342" s="9">
        <v>37.799999999999997</v>
      </c>
      <c r="T342" s="9"/>
      <c r="U342" s="9"/>
      <c r="V342" s="8" t="s">
        <v>197</v>
      </c>
    </row>
    <row r="343" spans="2:22" hidden="1">
      <c r="B343" t="s">
        <v>193</v>
      </c>
      <c r="C343" t="s">
        <v>135</v>
      </c>
      <c r="E343">
        <v>2002</v>
      </c>
      <c r="F343" s="12" t="s">
        <v>620</v>
      </c>
      <c r="H343" t="s">
        <v>209</v>
      </c>
      <c r="I343" t="s">
        <v>137</v>
      </c>
      <c r="K343" t="s">
        <v>198</v>
      </c>
      <c r="L343"/>
      <c r="O343" t="s">
        <v>26</v>
      </c>
      <c r="P343" t="s">
        <v>27</v>
      </c>
      <c r="S343" s="9">
        <v>42</v>
      </c>
      <c r="T343" s="9"/>
      <c r="U343" s="9"/>
      <c r="V343" s="8" t="s">
        <v>197</v>
      </c>
    </row>
    <row r="344" spans="2:22" hidden="1">
      <c r="B344" t="s">
        <v>193</v>
      </c>
      <c r="C344" t="s">
        <v>135</v>
      </c>
      <c r="E344">
        <v>2002</v>
      </c>
      <c r="F344" s="12" t="s">
        <v>620</v>
      </c>
      <c r="H344" t="s">
        <v>209</v>
      </c>
      <c r="I344" t="s">
        <v>137</v>
      </c>
      <c r="K344" t="s">
        <v>198</v>
      </c>
      <c r="L344"/>
      <c r="O344" t="s">
        <v>130</v>
      </c>
      <c r="P344" t="s">
        <v>31</v>
      </c>
      <c r="S344" s="9">
        <v>15</v>
      </c>
      <c r="T344" s="9"/>
      <c r="U344" s="9"/>
      <c r="V344" s="8" t="s">
        <v>197</v>
      </c>
    </row>
    <row r="345" spans="2:22" hidden="1">
      <c r="B345" t="s">
        <v>380</v>
      </c>
      <c r="C345" t="s">
        <v>135</v>
      </c>
      <c r="E345" s="12" t="s">
        <v>378</v>
      </c>
      <c r="F345" s="12" t="s">
        <v>620</v>
      </c>
      <c r="H345" t="s">
        <v>367</v>
      </c>
      <c r="I345" t="s">
        <v>368</v>
      </c>
      <c r="L345"/>
      <c r="O345" t="s">
        <v>26</v>
      </c>
      <c r="P345" t="s">
        <v>27</v>
      </c>
      <c r="R345">
        <v>3</v>
      </c>
      <c r="S345">
        <v>42</v>
      </c>
      <c r="T345" s="9"/>
      <c r="U345">
        <v>2</v>
      </c>
      <c r="V345" t="s">
        <v>380</v>
      </c>
    </row>
    <row r="346" spans="2:22" hidden="1">
      <c r="B346" t="s">
        <v>380</v>
      </c>
      <c r="C346" t="s">
        <v>135</v>
      </c>
      <c r="E346" s="12" t="s">
        <v>378</v>
      </c>
      <c r="F346" s="12" t="s">
        <v>620</v>
      </c>
      <c r="H346" t="s">
        <v>367</v>
      </c>
      <c r="I346" t="s">
        <v>369</v>
      </c>
      <c r="L346"/>
      <c r="O346" t="s">
        <v>26</v>
      </c>
      <c r="P346" t="s">
        <v>27</v>
      </c>
      <c r="R346">
        <v>4</v>
      </c>
      <c r="S346">
        <v>14</v>
      </c>
      <c r="T346" s="9"/>
      <c r="U346">
        <v>1</v>
      </c>
      <c r="V346" t="s">
        <v>380</v>
      </c>
    </row>
    <row r="347" spans="2:22" hidden="1">
      <c r="B347" t="s">
        <v>380</v>
      </c>
      <c r="C347" t="s">
        <v>135</v>
      </c>
      <c r="E347" s="12" t="s">
        <v>378</v>
      </c>
      <c r="F347" s="12" t="s">
        <v>620</v>
      </c>
      <c r="H347" t="s">
        <v>367</v>
      </c>
      <c r="I347" t="s">
        <v>370</v>
      </c>
      <c r="L347"/>
      <c r="O347" t="s">
        <v>26</v>
      </c>
      <c r="P347" t="s">
        <v>27</v>
      </c>
      <c r="R347">
        <v>3</v>
      </c>
      <c r="S347">
        <v>8</v>
      </c>
      <c r="T347" s="9"/>
      <c r="U347">
        <v>1</v>
      </c>
      <c r="V347" t="s">
        <v>380</v>
      </c>
    </row>
    <row r="348" spans="2:22" hidden="1">
      <c r="B348" t="s">
        <v>381</v>
      </c>
      <c r="C348" t="s">
        <v>135</v>
      </c>
      <c r="E348" s="12">
        <v>2008</v>
      </c>
      <c r="F348" s="12" t="s">
        <v>620</v>
      </c>
      <c r="I348" t="s">
        <v>371</v>
      </c>
      <c r="L348"/>
      <c r="O348" t="s">
        <v>26</v>
      </c>
      <c r="P348" t="s">
        <v>27</v>
      </c>
      <c r="R348">
        <v>16</v>
      </c>
      <c r="S348">
        <v>34</v>
      </c>
      <c r="T348" s="9"/>
      <c r="U348" s="9"/>
      <c r="V348" t="s">
        <v>381</v>
      </c>
    </row>
    <row r="349" spans="2:22" hidden="1">
      <c r="B349" t="s">
        <v>382</v>
      </c>
      <c r="C349" t="s">
        <v>135</v>
      </c>
      <c r="E349" s="12">
        <v>2006</v>
      </c>
      <c r="F349" s="12" t="s">
        <v>620</v>
      </c>
      <c r="I349" t="s">
        <v>372</v>
      </c>
      <c r="L349"/>
      <c r="O349" t="s">
        <v>26</v>
      </c>
      <c r="P349" t="s">
        <v>27</v>
      </c>
      <c r="S349">
        <v>0.9</v>
      </c>
      <c r="T349" s="9"/>
      <c r="U349" s="9"/>
      <c r="V349" t="s">
        <v>382</v>
      </c>
    </row>
    <row r="350" spans="2:22" hidden="1">
      <c r="B350" t="s">
        <v>383</v>
      </c>
      <c r="C350" t="s">
        <v>135</v>
      </c>
      <c r="E350" s="12">
        <v>2007</v>
      </c>
      <c r="F350" s="12" t="s">
        <v>620</v>
      </c>
      <c r="I350" t="s">
        <v>372</v>
      </c>
      <c r="L350"/>
      <c r="O350" t="s">
        <v>26</v>
      </c>
      <c r="P350" t="s">
        <v>27</v>
      </c>
      <c r="S350">
        <v>0.3</v>
      </c>
      <c r="T350" s="9"/>
      <c r="U350" s="9"/>
      <c r="V350" t="s">
        <v>383</v>
      </c>
    </row>
    <row r="351" spans="2:22" hidden="1">
      <c r="B351" t="s">
        <v>384</v>
      </c>
      <c r="C351" t="s">
        <v>135</v>
      </c>
      <c r="E351" s="12">
        <v>2006</v>
      </c>
      <c r="F351" s="12" t="s">
        <v>620</v>
      </c>
      <c r="I351" t="s">
        <v>373</v>
      </c>
      <c r="L351"/>
      <c r="O351" t="s">
        <v>26</v>
      </c>
      <c r="P351" t="s">
        <v>27</v>
      </c>
      <c r="S351">
        <v>1.5</v>
      </c>
      <c r="T351" s="9"/>
      <c r="U351" s="9"/>
      <c r="V351" t="s">
        <v>384</v>
      </c>
    </row>
    <row r="352" spans="2:22" hidden="1">
      <c r="B352" t="s">
        <v>385</v>
      </c>
      <c r="C352" t="s">
        <v>135</v>
      </c>
      <c r="E352" s="12">
        <v>2007</v>
      </c>
      <c r="F352" s="12" t="s">
        <v>620</v>
      </c>
      <c r="I352" t="s">
        <v>373</v>
      </c>
      <c r="L352"/>
      <c r="O352" t="s">
        <v>26</v>
      </c>
      <c r="P352" t="s">
        <v>27</v>
      </c>
      <c r="S352">
        <v>27</v>
      </c>
      <c r="T352" s="9"/>
      <c r="U352" s="9"/>
      <c r="V352" t="s">
        <v>385</v>
      </c>
    </row>
    <row r="353" spans="2:22" hidden="1">
      <c r="B353" t="s">
        <v>386</v>
      </c>
      <c r="C353" t="s">
        <v>135</v>
      </c>
      <c r="E353" s="12">
        <v>2006</v>
      </c>
      <c r="F353" s="12" t="s">
        <v>620</v>
      </c>
      <c r="I353" t="s">
        <v>371</v>
      </c>
      <c r="L353"/>
      <c r="O353" t="s">
        <v>26</v>
      </c>
      <c r="P353" t="s">
        <v>27</v>
      </c>
      <c r="S353">
        <v>22.4</v>
      </c>
      <c r="T353" s="9"/>
      <c r="U353" s="9"/>
      <c r="V353" t="s">
        <v>386</v>
      </c>
    </row>
    <row r="354" spans="2:22" hidden="1">
      <c r="B354" t="s">
        <v>387</v>
      </c>
      <c r="C354" t="s">
        <v>135</v>
      </c>
      <c r="E354" s="12">
        <v>2007</v>
      </c>
      <c r="F354" s="12" t="s">
        <v>620</v>
      </c>
      <c r="I354" t="s">
        <v>371</v>
      </c>
      <c r="L354"/>
      <c r="O354" t="s">
        <v>26</v>
      </c>
      <c r="P354" t="s">
        <v>27</v>
      </c>
      <c r="S354">
        <v>25</v>
      </c>
      <c r="T354" s="9"/>
      <c r="U354" s="9"/>
      <c r="V354" t="s">
        <v>387</v>
      </c>
    </row>
    <row r="355" spans="2:22" hidden="1">
      <c r="B355" t="s">
        <v>388</v>
      </c>
      <c r="C355" t="s">
        <v>135</v>
      </c>
      <c r="E355" s="12">
        <v>2007</v>
      </c>
      <c r="F355" s="12" t="s">
        <v>620</v>
      </c>
      <c r="I355" t="s">
        <v>374</v>
      </c>
      <c r="L355"/>
      <c r="O355" t="s">
        <v>26</v>
      </c>
      <c r="P355" t="s">
        <v>27</v>
      </c>
      <c r="S355">
        <v>1.9</v>
      </c>
      <c r="T355" s="9"/>
      <c r="U355" s="9"/>
      <c r="V355" t="s">
        <v>388</v>
      </c>
    </row>
    <row r="356" spans="2:22" hidden="1">
      <c r="B356" t="s">
        <v>389</v>
      </c>
      <c r="C356" t="s">
        <v>135</v>
      </c>
      <c r="E356" s="12">
        <v>2006</v>
      </c>
      <c r="F356" s="12" t="s">
        <v>620</v>
      </c>
      <c r="I356" t="s">
        <v>375</v>
      </c>
      <c r="L356"/>
      <c r="O356" t="s">
        <v>26</v>
      </c>
      <c r="P356" t="s">
        <v>27</v>
      </c>
      <c r="S356">
        <v>27.5</v>
      </c>
      <c r="T356" s="9"/>
      <c r="U356" s="9"/>
      <c r="V356" t="s">
        <v>389</v>
      </c>
    </row>
    <row r="357" spans="2:22" hidden="1">
      <c r="B357" t="s">
        <v>390</v>
      </c>
      <c r="C357" t="s">
        <v>135</v>
      </c>
      <c r="E357" s="12">
        <v>2007</v>
      </c>
      <c r="F357" s="12" t="s">
        <v>620</v>
      </c>
      <c r="I357" t="s">
        <v>375</v>
      </c>
      <c r="L357"/>
      <c r="O357" t="s">
        <v>26</v>
      </c>
      <c r="P357" t="s">
        <v>27</v>
      </c>
      <c r="S357">
        <v>27</v>
      </c>
      <c r="T357" s="9"/>
      <c r="U357" s="9"/>
      <c r="V357" t="s">
        <v>390</v>
      </c>
    </row>
    <row r="358" spans="2:22" hidden="1">
      <c r="B358" t="s">
        <v>572</v>
      </c>
      <c r="C358" t="s">
        <v>135</v>
      </c>
      <c r="E358" s="12">
        <v>2008</v>
      </c>
      <c r="F358" s="12" t="s">
        <v>620</v>
      </c>
      <c r="H358" t="s">
        <v>376</v>
      </c>
      <c r="I358" t="s">
        <v>377</v>
      </c>
      <c r="L358"/>
      <c r="O358" t="s">
        <v>26</v>
      </c>
      <c r="P358" t="s">
        <v>27</v>
      </c>
      <c r="S358">
        <v>1.6</v>
      </c>
      <c r="T358" s="9"/>
      <c r="U358">
        <v>1.3</v>
      </c>
      <c r="V358" s="8" t="s">
        <v>571</v>
      </c>
    </row>
    <row r="359" spans="2:22" hidden="1">
      <c r="B359" t="s">
        <v>572</v>
      </c>
      <c r="C359" t="s">
        <v>135</v>
      </c>
      <c r="E359">
        <v>2008</v>
      </c>
      <c r="F359" s="12" t="s">
        <v>620</v>
      </c>
      <c r="H359" t="s">
        <v>135</v>
      </c>
      <c r="J359" t="s">
        <v>371</v>
      </c>
      <c r="L359"/>
      <c r="O359" t="s">
        <v>359</v>
      </c>
      <c r="S359">
        <v>2</v>
      </c>
      <c r="T359" s="9"/>
      <c r="U359" s="9"/>
      <c r="V359" s="8" t="s">
        <v>571</v>
      </c>
    </row>
    <row r="360" spans="2:22">
      <c r="B360" t="s">
        <v>121</v>
      </c>
      <c r="C360" t="s">
        <v>122</v>
      </c>
      <c r="D360" t="s">
        <v>748</v>
      </c>
      <c r="E360">
        <v>1999</v>
      </c>
      <c r="F360" s="12" t="s">
        <v>620</v>
      </c>
      <c r="G360" s="12" t="s">
        <v>732</v>
      </c>
      <c r="I360" s="11" t="s">
        <v>123</v>
      </c>
      <c r="J360" t="s">
        <v>124</v>
      </c>
      <c r="K360" t="s">
        <v>125</v>
      </c>
      <c r="L360" s="5" t="s">
        <v>126</v>
      </c>
      <c r="O360" t="s">
        <v>997</v>
      </c>
      <c r="P360" t="s">
        <v>27</v>
      </c>
      <c r="S360" s="9">
        <v>55</v>
      </c>
      <c r="T360" s="9"/>
      <c r="U360" s="9"/>
      <c r="V360" s="8" t="s">
        <v>128</v>
      </c>
    </row>
    <row r="361" spans="2:22" hidden="1">
      <c r="B361" t="s">
        <v>121</v>
      </c>
      <c r="C361" t="s">
        <v>122</v>
      </c>
      <c r="E361">
        <v>1999</v>
      </c>
      <c r="F361" s="12" t="s">
        <v>620</v>
      </c>
      <c r="I361" s="11" t="s">
        <v>123</v>
      </c>
      <c r="J361" t="s">
        <v>124</v>
      </c>
      <c r="K361" t="s">
        <v>125</v>
      </c>
      <c r="L361" s="5" t="s">
        <v>126</v>
      </c>
      <c r="O361" t="s">
        <v>129</v>
      </c>
      <c r="S361" s="9">
        <v>10</v>
      </c>
      <c r="T361" s="9"/>
      <c r="U361" s="9"/>
      <c r="V361" s="8" t="s">
        <v>128</v>
      </c>
    </row>
    <row r="362" spans="2:22" hidden="1">
      <c r="B362" t="s">
        <v>121</v>
      </c>
      <c r="C362" t="s">
        <v>122</v>
      </c>
      <c r="E362">
        <v>1999</v>
      </c>
      <c r="F362" s="12" t="s">
        <v>620</v>
      </c>
      <c r="I362" s="11" t="s">
        <v>123</v>
      </c>
      <c r="J362" t="s">
        <v>124</v>
      </c>
      <c r="K362" t="s">
        <v>125</v>
      </c>
      <c r="L362" s="5" t="s">
        <v>126</v>
      </c>
      <c r="O362" t="s">
        <v>130</v>
      </c>
      <c r="S362" s="9">
        <v>47</v>
      </c>
      <c r="T362" s="9"/>
      <c r="U362" s="9"/>
      <c r="V362" s="8" t="s">
        <v>128</v>
      </c>
    </row>
    <row r="363" spans="2:22" hidden="1">
      <c r="B363" t="s">
        <v>121</v>
      </c>
      <c r="C363" t="s">
        <v>122</v>
      </c>
      <c r="E363">
        <v>1999</v>
      </c>
      <c r="F363" s="12" t="s">
        <v>620</v>
      </c>
      <c r="I363" s="11" t="s">
        <v>123</v>
      </c>
      <c r="J363" t="s">
        <v>124</v>
      </c>
      <c r="K363" t="s">
        <v>125</v>
      </c>
      <c r="L363" s="5" t="s">
        <v>126</v>
      </c>
      <c r="O363" t="s">
        <v>64</v>
      </c>
      <c r="P363" t="s">
        <v>42</v>
      </c>
      <c r="S363" s="9">
        <v>15</v>
      </c>
      <c r="T363" s="9"/>
      <c r="U363" s="9"/>
      <c r="V363" s="8" t="s">
        <v>128</v>
      </c>
    </row>
    <row r="364" spans="2:22" hidden="1">
      <c r="B364" t="s">
        <v>121</v>
      </c>
      <c r="C364" t="s">
        <v>122</v>
      </c>
      <c r="E364">
        <v>1999</v>
      </c>
      <c r="F364" s="12" t="s">
        <v>620</v>
      </c>
      <c r="I364" s="11" t="s">
        <v>131</v>
      </c>
      <c r="J364" t="s">
        <v>132</v>
      </c>
      <c r="K364" t="s">
        <v>125</v>
      </c>
      <c r="L364" s="5" t="s">
        <v>126</v>
      </c>
      <c r="M364" t="s">
        <v>133</v>
      </c>
      <c r="N364" t="s">
        <v>134</v>
      </c>
      <c r="O364" t="s">
        <v>127</v>
      </c>
      <c r="P364" t="s">
        <v>27</v>
      </c>
      <c r="S364" s="9">
        <v>36</v>
      </c>
      <c r="T364" s="9"/>
      <c r="U364" s="9"/>
      <c r="V364" s="8" t="s">
        <v>128</v>
      </c>
    </row>
    <row r="365" spans="2:22" hidden="1">
      <c r="B365" t="s">
        <v>121</v>
      </c>
      <c r="C365" t="s">
        <v>122</v>
      </c>
      <c r="E365">
        <v>1999</v>
      </c>
      <c r="F365" s="12" t="s">
        <v>620</v>
      </c>
      <c r="I365" s="11" t="s">
        <v>131</v>
      </c>
      <c r="J365" t="s">
        <v>132</v>
      </c>
      <c r="K365" t="s">
        <v>125</v>
      </c>
      <c r="L365" s="5" t="s">
        <v>126</v>
      </c>
      <c r="M365" t="s">
        <v>133</v>
      </c>
      <c r="N365" t="s">
        <v>134</v>
      </c>
      <c r="O365" t="s">
        <v>129</v>
      </c>
      <c r="S365" s="9">
        <v>4</v>
      </c>
      <c r="T365" s="9"/>
      <c r="U365" s="9"/>
      <c r="V365" s="8" t="s">
        <v>128</v>
      </c>
    </row>
    <row r="366" spans="2:22" hidden="1">
      <c r="B366" t="s">
        <v>121</v>
      </c>
      <c r="C366" t="s">
        <v>122</v>
      </c>
      <c r="E366">
        <v>1999</v>
      </c>
      <c r="F366" s="12" t="s">
        <v>620</v>
      </c>
      <c r="I366" s="11" t="s">
        <v>131</v>
      </c>
      <c r="J366" t="s">
        <v>132</v>
      </c>
      <c r="K366" t="s">
        <v>125</v>
      </c>
      <c r="L366" s="5" t="s">
        <v>126</v>
      </c>
      <c r="M366" t="s">
        <v>133</v>
      </c>
      <c r="N366" t="s">
        <v>134</v>
      </c>
      <c r="O366" t="s">
        <v>130</v>
      </c>
      <c r="S366" s="9">
        <v>47</v>
      </c>
      <c r="T366" s="9"/>
      <c r="U366" s="9"/>
      <c r="V366" s="8" t="s">
        <v>128</v>
      </c>
    </row>
    <row r="367" spans="2:22" hidden="1">
      <c r="B367" t="s">
        <v>121</v>
      </c>
      <c r="C367" t="s">
        <v>122</v>
      </c>
      <c r="E367">
        <v>1999</v>
      </c>
      <c r="F367" s="12" t="s">
        <v>620</v>
      </c>
      <c r="I367" s="11" t="s">
        <v>131</v>
      </c>
      <c r="J367" t="s">
        <v>132</v>
      </c>
      <c r="K367" t="s">
        <v>125</v>
      </c>
      <c r="L367" s="5" t="s">
        <v>126</v>
      </c>
      <c r="M367" t="s">
        <v>133</v>
      </c>
      <c r="N367" t="s">
        <v>134</v>
      </c>
      <c r="O367" t="s">
        <v>64</v>
      </c>
      <c r="P367" t="s">
        <v>42</v>
      </c>
      <c r="S367" s="9">
        <v>18</v>
      </c>
      <c r="T367" s="9"/>
      <c r="U367" s="9"/>
      <c r="V367" s="8" t="s">
        <v>128</v>
      </c>
    </row>
    <row r="368" spans="2:22" hidden="1">
      <c r="B368" t="s">
        <v>193</v>
      </c>
      <c r="C368" t="s">
        <v>122</v>
      </c>
      <c r="E368">
        <v>1999</v>
      </c>
      <c r="F368" s="12" t="s">
        <v>620</v>
      </c>
      <c r="H368" t="s">
        <v>194</v>
      </c>
      <c r="I368" t="s">
        <v>195</v>
      </c>
      <c r="K368" t="s">
        <v>196</v>
      </c>
      <c r="L368"/>
      <c r="O368" t="s">
        <v>26</v>
      </c>
      <c r="P368" t="s">
        <v>27</v>
      </c>
      <c r="S368" s="9">
        <v>44.2</v>
      </c>
      <c r="T368" s="9"/>
      <c r="U368" s="9"/>
      <c r="V368" s="8" t="s">
        <v>197</v>
      </c>
    </row>
    <row r="369" spans="2:22" hidden="1">
      <c r="B369" t="s">
        <v>193</v>
      </c>
      <c r="C369" t="s">
        <v>122</v>
      </c>
      <c r="E369">
        <v>1999</v>
      </c>
      <c r="F369" s="12" t="s">
        <v>620</v>
      </c>
      <c r="H369" t="s">
        <v>194</v>
      </c>
      <c r="I369" t="s">
        <v>195</v>
      </c>
      <c r="K369" t="s">
        <v>196</v>
      </c>
      <c r="L369"/>
      <c r="O369" t="s">
        <v>130</v>
      </c>
      <c r="P369" t="s">
        <v>31</v>
      </c>
      <c r="S369" s="9">
        <v>0.5</v>
      </c>
      <c r="T369" s="9"/>
      <c r="U369" s="9"/>
      <c r="V369" s="8" t="s">
        <v>197</v>
      </c>
    </row>
    <row r="370" spans="2:22" hidden="1">
      <c r="B370" t="s">
        <v>193</v>
      </c>
      <c r="C370" t="s">
        <v>122</v>
      </c>
      <c r="E370">
        <v>1999</v>
      </c>
      <c r="F370" s="12" t="s">
        <v>620</v>
      </c>
      <c r="H370" t="s">
        <v>194</v>
      </c>
      <c r="I370" t="s">
        <v>195</v>
      </c>
      <c r="K370" t="s">
        <v>198</v>
      </c>
      <c r="L370"/>
      <c r="O370" t="s">
        <v>26</v>
      </c>
      <c r="P370" t="s">
        <v>27</v>
      </c>
      <c r="S370" s="9">
        <v>25.2</v>
      </c>
      <c r="T370" s="9"/>
      <c r="U370" s="9"/>
      <c r="V370" s="8" t="s">
        <v>197</v>
      </c>
    </row>
    <row r="371" spans="2:22" hidden="1">
      <c r="B371" t="s">
        <v>193</v>
      </c>
      <c r="C371" t="s">
        <v>122</v>
      </c>
      <c r="E371">
        <v>1999</v>
      </c>
      <c r="F371" s="12" t="s">
        <v>620</v>
      </c>
      <c r="H371" t="s">
        <v>194</v>
      </c>
      <c r="I371" t="s">
        <v>195</v>
      </c>
      <c r="K371" t="s">
        <v>198</v>
      </c>
      <c r="L371"/>
      <c r="O371" t="s">
        <v>130</v>
      </c>
      <c r="P371" t="s">
        <v>31</v>
      </c>
      <c r="S371" s="9">
        <v>0</v>
      </c>
      <c r="T371" s="9"/>
      <c r="U371" s="9"/>
      <c r="V371" s="8" t="s">
        <v>197</v>
      </c>
    </row>
    <row r="372" spans="2:22" hidden="1">
      <c r="B372" t="s">
        <v>193</v>
      </c>
      <c r="C372" t="s">
        <v>122</v>
      </c>
      <c r="E372">
        <v>1999</v>
      </c>
      <c r="F372" s="12" t="s">
        <v>620</v>
      </c>
      <c r="H372" t="s">
        <v>199</v>
      </c>
      <c r="I372" t="s">
        <v>132</v>
      </c>
      <c r="K372" t="s">
        <v>196</v>
      </c>
      <c r="L372"/>
      <c r="O372" t="s">
        <v>26</v>
      </c>
      <c r="P372" t="s">
        <v>27</v>
      </c>
      <c r="S372" s="9" t="s">
        <v>173</v>
      </c>
      <c r="T372" s="9"/>
      <c r="U372" s="9"/>
      <c r="V372" s="8" t="s">
        <v>197</v>
      </c>
    </row>
    <row r="373" spans="2:22" hidden="1">
      <c r="B373" t="s">
        <v>193</v>
      </c>
      <c r="C373" t="s">
        <v>122</v>
      </c>
      <c r="E373">
        <v>1999</v>
      </c>
      <c r="F373" s="12" t="s">
        <v>620</v>
      </c>
      <c r="H373" t="s">
        <v>199</v>
      </c>
      <c r="I373" t="s">
        <v>132</v>
      </c>
      <c r="K373" t="s">
        <v>196</v>
      </c>
      <c r="L373"/>
      <c r="O373" t="s">
        <v>130</v>
      </c>
      <c r="P373" t="s">
        <v>31</v>
      </c>
      <c r="S373" s="9" t="s">
        <v>173</v>
      </c>
      <c r="T373" s="9"/>
      <c r="U373" s="9"/>
      <c r="V373" s="8" t="s">
        <v>197</v>
      </c>
    </row>
    <row r="374" spans="2:22" hidden="1">
      <c r="B374" t="s">
        <v>193</v>
      </c>
      <c r="C374" t="s">
        <v>122</v>
      </c>
      <c r="E374">
        <v>1999</v>
      </c>
      <c r="F374" s="12" t="s">
        <v>620</v>
      </c>
      <c r="H374" t="s">
        <v>199</v>
      </c>
      <c r="I374" t="s">
        <v>132</v>
      </c>
      <c r="K374" t="s">
        <v>198</v>
      </c>
      <c r="L374"/>
      <c r="O374" t="s">
        <v>26</v>
      </c>
      <c r="P374" t="s">
        <v>27</v>
      </c>
      <c r="S374" s="9">
        <v>35.5</v>
      </c>
      <c r="T374" s="9"/>
      <c r="U374" s="9"/>
      <c r="V374" s="8" t="s">
        <v>197</v>
      </c>
    </row>
    <row r="375" spans="2:22" hidden="1">
      <c r="B375" t="s">
        <v>193</v>
      </c>
      <c r="C375" t="s">
        <v>122</v>
      </c>
      <c r="E375">
        <v>1999</v>
      </c>
      <c r="F375" s="12" t="s">
        <v>620</v>
      </c>
      <c r="H375" t="s">
        <v>199</v>
      </c>
      <c r="I375" t="s">
        <v>132</v>
      </c>
      <c r="K375" t="s">
        <v>198</v>
      </c>
      <c r="L375"/>
      <c r="O375" t="s">
        <v>130</v>
      </c>
      <c r="P375" t="s">
        <v>31</v>
      </c>
      <c r="S375" s="9">
        <v>33</v>
      </c>
      <c r="T375" s="9"/>
      <c r="U375" s="9"/>
      <c r="V375" s="8" t="s">
        <v>197</v>
      </c>
    </row>
    <row r="376" spans="2:22" hidden="1">
      <c r="B376" t="s">
        <v>193</v>
      </c>
      <c r="C376" t="s">
        <v>122</v>
      </c>
      <c r="E376">
        <v>1999</v>
      </c>
      <c r="F376" s="12" t="s">
        <v>620</v>
      </c>
      <c r="H376" t="s">
        <v>200</v>
      </c>
      <c r="I376" t="s">
        <v>201</v>
      </c>
      <c r="K376" t="s">
        <v>196</v>
      </c>
      <c r="L376"/>
      <c r="O376" t="s">
        <v>26</v>
      </c>
      <c r="P376" t="s">
        <v>27</v>
      </c>
      <c r="S376" s="9">
        <v>40</v>
      </c>
      <c r="T376" s="9"/>
      <c r="U376" s="9"/>
      <c r="V376" s="8" t="s">
        <v>197</v>
      </c>
    </row>
    <row r="377" spans="2:22" hidden="1">
      <c r="B377" t="s">
        <v>193</v>
      </c>
      <c r="C377" t="s">
        <v>122</v>
      </c>
      <c r="E377">
        <v>1999</v>
      </c>
      <c r="F377" s="12" t="s">
        <v>620</v>
      </c>
      <c r="H377" t="s">
        <v>200</v>
      </c>
      <c r="I377" t="s">
        <v>201</v>
      </c>
      <c r="K377" t="s">
        <v>196</v>
      </c>
      <c r="L377"/>
      <c r="O377" t="s">
        <v>130</v>
      </c>
      <c r="P377" t="s">
        <v>31</v>
      </c>
      <c r="S377" s="9">
        <v>55</v>
      </c>
      <c r="T377" s="9"/>
      <c r="U377" s="9"/>
      <c r="V377" s="8" t="s">
        <v>197</v>
      </c>
    </row>
    <row r="378" spans="2:22" hidden="1">
      <c r="B378" t="s">
        <v>193</v>
      </c>
      <c r="C378" t="s">
        <v>122</v>
      </c>
      <c r="E378">
        <v>1999</v>
      </c>
      <c r="F378" s="12" t="s">
        <v>620</v>
      </c>
      <c r="H378" t="s">
        <v>200</v>
      </c>
      <c r="I378" t="s">
        <v>201</v>
      </c>
      <c r="K378" t="s">
        <v>198</v>
      </c>
      <c r="L378"/>
      <c r="O378" t="s">
        <v>26</v>
      </c>
      <c r="P378" t="s">
        <v>27</v>
      </c>
      <c r="S378" s="9">
        <v>20</v>
      </c>
      <c r="T378" s="9"/>
      <c r="U378" s="9"/>
      <c r="V378" s="8" t="s">
        <v>197</v>
      </c>
    </row>
    <row r="379" spans="2:22" hidden="1">
      <c r="B379" t="s">
        <v>193</v>
      </c>
      <c r="C379" t="s">
        <v>122</v>
      </c>
      <c r="E379">
        <v>1999</v>
      </c>
      <c r="F379" s="12" t="s">
        <v>620</v>
      </c>
      <c r="H379" t="s">
        <v>200</v>
      </c>
      <c r="I379" t="s">
        <v>201</v>
      </c>
      <c r="K379" t="s">
        <v>198</v>
      </c>
      <c r="L379"/>
      <c r="O379" t="s">
        <v>130</v>
      </c>
      <c r="P379" t="s">
        <v>31</v>
      </c>
      <c r="S379" s="9">
        <v>78</v>
      </c>
      <c r="T379" s="9"/>
      <c r="U379" s="9"/>
      <c r="V379" s="8" t="s">
        <v>197</v>
      </c>
    </row>
    <row r="380" spans="2:22" hidden="1">
      <c r="B380" t="s">
        <v>193</v>
      </c>
      <c r="C380" t="s">
        <v>122</v>
      </c>
      <c r="E380">
        <v>1999</v>
      </c>
      <c r="F380" s="12" t="s">
        <v>620</v>
      </c>
      <c r="H380" t="s">
        <v>200</v>
      </c>
      <c r="I380" t="s">
        <v>202</v>
      </c>
      <c r="K380" t="s">
        <v>196</v>
      </c>
      <c r="L380"/>
      <c r="O380" t="s">
        <v>26</v>
      </c>
      <c r="P380" t="s">
        <v>27</v>
      </c>
      <c r="S380" s="9" t="s">
        <v>173</v>
      </c>
      <c r="T380" s="9"/>
      <c r="U380" s="9"/>
      <c r="V380" s="8" t="s">
        <v>197</v>
      </c>
    </row>
    <row r="381" spans="2:22" hidden="1">
      <c r="B381" t="s">
        <v>193</v>
      </c>
      <c r="C381" t="s">
        <v>122</v>
      </c>
      <c r="E381">
        <v>1999</v>
      </c>
      <c r="F381" s="12" t="s">
        <v>620</v>
      </c>
      <c r="H381" t="s">
        <v>200</v>
      </c>
      <c r="I381" t="s">
        <v>202</v>
      </c>
      <c r="K381" t="s">
        <v>196</v>
      </c>
      <c r="L381"/>
      <c r="O381" t="s">
        <v>130</v>
      </c>
      <c r="P381" t="s">
        <v>31</v>
      </c>
      <c r="S381" s="9" t="s">
        <v>173</v>
      </c>
      <c r="T381" s="9"/>
      <c r="U381" s="9"/>
      <c r="V381" s="8" t="s">
        <v>197</v>
      </c>
    </row>
    <row r="382" spans="2:22" hidden="1">
      <c r="B382" t="s">
        <v>193</v>
      </c>
      <c r="C382" t="s">
        <v>122</v>
      </c>
      <c r="E382">
        <v>1999</v>
      </c>
      <c r="F382" s="12" t="s">
        <v>620</v>
      </c>
      <c r="H382" t="s">
        <v>200</v>
      </c>
      <c r="I382" t="s">
        <v>202</v>
      </c>
      <c r="K382" t="s">
        <v>198</v>
      </c>
      <c r="L382"/>
      <c r="O382" t="s">
        <v>26</v>
      </c>
      <c r="P382" t="s">
        <v>27</v>
      </c>
      <c r="S382" s="9">
        <v>18</v>
      </c>
      <c r="T382" s="9"/>
      <c r="U382" s="9"/>
      <c r="V382" s="8" t="s">
        <v>197</v>
      </c>
    </row>
    <row r="383" spans="2:22" hidden="1">
      <c r="B383" t="s">
        <v>193</v>
      </c>
      <c r="C383" t="s">
        <v>122</v>
      </c>
      <c r="E383">
        <v>1999</v>
      </c>
      <c r="F383" s="12" t="s">
        <v>620</v>
      </c>
      <c r="H383" t="s">
        <v>200</v>
      </c>
      <c r="I383" t="s">
        <v>202</v>
      </c>
      <c r="K383" t="s">
        <v>198</v>
      </c>
      <c r="L383"/>
      <c r="O383" t="s">
        <v>130</v>
      </c>
      <c r="P383" t="s">
        <v>31</v>
      </c>
      <c r="S383" s="9">
        <v>51</v>
      </c>
      <c r="T383" s="9"/>
      <c r="U383" s="9"/>
      <c r="V383" s="8" t="s">
        <v>197</v>
      </c>
    </row>
    <row r="384" spans="2:22" hidden="1">
      <c r="B384" t="s">
        <v>193</v>
      </c>
      <c r="C384" t="s">
        <v>122</v>
      </c>
      <c r="E384">
        <v>2002</v>
      </c>
      <c r="F384" s="12" t="s">
        <v>620</v>
      </c>
      <c r="H384" t="s">
        <v>194</v>
      </c>
      <c r="I384" t="s">
        <v>195</v>
      </c>
      <c r="K384" t="s">
        <v>196</v>
      </c>
      <c r="L384"/>
      <c r="O384" t="s">
        <v>26</v>
      </c>
      <c r="P384" t="s">
        <v>27</v>
      </c>
      <c r="S384" s="9">
        <v>36.5</v>
      </c>
      <c r="T384" s="9"/>
      <c r="U384" s="9"/>
      <c r="V384" s="8" t="s">
        <v>197</v>
      </c>
    </row>
    <row r="385" spans="2:22" hidden="1">
      <c r="B385" t="s">
        <v>193</v>
      </c>
      <c r="C385" t="s">
        <v>122</v>
      </c>
      <c r="E385">
        <v>2002</v>
      </c>
      <c r="F385" s="12" t="s">
        <v>620</v>
      </c>
      <c r="H385" t="s">
        <v>194</v>
      </c>
      <c r="I385" t="s">
        <v>195</v>
      </c>
      <c r="K385" t="s">
        <v>196</v>
      </c>
      <c r="L385"/>
      <c r="O385" t="s">
        <v>130</v>
      </c>
      <c r="P385" t="s">
        <v>31</v>
      </c>
      <c r="S385" s="9">
        <v>23.6</v>
      </c>
      <c r="T385" s="9"/>
      <c r="U385" s="9"/>
      <c r="V385" s="8" t="s">
        <v>197</v>
      </c>
    </row>
    <row r="386" spans="2:22" hidden="1">
      <c r="B386" t="s">
        <v>193</v>
      </c>
      <c r="C386" t="s">
        <v>122</v>
      </c>
      <c r="E386">
        <v>2002</v>
      </c>
      <c r="F386" s="12" t="s">
        <v>620</v>
      </c>
      <c r="H386" t="s">
        <v>194</v>
      </c>
      <c r="I386" t="s">
        <v>195</v>
      </c>
      <c r="K386" t="s">
        <v>198</v>
      </c>
      <c r="L386"/>
      <c r="O386" t="s">
        <v>26</v>
      </c>
      <c r="P386" t="s">
        <v>27</v>
      </c>
      <c r="S386" s="9">
        <v>24.8</v>
      </c>
      <c r="T386" s="9"/>
      <c r="U386" s="9"/>
      <c r="V386" s="8" t="s">
        <v>197</v>
      </c>
    </row>
    <row r="387" spans="2:22" hidden="1">
      <c r="B387" t="s">
        <v>193</v>
      </c>
      <c r="C387" t="s">
        <v>122</v>
      </c>
      <c r="E387">
        <v>2002</v>
      </c>
      <c r="F387" s="12" t="s">
        <v>620</v>
      </c>
      <c r="H387" t="s">
        <v>194</v>
      </c>
      <c r="I387" t="s">
        <v>195</v>
      </c>
      <c r="K387" t="s">
        <v>198</v>
      </c>
      <c r="L387"/>
      <c r="O387" t="s">
        <v>130</v>
      </c>
      <c r="P387" t="s">
        <v>31</v>
      </c>
      <c r="S387" s="9">
        <v>19.8</v>
      </c>
      <c r="T387" s="9"/>
      <c r="U387" s="9"/>
      <c r="V387" s="8" t="s">
        <v>197</v>
      </c>
    </row>
    <row r="388" spans="2:22" hidden="1">
      <c r="B388" t="s">
        <v>193</v>
      </c>
      <c r="C388" t="s">
        <v>122</v>
      </c>
      <c r="E388">
        <v>2002</v>
      </c>
      <c r="F388" s="12" t="s">
        <v>620</v>
      </c>
      <c r="H388" t="s">
        <v>199</v>
      </c>
      <c r="I388" t="s">
        <v>132</v>
      </c>
      <c r="K388" t="s">
        <v>196</v>
      </c>
      <c r="L388"/>
      <c r="O388" t="s">
        <v>26</v>
      </c>
      <c r="P388" t="s">
        <v>27</v>
      </c>
      <c r="S388" s="9">
        <v>5</v>
      </c>
      <c r="T388" s="9"/>
      <c r="U388" s="9"/>
      <c r="V388" s="8" t="s">
        <v>197</v>
      </c>
    </row>
    <row r="389" spans="2:22" hidden="1">
      <c r="B389" t="s">
        <v>193</v>
      </c>
      <c r="C389" t="s">
        <v>122</v>
      </c>
      <c r="E389">
        <v>2002</v>
      </c>
      <c r="F389" s="12" t="s">
        <v>620</v>
      </c>
      <c r="H389" t="s">
        <v>199</v>
      </c>
      <c r="I389" t="s">
        <v>132</v>
      </c>
      <c r="K389" t="s">
        <v>196</v>
      </c>
      <c r="L389"/>
      <c r="O389" t="s">
        <v>130</v>
      </c>
      <c r="P389" t="s">
        <v>31</v>
      </c>
      <c r="S389" s="9">
        <v>20</v>
      </c>
      <c r="T389" s="9"/>
      <c r="U389" s="9"/>
      <c r="V389" s="8" t="s">
        <v>197</v>
      </c>
    </row>
    <row r="390" spans="2:22" hidden="1">
      <c r="B390" t="s">
        <v>193</v>
      </c>
      <c r="C390" t="s">
        <v>122</v>
      </c>
      <c r="E390">
        <v>2002</v>
      </c>
      <c r="F390" s="12" t="s">
        <v>620</v>
      </c>
      <c r="H390" t="s">
        <v>199</v>
      </c>
      <c r="I390" t="s">
        <v>132</v>
      </c>
      <c r="K390" t="s">
        <v>198</v>
      </c>
      <c r="L390"/>
      <c r="O390" t="s">
        <v>26</v>
      </c>
      <c r="P390" t="s">
        <v>27</v>
      </c>
      <c r="S390" s="9">
        <v>38.299999999999997</v>
      </c>
      <c r="T390" s="9"/>
      <c r="U390" s="9"/>
      <c r="V390" s="8" t="s">
        <v>197</v>
      </c>
    </row>
    <row r="391" spans="2:22" hidden="1">
      <c r="B391" t="s">
        <v>193</v>
      </c>
      <c r="C391" t="s">
        <v>122</v>
      </c>
      <c r="E391">
        <v>2002</v>
      </c>
      <c r="F391" s="12" t="s">
        <v>620</v>
      </c>
      <c r="H391" t="s">
        <v>199</v>
      </c>
      <c r="I391" t="s">
        <v>132</v>
      </c>
      <c r="K391" t="s">
        <v>198</v>
      </c>
      <c r="L391"/>
      <c r="O391" t="s">
        <v>130</v>
      </c>
      <c r="P391" t="s">
        <v>31</v>
      </c>
      <c r="S391" s="9">
        <v>22.3</v>
      </c>
      <c r="T391" s="9"/>
      <c r="U391" s="9"/>
      <c r="V391" s="8" t="s">
        <v>197</v>
      </c>
    </row>
    <row r="392" spans="2:22" hidden="1">
      <c r="B392" t="s">
        <v>193</v>
      </c>
      <c r="C392" t="s">
        <v>122</v>
      </c>
      <c r="D392" t="s">
        <v>748</v>
      </c>
      <c r="E392">
        <v>2002</v>
      </c>
      <c r="F392" s="12" t="s">
        <v>620</v>
      </c>
      <c r="G392" s="12" t="s">
        <v>732</v>
      </c>
      <c r="H392" t="s">
        <v>200</v>
      </c>
      <c r="I392" t="s">
        <v>201</v>
      </c>
      <c r="K392" t="s">
        <v>196</v>
      </c>
      <c r="L392"/>
      <c r="O392" t="s">
        <v>998</v>
      </c>
      <c r="P392" t="s">
        <v>27</v>
      </c>
      <c r="S392" s="9">
        <v>87</v>
      </c>
      <c r="T392" s="9"/>
      <c r="U392" s="9"/>
      <c r="V392" s="8" t="s">
        <v>197</v>
      </c>
    </row>
    <row r="393" spans="2:22" hidden="1">
      <c r="B393" t="s">
        <v>193</v>
      </c>
      <c r="C393" t="s">
        <v>122</v>
      </c>
      <c r="E393">
        <v>2002</v>
      </c>
      <c r="F393" s="12" t="s">
        <v>620</v>
      </c>
      <c r="H393" t="s">
        <v>200</v>
      </c>
      <c r="I393" t="s">
        <v>201</v>
      </c>
      <c r="K393" t="s">
        <v>196</v>
      </c>
      <c r="L393"/>
      <c r="O393" t="s">
        <v>130</v>
      </c>
      <c r="P393" t="s">
        <v>31</v>
      </c>
      <c r="S393" s="9" t="s">
        <v>173</v>
      </c>
      <c r="T393" s="9"/>
      <c r="U393" s="9"/>
      <c r="V393" s="8" t="s">
        <v>197</v>
      </c>
    </row>
    <row r="394" spans="2:22" hidden="1">
      <c r="B394" t="s">
        <v>193</v>
      </c>
      <c r="C394" t="s">
        <v>122</v>
      </c>
      <c r="E394">
        <v>2002</v>
      </c>
      <c r="F394" s="12" t="s">
        <v>620</v>
      </c>
      <c r="H394" t="s">
        <v>200</v>
      </c>
      <c r="I394" t="s">
        <v>201</v>
      </c>
      <c r="K394" t="s">
        <v>198</v>
      </c>
      <c r="L394"/>
      <c r="O394" t="s">
        <v>26</v>
      </c>
      <c r="P394" t="s">
        <v>27</v>
      </c>
      <c r="S394" s="9">
        <v>41.2</v>
      </c>
      <c r="T394" s="9"/>
      <c r="U394" s="9"/>
      <c r="V394" s="8" t="s">
        <v>197</v>
      </c>
    </row>
    <row r="395" spans="2:22" hidden="1">
      <c r="B395" t="s">
        <v>193</v>
      </c>
      <c r="C395" t="s">
        <v>122</v>
      </c>
      <c r="E395">
        <v>2002</v>
      </c>
      <c r="F395" s="12" t="s">
        <v>620</v>
      </c>
      <c r="H395" t="s">
        <v>200</v>
      </c>
      <c r="I395" t="s">
        <v>201</v>
      </c>
      <c r="K395" t="s">
        <v>198</v>
      </c>
      <c r="L395"/>
      <c r="O395" t="s">
        <v>130</v>
      </c>
      <c r="P395" t="s">
        <v>31</v>
      </c>
      <c r="S395" s="9">
        <v>47.5</v>
      </c>
      <c r="T395" s="9"/>
      <c r="U395" s="9"/>
      <c r="V395" s="8" t="s">
        <v>197</v>
      </c>
    </row>
    <row r="396" spans="2:22" hidden="1">
      <c r="B396" t="s">
        <v>193</v>
      </c>
      <c r="C396" t="s">
        <v>122</v>
      </c>
      <c r="E396">
        <v>2002</v>
      </c>
      <c r="F396" s="12" t="s">
        <v>620</v>
      </c>
      <c r="H396" t="s">
        <v>200</v>
      </c>
      <c r="I396" t="s">
        <v>202</v>
      </c>
      <c r="K396" t="s">
        <v>196</v>
      </c>
      <c r="L396"/>
      <c r="O396" t="s">
        <v>26</v>
      </c>
      <c r="P396" t="s">
        <v>27</v>
      </c>
      <c r="S396" s="9">
        <v>22.8</v>
      </c>
      <c r="T396" s="9"/>
      <c r="U396" s="9"/>
      <c r="V396" s="8" t="s">
        <v>197</v>
      </c>
    </row>
    <row r="397" spans="2:22" hidden="1">
      <c r="B397" t="s">
        <v>193</v>
      </c>
      <c r="C397" t="s">
        <v>122</v>
      </c>
      <c r="E397">
        <v>2002</v>
      </c>
      <c r="F397" s="12" t="s">
        <v>620</v>
      </c>
      <c r="H397" t="s">
        <v>200</v>
      </c>
      <c r="I397" t="s">
        <v>202</v>
      </c>
      <c r="K397" t="s">
        <v>196</v>
      </c>
      <c r="L397"/>
      <c r="O397" t="s">
        <v>130</v>
      </c>
      <c r="P397" t="s">
        <v>31</v>
      </c>
      <c r="S397" s="9">
        <v>47.4</v>
      </c>
      <c r="T397" s="9"/>
      <c r="U397" s="9"/>
      <c r="V397" s="8" t="s">
        <v>197</v>
      </c>
    </row>
    <row r="398" spans="2:22" hidden="1">
      <c r="B398" t="s">
        <v>193</v>
      </c>
      <c r="C398" t="s">
        <v>122</v>
      </c>
      <c r="D398" t="s">
        <v>748</v>
      </c>
      <c r="E398">
        <v>2002</v>
      </c>
      <c r="F398" s="12" t="s">
        <v>620</v>
      </c>
      <c r="G398" s="12" t="s">
        <v>732</v>
      </c>
      <c r="H398" t="s">
        <v>200</v>
      </c>
      <c r="I398" t="s">
        <v>202</v>
      </c>
      <c r="K398" t="s">
        <v>198</v>
      </c>
      <c r="L398"/>
      <c r="O398" t="s">
        <v>26</v>
      </c>
      <c r="P398" t="s">
        <v>27</v>
      </c>
      <c r="S398" s="9">
        <v>52.6</v>
      </c>
      <c r="T398" s="9"/>
      <c r="U398" s="9"/>
      <c r="V398" s="8" t="s">
        <v>197</v>
      </c>
    </row>
    <row r="399" spans="2:22" hidden="1">
      <c r="B399" t="s">
        <v>193</v>
      </c>
      <c r="C399" t="s">
        <v>122</v>
      </c>
      <c r="E399">
        <v>2002</v>
      </c>
      <c r="F399" s="12" t="s">
        <v>620</v>
      </c>
      <c r="H399" t="s">
        <v>200</v>
      </c>
      <c r="I399" t="s">
        <v>202</v>
      </c>
      <c r="K399" t="s">
        <v>198</v>
      </c>
      <c r="L399"/>
      <c r="O399" t="s">
        <v>130</v>
      </c>
      <c r="P399" t="s">
        <v>31</v>
      </c>
      <c r="S399" s="9">
        <v>20.7</v>
      </c>
      <c r="T399" s="9"/>
      <c r="U399" s="9"/>
      <c r="V399" s="8" t="s">
        <v>197</v>
      </c>
    </row>
    <row r="400" spans="2:22" hidden="1">
      <c r="B400" t="s">
        <v>481</v>
      </c>
      <c r="C400" t="s">
        <v>122</v>
      </c>
      <c r="D400" t="s">
        <v>748</v>
      </c>
      <c r="E400">
        <v>1997</v>
      </c>
      <c r="F400" s="12" t="s">
        <v>622</v>
      </c>
      <c r="H400" t="s">
        <v>194</v>
      </c>
      <c r="I400" t="s">
        <v>365</v>
      </c>
      <c r="L400"/>
      <c r="O400" t="s">
        <v>26</v>
      </c>
      <c r="P400" t="s">
        <v>27</v>
      </c>
      <c r="S400" s="10">
        <v>55</v>
      </c>
      <c r="T400" s="9"/>
      <c r="U400" s="9"/>
      <c r="V400" s="8" t="s">
        <v>480</v>
      </c>
    </row>
    <row r="401" spans="2:22" hidden="1">
      <c r="B401" t="s">
        <v>481</v>
      </c>
      <c r="C401" t="s">
        <v>122</v>
      </c>
      <c r="D401" t="s">
        <v>748</v>
      </c>
      <c r="E401">
        <v>1997</v>
      </c>
      <c r="F401" s="12" t="s">
        <v>622</v>
      </c>
      <c r="H401" t="s">
        <v>194</v>
      </c>
      <c r="I401" t="s">
        <v>366</v>
      </c>
      <c r="L401"/>
      <c r="O401" t="s">
        <v>26</v>
      </c>
      <c r="P401" t="s">
        <v>27</v>
      </c>
      <c r="S401" s="10">
        <v>54</v>
      </c>
      <c r="T401" s="9"/>
      <c r="U401" s="9"/>
      <c r="V401" s="8" t="s">
        <v>480</v>
      </c>
    </row>
    <row r="402" spans="2:22" hidden="1">
      <c r="B402" t="s">
        <v>481</v>
      </c>
      <c r="C402" t="s">
        <v>122</v>
      </c>
      <c r="E402">
        <v>1999</v>
      </c>
      <c r="F402" s="12" t="s">
        <v>620</v>
      </c>
      <c r="H402" t="s">
        <v>194</v>
      </c>
      <c r="I402" t="s">
        <v>365</v>
      </c>
      <c r="L402"/>
      <c r="O402" t="s">
        <v>26</v>
      </c>
      <c r="P402" t="s">
        <v>27</v>
      </c>
      <c r="S402" s="10">
        <v>40</v>
      </c>
      <c r="T402" s="9"/>
      <c r="U402" s="9"/>
      <c r="V402" s="8" t="s">
        <v>480</v>
      </c>
    </row>
    <row r="403" spans="2:22" hidden="1">
      <c r="B403" t="s">
        <v>481</v>
      </c>
      <c r="C403" t="s">
        <v>122</v>
      </c>
      <c r="E403">
        <v>1999</v>
      </c>
      <c r="F403" s="12" t="s">
        <v>620</v>
      </c>
      <c r="H403" t="s">
        <v>194</v>
      </c>
      <c r="I403" t="s">
        <v>366</v>
      </c>
      <c r="L403"/>
      <c r="O403" t="s">
        <v>26</v>
      </c>
      <c r="P403" t="s">
        <v>27</v>
      </c>
      <c r="S403" s="10">
        <v>36</v>
      </c>
      <c r="T403" s="9"/>
      <c r="U403" s="9"/>
      <c r="V403" s="8" t="s">
        <v>480</v>
      </c>
    </row>
    <row r="404" spans="2:22" hidden="1">
      <c r="B404" t="s">
        <v>165</v>
      </c>
      <c r="C404" t="s">
        <v>166</v>
      </c>
      <c r="E404">
        <v>1998</v>
      </c>
      <c r="F404" s="12" t="s">
        <v>670</v>
      </c>
      <c r="H404" t="s">
        <v>167</v>
      </c>
      <c r="I404" t="s">
        <v>168</v>
      </c>
      <c r="L404" s="5" t="s">
        <v>169</v>
      </c>
      <c r="M404" t="s">
        <v>170</v>
      </c>
      <c r="N404" t="s">
        <v>171</v>
      </c>
      <c r="O404" t="s">
        <v>172</v>
      </c>
      <c r="P404" t="s">
        <v>27</v>
      </c>
      <c r="Q404">
        <v>11</v>
      </c>
      <c r="S404" s="9">
        <v>39</v>
      </c>
      <c r="T404" s="9" t="s">
        <v>173</v>
      </c>
      <c r="U404" s="9"/>
      <c r="V404" s="8" t="s">
        <v>174</v>
      </c>
    </row>
    <row r="405" spans="2:22" hidden="1">
      <c r="B405" t="s">
        <v>165</v>
      </c>
      <c r="C405" t="s">
        <v>166</v>
      </c>
      <c r="E405">
        <v>1998</v>
      </c>
      <c r="F405" s="12" t="s">
        <v>670</v>
      </c>
      <c r="H405" t="s">
        <v>167</v>
      </c>
      <c r="I405" t="s">
        <v>168</v>
      </c>
      <c r="L405" s="5" t="s">
        <v>169</v>
      </c>
      <c r="M405" t="s">
        <v>170</v>
      </c>
      <c r="N405" t="s">
        <v>171</v>
      </c>
      <c r="O405" t="s">
        <v>175</v>
      </c>
      <c r="Q405">
        <v>11</v>
      </c>
      <c r="S405" s="9">
        <v>26.6</v>
      </c>
      <c r="T405" s="9">
        <v>19</v>
      </c>
      <c r="U405" s="9"/>
      <c r="V405" s="8" t="s">
        <v>174</v>
      </c>
    </row>
    <row r="406" spans="2:22" hidden="1">
      <c r="B406" t="s">
        <v>165</v>
      </c>
      <c r="C406" t="s">
        <v>166</v>
      </c>
      <c r="E406">
        <v>1998</v>
      </c>
      <c r="F406" s="12" t="s">
        <v>670</v>
      </c>
      <c r="H406" t="s">
        <v>167</v>
      </c>
      <c r="I406" t="s">
        <v>168</v>
      </c>
      <c r="L406" s="5" t="s">
        <v>169</v>
      </c>
      <c r="M406" t="s">
        <v>170</v>
      </c>
      <c r="N406" t="s">
        <v>171</v>
      </c>
      <c r="O406" t="s">
        <v>129</v>
      </c>
      <c r="Q406">
        <v>11</v>
      </c>
      <c r="S406" s="9">
        <v>53.6</v>
      </c>
      <c r="T406" s="9">
        <v>17.600000000000001</v>
      </c>
      <c r="U406" s="9"/>
      <c r="V406" s="8" t="s">
        <v>174</v>
      </c>
    </row>
    <row r="407" spans="2:22" hidden="1">
      <c r="B407" t="s">
        <v>165</v>
      </c>
      <c r="C407" t="s">
        <v>166</v>
      </c>
      <c r="E407">
        <v>1998</v>
      </c>
      <c r="F407" s="12" t="s">
        <v>670</v>
      </c>
      <c r="H407" t="s">
        <v>167</v>
      </c>
      <c r="I407" t="s">
        <v>168</v>
      </c>
      <c r="L407" s="5" t="s">
        <v>169</v>
      </c>
      <c r="M407" t="s">
        <v>170</v>
      </c>
      <c r="N407" t="s">
        <v>171</v>
      </c>
      <c r="O407" t="s">
        <v>64</v>
      </c>
      <c r="Q407">
        <v>11</v>
      </c>
      <c r="S407" s="9">
        <v>19.8</v>
      </c>
      <c r="T407" s="9">
        <v>12.1</v>
      </c>
      <c r="U407" s="9"/>
      <c r="V407" s="8" t="s">
        <v>174</v>
      </c>
    </row>
    <row r="408" spans="2:22" hidden="1">
      <c r="B408" t="s">
        <v>165</v>
      </c>
      <c r="C408" t="s">
        <v>166</v>
      </c>
      <c r="E408">
        <v>1998</v>
      </c>
      <c r="F408" s="12" t="s">
        <v>670</v>
      </c>
      <c r="H408" t="s">
        <v>167</v>
      </c>
      <c r="I408" t="s">
        <v>176</v>
      </c>
      <c r="L408" s="5" t="s">
        <v>169</v>
      </c>
      <c r="M408" t="s">
        <v>177</v>
      </c>
      <c r="N408" t="s">
        <v>178</v>
      </c>
      <c r="O408" t="s">
        <v>172</v>
      </c>
      <c r="P408" t="s">
        <v>27</v>
      </c>
      <c r="Q408">
        <v>65</v>
      </c>
      <c r="S408" s="9">
        <v>47</v>
      </c>
      <c r="T408" s="9" t="s">
        <v>173</v>
      </c>
      <c r="U408" s="9"/>
      <c r="V408" s="8" t="s">
        <v>174</v>
      </c>
    </row>
    <row r="409" spans="2:22" hidden="1">
      <c r="B409" t="s">
        <v>165</v>
      </c>
      <c r="C409" t="s">
        <v>166</v>
      </c>
      <c r="E409">
        <v>1998</v>
      </c>
      <c r="F409" s="12" t="s">
        <v>670</v>
      </c>
      <c r="H409" t="s">
        <v>167</v>
      </c>
      <c r="I409" t="s">
        <v>176</v>
      </c>
      <c r="L409" s="5" t="s">
        <v>169</v>
      </c>
      <c r="M409" t="s">
        <v>177</v>
      </c>
      <c r="N409" t="s">
        <v>178</v>
      </c>
      <c r="O409" t="s">
        <v>175</v>
      </c>
      <c r="Q409">
        <v>65</v>
      </c>
      <c r="S409" s="9">
        <v>17.7</v>
      </c>
      <c r="T409" s="9">
        <v>23.8</v>
      </c>
      <c r="U409" s="9"/>
      <c r="V409" s="8" t="s">
        <v>174</v>
      </c>
    </row>
    <row r="410" spans="2:22" hidden="1">
      <c r="B410" t="s">
        <v>165</v>
      </c>
      <c r="C410" t="s">
        <v>166</v>
      </c>
      <c r="E410">
        <v>1998</v>
      </c>
      <c r="F410" s="12" t="s">
        <v>670</v>
      </c>
      <c r="H410" t="s">
        <v>167</v>
      </c>
      <c r="I410" t="s">
        <v>176</v>
      </c>
      <c r="L410" s="5" t="s">
        <v>169</v>
      </c>
      <c r="M410" t="s">
        <v>177</v>
      </c>
      <c r="N410" t="s">
        <v>178</v>
      </c>
      <c r="O410" t="s">
        <v>129</v>
      </c>
      <c r="Q410">
        <v>65</v>
      </c>
      <c r="S410" s="9">
        <v>27.5</v>
      </c>
      <c r="T410" s="9">
        <v>23.8</v>
      </c>
      <c r="U410" s="9"/>
      <c r="V410" s="8" t="s">
        <v>174</v>
      </c>
    </row>
    <row r="411" spans="2:22" hidden="1">
      <c r="B411" t="s">
        <v>165</v>
      </c>
      <c r="C411" t="s">
        <v>166</v>
      </c>
      <c r="E411">
        <v>1998</v>
      </c>
      <c r="F411" s="12" t="s">
        <v>670</v>
      </c>
      <c r="H411" t="s">
        <v>167</v>
      </c>
      <c r="I411" t="s">
        <v>176</v>
      </c>
      <c r="L411" s="5" t="s">
        <v>169</v>
      </c>
      <c r="M411" t="s">
        <v>177</v>
      </c>
      <c r="N411" t="s">
        <v>178</v>
      </c>
      <c r="O411" t="s">
        <v>64</v>
      </c>
      <c r="Q411">
        <v>65</v>
      </c>
      <c r="S411" s="9">
        <v>54.8</v>
      </c>
      <c r="T411" s="9">
        <v>25.8</v>
      </c>
      <c r="U411" s="9"/>
      <c r="V411" s="8" t="s">
        <v>174</v>
      </c>
    </row>
    <row r="412" spans="2:22" hidden="1">
      <c r="B412" t="s">
        <v>165</v>
      </c>
      <c r="C412" t="s">
        <v>166</v>
      </c>
      <c r="E412">
        <v>1998</v>
      </c>
      <c r="F412" s="12" t="s">
        <v>670</v>
      </c>
      <c r="H412" t="s">
        <v>167</v>
      </c>
      <c r="I412" t="s">
        <v>179</v>
      </c>
      <c r="J412" t="s">
        <v>180</v>
      </c>
      <c r="L412" s="5" t="s">
        <v>169</v>
      </c>
      <c r="M412" t="s">
        <v>181</v>
      </c>
      <c r="N412" t="s">
        <v>182</v>
      </c>
      <c r="O412" t="s">
        <v>172</v>
      </c>
      <c r="P412" t="s">
        <v>27</v>
      </c>
      <c r="Q412">
        <v>8</v>
      </c>
      <c r="S412" s="9">
        <v>6</v>
      </c>
      <c r="T412" s="9" t="s">
        <v>173</v>
      </c>
      <c r="U412" s="9"/>
      <c r="V412" s="8" t="s">
        <v>174</v>
      </c>
    </row>
    <row r="413" spans="2:22" hidden="1">
      <c r="B413" t="s">
        <v>165</v>
      </c>
      <c r="C413" t="s">
        <v>166</v>
      </c>
      <c r="E413">
        <v>1998</v>
      </c>
      <c r="F413" s="12" t="s">
        <v>670</v>
      </c>
      <c r="H413" t="s">
        <v>167</v>
      </c>
      <c r="I413" t="s">
        <v>179</v>
      </c>
      <c r="J413" t="s">
        <v>180</v>
      </c>
      <c r="L413" s="5" t="s">
        <v>169</v>
      </c>
      <c r="M413" t="s">
        <v>181</v>
      </c>
      <c r="N413" t="s">
        <v>182</v>
      </c>
      <c r="O413" t="s">
        <v>175</v>
      </c>
      <c r="Q413">
        <v>8</v>
      </c>
      <c r="S413" s="9">
        <v>18.399999999999999</v>
      </c>
      <c r="T413" s="9">
        <v>20.3</v>
      </c>
      <c r="U413" s="9"/>
      <c r="V413" s="8" t="s">
        <v>174</v>
      </c>
    </row>
    <row r="414" spans="2:22" hidden="1">
      <c r="B414" t="s">
        <v>165</v>
      </c>
      <c r="C414" t="s">
        <v>166</v>
      </c>
      <c r="E414">
        <v>1998</v>
      </c>
      <c r="F414" s="12" t="s">
        <v>670</v>
      </c>
      <c r="H414" t="s">
        <v>167</v>
      </c>
      <c r="I414" t="s">
        <v>179</v>
      </c>
      <c r="J414" t="s">
        <v>180</v>
      </c>
      <c r="L414" s="5" t="s">
        <v>169</v>
      </c>
      <c r="M414" t="s">
        <v>181</v>
      </c>
      <c r="N414" t="s">
        <v>182</v>
      </c>
      <c r="O414" t="s">
        <v>129</v>
      </c>
      <c r="Q414">
        <v>8</v>
      </c>
      <c r="S414" s="9">
        <v>48.6</v>
      </c>
      <c r="T414" s="9">
        <v>33.700000000000003</v>
      </c>
      <c r="U414" s="9"/>
      <c r="V414" s="8" t="s">
        <v>174</v>
      </c>
    </row>
    <row r="415" spans="2:22" hidden="1">
      <c r="B415" t="s">
        <v>165</v>
      </c>
      <c r="C415" t="s">
        <v>166</v>
      </c>
      <c r="E415">
        <v>1998</v>
      </c>
      <c r="F415" s="12" t="s">
        <v>670</v>
      </c>
      <c r="H415" t="s">
        <v>167</v>
      </c>
      <c r="I415" t="s">
        <v>179</v>
      </c>
      <c r="J415" t="s">
        <v>180</v>
      </c>
      <c r="L415" s="5" t="s">
        <v>169</v>
      </c>
      <c r="M415" t="s">
        <v>181</v>
      </c>
      <c r="N415" t="s">
        <v>182</v>
      </c>
      <c r="O415" t="s">
        <v>64</v>
      </c>
      <c r="Q415">
        <v>8</v>
      </c>
      <c r="S415" s="9">
        <v>33</v>
      </c>
      <c r="T415" s="9">
        <v>33</v>
      </c>
      <c r="U415" s="9"/>
      <c r="V415" s="8" t="s">
        <v>174</v>
      </c>
    </row>
    <row r="416" spans="2:22" hidden="1">
      <c r="B416" t="s">
        <v>165</v>
      </c>
      <c r="C416" t="s">
        <v>166</v>
      </c>
      <c r="D416" t="s">
        <v>751</v>
      </c>
      <c r="E416">
        <v>1998</v>
      </c>
      <c r="F416" s="12" t="s">
        <v>670</v>
      </c>
      <c r="G416" s="12" t="s">
        <v>732</v>
      </c>
      <c r="H416" t="s">
        <v>167</v>
      </c>
      <c r="I416" t="s">
        <v>183</v>
      </c>
      <c r="L416" s="5" t="s">
        <v>169</v>
      </c>
      <c r="M416" t="s">
        <v>184</v>
      </c>
      <c r="N416" t="s">
        <v>185</v>
      </c>
      <c r="O416" t="s">
        <v>172</v>
      </c>
      <c r="P416" t="s">
        <v>27</v>
      </c>
      <c r="Q416">
        <v>13</v>
      </c>
      <c r="S416" s="9">
        <v>37</v>
      </c>
      <c r="T416" s="9" t="s">
        <v>173</v>
      </c>
      <c r="U416" s="9"/>
      <c r="V416" s="8" t="s">
        <v>174</v>
      </c>
    </row>
    <row r="417" spans="2:22" hidden="1">
      <c r="B417" t="s">
        <v>165</v>
      </c>
      <c r="C417" t="s">
        <v>166</v>
      </c>
      <c r="E417">
        <v>1998</v>
      </c>
      <c r="F417" s="12" t="s">
        <v>670</v>
      </c>
      <c r="H417" t="s">
        <v>167</v>
      </c>
      <c r="I417" t="s">
        <v>183</v>
      </c>
      <c r="L417" s="5" t="s">
        <v>169</v>
      </c>
      <c r="M417" t="s">
        <v>184</v>
      </c>
      <c r="N417" t="s">
        <v>185</v>
      </c>
      <c r="O417" t="s">
        <v>175</v>
      </c>
      <c r="Q417">
        <v>13</v>
      </c>
      <c r="S417" s="9">
        <v>59.1</v>
      </c>
      <c r="T417" s="9">
        <v>34.5</v>
      </c>
      <c r="U417" s="9"/>
      <c r="V417" s="8" t="s">
        <v>174</v>
      </c>
    </row>
    <row r="418" spans="2:22" hidden="1">
      <c r="B418" t="s">
        <v>165</v>
      </c>
      <c r="C418" t="s">
        <v>166</v>
      </c>
      <c r="E418">
        <v>1998</v>
      </c>
      <c r="F418" s="12" t="s">
        <v>670</v>
      </c>
      <c r="H418" t="s">
        <v>167</v>
      </c>
      <c r="I418" t="s">
        <v>183</v>
      </c>
      <c r="L418" s="5" t="s">
        <v>169</v>
      </c>
      <c r="M418" t="s">
        <v>184</v>
      </c>
      <c r="N418" t="s">
        <v>185</v>
      </c>
      <c r="O418" t="s">
        <v>129</v>
      </c>
      <c r="Q418">
        <v>13</v>
      </c>
      <c r="S418" s="9">
        <v>30.4</v>
      </c>
      <c r="T418" s="9">
        <v>27.8</v>
      </c>
      <c r="U418" s="9"/>
      <c r="V418" s="8" t="s">
        <v>174</v>
      </c>
    </row>
    <row r="419" spans="2:22" hidden="1">
      <c r="B419" t="s">
        <v>165</v>
      </c>
      <c r="C419" t="s">
        <v>166</v>
      </c>
      <c r="E419">
        <v>1998</v>
      </c>
      <c r="F419" s="12" t="s">
        <v>670</v>
      </c>
      <c r="H419" t="s">
        <v>167</v>
      </c>
      <c r="I419" t="s">
        <v>183</v>
      </c>
      <c r="L419" s="5" t="s">
        <v>169</v>
      </c>
      <c r="M419" t="s">
        <v>184</v>
      </c>
      <c r="N419" t="s">
        <v>185</v>
      </c>
      <c r="O419" t="s">
        <v>64</v>
      </c>
      <c r="Q419">
        <v>13</v>
      </c>
      <c r="S419" s="9">
        <v>10.5</v>
      </c>
      <c r="T419" s="9">
        <v>16.100000000000001</v>
      </c>
      <c r="U419" s="9"/>
      <c r="V419" s="8" t="s">
        <v>174</v>
      </c>
    </row>
    <row r="420" spans="2:22" hidden="1">
      <c r="B420" t="s">
        <v>186</v>
      </c>
      <c r="C420" t="s">
        <v>166</v>
      </c>
      <c r="D420" t="s">
        <v>750</v>
      </c>
      <c r="E420">
        <v>1997</v>
      </c>
      <c r="F420" s="12" t="s">
        <v>622</v>
      </c>
      <c r="G420" s="12" t="s">
        <v>732</v>
      </c>
      <c r="H420" t="s">
        <v>187</v>
      </c>
      <c r="I420" t="s">
        <v>401</v>
      </c>
      <c r="K420" t="s">
        <v>188</v>
      </c>
      <c r="L420"/>
      <c r="O420" t="s">
        <v>26</v>
      </c>
      <c r="P420" t="s">
        <v>27</v>
      </c>
      <c r="S420" s="9">
        <v>33</v>
      </c>
      <c r="T420" s="9" t="s">
        <v>173</v>
      </c>
      <c r="U420" s="9"/>
      <c r="V420" s="8" t="s">
        <v>189</v>
      </c>
    </row>
    <row r="421" spans="2:22" hidden="1">
      <c r="B421" t="s">
        <v>186</v>
      </c>
      <c r="C421" t="s">
        <v>166</v>
      </c>
      <c r="E421">
        <v>1997</v>
      </c>
      <c r="F421" s="12" t="s">
        <v>622</v>
      </c>
      <c r="H421" t="s">
        <v>187</v>
      </c>
      <c r="I421" t="s">
        <v>401</v>
      </c>
      <c r="K421" t="s">
        <v>188</v>
      </c>
      <c r="L421"/>
      <c r="O421" t="s">
        <v>29</v>
      </c>
      <c r="P421" t="s">
        <v>30</v>
      </c>
      <c r="S421" s="9">
        <v>23</v>
      </c>
      <c r="T421" s="9" t="s">
        <v>173</v>
      </c>
      <c r="U421" s="9"/>
      <c r="V421" s="8" t="s">
        <v>189</v>
      </c>
    </row>
    <row r="422" spans="2:22" hidden="1">
      <c r="B422" t="s">
        <v>186</v>
      </c>
      <c r="C422" t="s">
        <v>166</v>
      </c>
      <c r="E422">
        <v>1997</v>
      </c>
      <c r="F422" s="12" t="s">
        <v>622</v>
      </c>
      <c r="H422" t="s">
        <v>187</v>
      </c>
      <c r="I422" t="s">
        <v>401</v>
      </c>
      <c r="K422" t="s">
        <v>188</v>
      </c>
      <c r="L422"/>
      <c r="O422" t="s">
        <v>190</v>
      </c>
      <c r="S422" s="9">
        <v>8</v>
      </c>
      <c r="T422" s="9" t="s">
        <v>173</v>
      </c>
      <c r="U422" s="9"/>
      <c r="V422" s="8" t="s">
        <v>189</v>
      </c>
    </row>
    <row r="423" spans="2:22" hidden="1">
      <c r="B423" t="s">
        <v>186</v>
      </c>
      <c r="C423" t="s">
        <v>166</v>
      </c>
      <c r="D423" t="s">
        <v>751</v>
      </c>
      <c r="E423">
        <v>1998</v>
      </c>
      <c r="F423" s="12" t="s">
        <v>670</v>
      </c>
      <c r="G423" s="12" t="s">
        <v>732</v>
      </c>
      <c r="H423" t="s">
        <v>167</v>
      </c>
      <c r="I423" t="s">
        <v>396</v>
      </c>
      <c r="L423"/>
      <c r="O423" t="s">
        <v>26</v>
      </c>
      <c r="P423" t="s">
        <v>27</v>
      </c>
      <c r="S423" s="9">
        <v>48</v>
      </c>
      <c r="T423" s="9"/>
      <c r="U423" s="9"/>
      <c r="V423" s="8" t="s">
        <v>189</v>
      </c>
    </row>
    <row r="424" spans="2:22" hidden="1">
      <c r="B424" t="s">
        <v>186</v>
      </c>
      <c r="C424" t="s">
        <v>166</v>
      </c>
      <c r="E424">
        <v>1998</v>
      </c>
      <c r="F424" s="12" t="s">
        <v>670</v>
      </c>
      <c r="H424" t="s">
        <v>167</v>
      </c>
      <c r="I424" t="s">
        <v>396</v>
      </c>
      <c r="L424"/>
      <c r="O424" t="s">
        <v>29</v>
      </c>
      <c r="P424" t="s">
        <v>30</v>
      </c>
      <c r="S424" s="9">
        <v>3</v>
      </c>
      <c r="T424" s="9"/>
      <c r="U424" s="9"/>
      <c r="V424" s="8" t="s">
        <v>189</v>
      </c>
    </row>
    <row r="425" spans="2:22" hidden="1">
      <c r="B425" t="s">
        <v>186</v>
      </c>
      <c r="C425" t="s">
        <v>166</v>
      </c>
      <c r="E425">
        <v>1998</v>
      </c>
      <c r="F425" s="12" t="s">
        <v>670</v>
      </c>
      <c r="H425" t="s">
        <v>167</v>
      </c>
      <c r="I425" t="s">
        <v>396</v>
      </c>
      <c r="L425"/>
      <c r="O425" t="s">
        <v>190</v>
      </c>
      <c r="S425" s="9">
        <v>9</v>
      </c>
      <c r="T425" s="9"/>
      <c r="U425" s="9"/>
      <c r="V425" s="8" t="s">
        <v>189</v>
      </c>
    </row>
    <row r="426" spans="2:22" hidden="1">
      <c r="B426" t="s">
        <v>186</v>
      </c>
      <c r="C426" t="s">
        <v>166</v>
      </c>
      <c r="D426" t="s">
        <v>751</v>
      </c>
      <c r="E426">
        <v>1998</v>
      </c>
      <c r="F426" s="12" t="s">
        <v>670</v>
      </c>
      <c r="G426" s="12" t="s">
        <v>732</v>
      </c>
      <c r="H426" t="s">
        <v>167</v>
      </c>
      <c r="I426" t="s">
        <v>191</v>
      </c>
      <c r="L426"/>
      <c r="O426" t="s">
        <v>26</v>
      </c>
      <c r="P426" t="s">
        <v>27</v>
      </c>
      <c r="S426" s="9">
        <v>64</v>
      </c>
      <c r="T426" s="9"/>
      <c r="U426" s="9"/>
      <c r="V426" s="8" t="s">
        <v>189</v>
      </c>
    </row>
    <row r="427" spans="2:22" hidden="1">
      <c r="B427" t="s">
        <v>186</v>
      </c>
      <c r="C427" t="s">
        <v>166</v>
      </c>
      <c r="E427">
        <v>1998</v>
      </c>
      <c r="F427" s="12" t="s">
        <v>670</v>
      </c>
      <c r="H427" t="s">
        <v>167</v>
      </c>
      <c r="I427" t="s">
        <v>191</v>
      </c>
      <c r="L427"/>
      <c r="O427" t="s">
        <v>29</v>
      </c>
      <c r="P427" t="s">
        <v>30</v>
      </c>
      <c r="S427" s="9">
        <v>0</v>
      </c>
      <c r="T427" s="9"/>
      <c r="U427" s="9"/>
      <c r="V427" s="8" t="s">
        <v>189</v>
      </c>
    </row>
    <row r="428" spans="2:22" hidden="1">
      <c r="B428" t="s">
        <v>186</v>
      </c>
      <c r="C428" t="s">
        <v>166</v>
      </c>
      <c r="E428">
        <v>1998</v>
      </c>
      <c r="F428" s="12" t="s">
        <v>670</v>
      </c>
      <c r="H428" t="s">
        <v>167</v>
      </c>
      <c r="I428" t="s">
        <v>191</v>
      </c>
      <c r="L428"/>
      <c r="O428" t="s">
        <v>190</v>
      </c>
      <c r="S428" s="9">
        <v>3</v>
      </c>
      <c r="T428" s="9"/>
      <c r="U428" s="9"/>
      <c r="V428" s="8" t="s">
        <v>189</v>
      </c>
    </row>
    <row r="429" spans="2:22" hidden="1">
      <c r="B429" t="s">
        <v>186</v>
      </c>
      <c r="C429" t="s">
        <v>166</v>
      </c>
      <c r="D429" t="s">
        <v>751</v>
      </c>
      <c r="E429">
        <v>1998</v>
      </c>
      <c r="F429" s="12" t="s">
        <v>670</v>
      </c>
      <c r="G429" s="12" t="s">
        <v>732</v>
      </c>
      <c r="H429" t="s">
        <v>167</v>
      </c>
      <c r="I429" t="s">
        <v>192</v>
      </c>
      <c r="L429"/>
      <c r="O429" t="s">
        <v>26</v>
      </c>
      <c r="P429" t="s">
        <v>27</v>
      </c>
      <c r="S429" s="9">
        <v>29</v>
      </c>
      <c r="T429" s="9"/>
      <c r="U429" s="9"/>
      <c r="V429" s="8" t="s">
        <v>189</v>
      </c>
    </row>
    <row r="430" spans="2:22" hidden="1">
      <c r="B430" t="s">
        <v>186</v>
      </c>
      <c r="C430" t="s">
        <v>166</v>
      </c>
      <c r="E430">
        <v>1998</v>
      </c>
      <c r="F430" s="12" t="s">
        <v>670</v>
      </c>
      <c r="H430" t="s">
        <v>167</v>
      </c>
      <c r="I430" t="s">
        <v>192</v>
      </c>
      <c r="L430"/>
      <c r="O430" t="s">
        <v>29</v>
      </c>
      <c r="P430" t="s">
        <v>30</v>
      </c>
      <c r="S430" s="9">
        <v>0</v>
      </c>
      <c r="T430" s="9"/>
      <c r="U430" s="9"/>
      <c r="V430" s="8" t="s">
        <v>189</v>
      </c>
    </row>
    <row r="431" spans="2:22" hidden="1">
      <c r="B431" t="s">
        <v>186</v>
      </c>
      <c r="C431" t="s">
        <v>166</v>
      </c>
      <c r="E431">
        <v>1998</v>
      </c>
      <c r="F431" s="12" t="s">
        <v>670</v>
      </c>
      <c r="H431" t="s">
        <v>167</v>
      </c>
      <c r="I431" t="s">
        <v>192</v>
      </c>
      <c r="L431"/>
      <c r="O431" t="s">
        <v>190</v>
      </c>
      <c r="S431" s="9">
        <v>13</v>
      </c>
      <c r="T431" s="9"/>
      <c r="U431" s="9"/>
      <c r="V431" s="8" t="s">
        <v>189</v>
      </c>
    </row>
    <row r="432" spans="2:22" hidden="1">
      <c r="B432" t="s">
        <v>186</v>
      </c>
      <c r="C432" t="s">
        <v>166</v>
      </c>
      <c r="E432">
        <v>1998</v>
      </c>
      <c r="F432" s="12" t="s">
        <v>670</v>
      </c>
      <c r="G432" s="12" t="s">
        <v>731</v>
      </c>
      <c r="H432" t="s">
        <v>187</v>
      </c>
      <c r="I432" t="s">
        <v>401</v>
      </c>
      <c r="L432"/>
      <c r="O432" t="s">
        <v>26</v>
      </c>
      <c r="P432" t="s">
        <v>27</v>
      </c>
      <c r="S432" s="9">
        <v>7</v>
      </c>
      <c r="T432" s="9"/>
      <c r="U432" s="9"/>
      <c r="V432" s="8" t="s">
        <v>189</v>
      </c>
    </row>
    <row r="433" spans="2:22" hidden="1">
      <c r="B433" t="s">
        <v>186</v>
      </c>
      <c r="C433" t="s">
        <v>166</v>
      </c>
      <c r="E433">
        <v>1998</v>
      </c>
      <c r="F433" s="12" t="s">
        <v>670</v>
      </c>
      <c r="H433" t="s">
        <v>187</v>
      </c>
      <c r="I433" t="s">
        <v>401</v>
      </c>
      <c r="L433"/>
      <c r="O433" t="s">
        <v>29</v>
      </c>
      <c r="P433" t="s">
        <v>30</v>
      </c>
      <c r="S433" s="9">
        <v>0</v>
      </c>
      <c r="T433" s="9"/>
      <c r="U433" s="9"/>
      <c r="V433" s="8" t="s">
        <v>189</v>
      </c>
    </row>
    <row r="434" spans="2:22" hidden="1">
      <c r="B434" t="s">
        <v>186</v>
      </c>
      <c r="C434" t="s">
        <v>166</v>
      </c>
      <c r="E434">
        <v>1998</v>
      </c>
      <c r="F434" s="12" t="s">
        <v>670</v>
      </c>
      <c r="H434" t="s">
        <v>187</v>
      </c>
      <c r="I434" t="s">
        <v>401</v>
      </c>
      <c r="L434"/>
      <c r="O434" t="s">
        <v>190</v>
      </c>
      <c r="S434" s="9">
        <v>11</v>
      </c>
      <c r="T434" s="9"/>
      <c r="U434" s="9"/>
      <c r="V434" s="8" t="s">
        <v>189</v>
      </c>
    </row>
    <row r="435" spans="2:22" hidden="1">
      <c r="B435" t="s">
        <v>186</v>
      </c>
      <c r="C435" t="s">
        <v>166</v>
      </c>
      <c r="E435">
        <v>1998</v>
      </c>
      <c r="F435" s="12" t="s">
        <v>670</v>
      </c>
      <c r="G435" s="12" t="s">
        <v>731</v>
      </c>
      <c r="H435" t="s">
        <v>167</v>
      </c>
      <c r="I435" t="s">
        <v>396</v>
      </c>
      <c r="L435"/>
      <c r="O435" t="s">
        <v>26</v>
      </c>
      <c r="P435" t="s">
        <v>27</v>
      </c>
      <c r="S435" s="9">
        <v>7</v>
      </c>
      <c r="T435" s="9"/>
      <c r="U435" s="9"/>
      <c r="V435" s="8" t="s">
        <v>189</v>
      </c>
    </row>
    <row r="436" spans="2:22" hidden="1">
      <c r="B436" t="s">
        <v>186</v>
      </c>
      <c r="C436" t="s">
        <v>166</v>
      </c>
      <c r="E436">
        <v>1999</v>
      </c>
      <c r="F436" s="12" t="s">
        <v>620</v>
      </c>
      <c r="H436" t="s">
        <v>167</v>
      </c>
      <c r="I436" t="s">
        <v>396</v>
      </c>
      <c r="L436"/>
      <c r="O436" t="s">
        <v>29</v>
      </c>
      <c r="P436" t="s">
        <v>30</v>
      </c>
      <c r="S436" s="9">
        <v>0</v>
      </c>
      <c r="T436" s="9"/>
      <c r="U436" s="9"/>
      <c r="V436" s="8" t="s">
        <v>189</v>
      </c>
    </row>
    <row r="437" spans="2:22" hidden="1">
      <c r="B437" t="s">
        <v>186</v>
      </c>
      <c r="C437" t="s">
        <v>166</v>
      </c>
      <c r="E437">
        <v>1999</v>
      </c>
      <c r="F437" s="12" t="s">
        <v>620</v>
      </c>
      <c r="H437" t="s">
        <v>167</v>
      </c>
      <c r="I437" t="s">
        <v>396</v>
      </c>
      <c r="L437"/>
      <c r="O437" t="s">
        <v>190</v>
      </c>
      <c r="S437" s="9">
        <v>7</v>
      </c>
      <c r="T437" s="9"/>
      <c r="U437" s="9"/>
      <c r="V437" s="8" t="s">
        <v>189</v>
      </c>
    </row>
    <row r="438" spans="2:22" hidden="1">
      <c r="B438" t="s">
        <v>186</v>
      </c>
      <c r="C438" t="s">
        <v>166</v>
      </c>
      <c r="E438">
        <v>1999</v>
      </c>
      <c r="F438" s="12" t="s">
        <v>620</v>
      </c>
      <c r="H438" t="s">
        <v>167</v>
      </c>
      <c r="I438" t="s">
        <v>191</v>
      </c>
      <c r="L438"/>
      <c r="O438" t="s">
        <v>26</v>
      </c>
      <c r="P438" t="s">
        <v>27</v>
      </c>
      <c r="S438" s="9">
        <v>3</v>
      </c>
      <c r="T438" s="9"/>
      <c r="U438" s="9"/>
      <c r="V438" s="8" t="s">
        <v>189</v>
      </c>
    </row>
    <row r="439" spans="2:22" hidden="1">
      <c r="B439" t="s">
        <v>186</v>
      </c>
      <c r="C439" t="s">
        <v>166</v>
      </c>
      <c r="E439">
        <v>1999</v>
      </c>
      <c r="F439" s="12" t="s">
        <v>620</v>
      </c>
      <c r="H439" t="s">
        <v>167</v>
      </c>
      <c r="I439" t="s">
        <v>191</v>
      </c>
      <c r="L439"/>
      <c r="O439" t="s">
        <v>29</v>
      </c>
      <c r="P439" t="s">
        <v>30</v>
      </c>
      <c r="S439" s="9">
        <v>0</v>
      </c>
      <c r="T439" s="9"/>
      <c r="U439" s="9"/>
      <c r="V439" s="8" t="s">
        <v>189</v>
      </c>
    </row>
    <row r="440" spans="2:22" hidden="1">
      <c r="B440" t="s">
        <v>186</v>
      </c>
      <c r="C440" t="s">
        <v>166</v>
      </c>
      <c r="E440">
        <v>1999</v>
      </c>
      <c r="F440" s="12" t="s">
        <v>620</v>
      </c>
      <c r="H440" t="s">
        <v>167</v>
      </c>
      <c r="I440" t="s">
        <v>191</v>
      </c>
      <c r="L440"/>
      <c r="O440" t="s">
        <v>190</v>
      </c>
      <c r="S440" s="9">
        <v>14</v>
      </c>
      <c r="T440" s="9"/>
      <c r="U440" s="9"/>
      <c r="V440" s="8" t="s">
        <v>189</v>
      </c>
    </row>
    <row r="441" spans="2:22" hidden="1">
      <c r="B441" t="s">
        <v>186</v>
      </c>
      <c r="C441" t="s">
        <v>166</v>
      </c>
      <c r="E441">
        <v>1999</v>
      </c>
      <c r="F441" s="12" t="s">
        <v>620</v>
      </c>
      <c r="H441" t="s">
        <v>167</v>
      </c>
      <c r="I441" t="s">
        <v>192</v>
      </c>
      <c r="L441"/>
      <c r="O441" t="s">
        <v>26</v>
      </c>
      <c r="P441" t="s">
        <v>27</v>
      </c>
      <c r="S441" s="9">
        <v>10</v>
      </c>
      <c r="T441" s="9"/>
      <c r="U441" s="9"/>
      <c r="V441" s="8" t="s">
        <v>189</v>
      </c>
    </row>
    <row r="442" spans="2:22" hidden="1">
      <c r="B442" t="s">
        <v>186</v>
      </c>
      <c r="C442" t="s">
        <v>166</v>
      </c>
      <c r="E442">
        <v>1999</v>
      </c>
      <c r="F442" s="12" t="s">
        <v>620</v>
      </c>
      <c r="H442" t="s">
        <v>167</v>
      </c>
      <c r="I442" t="s">
        <v>192</v>
      </c>
      <c r="L442"/>
      <c r="O442" t="s">
        <v>29</v>
      </c>
      <c r="P442" t="s">
        <v>30</v>
      </c>
      <c r="S442" s="9">
        <v>0</v>
      </c>
      <c r="T442" s="9"/>
      <c r="U442" s="9"/>
      <c r="V442" s="8" t="s">
        <v>189</v>
      </c>
    </row>
    <row r="443" spans="2:22" hidden="1">
      <c r="B443" t="s">
        <v>186</v>
      </c>
      <c r="C443" t="s">
        <v>166</v>
      </c>
      <c r="E443">
        <v>1999</v>
      </c>
      <c r="F443" s="12" t="s">
        <v>620</v>
      </c>
      <c r="H443" t="s">
        <v>167</v>
      </c>
      <c r="I443" t="s">
        <v>192</v>
      </c>
      <c r="L443"/>
      <c r="O443" t="s">
        <v>190</v>
      </c>
      <c r="S443" s="9">
        <v>20</v>
      </c>
      <c r="T443" s="9"/>
      <c r="U443" s="9"/>
      <c r="V443" s="8" t="s">
        <v>189</v>
      </c>
    </row>
    <row r="444" spans="2:22" hidden="1">
      <c r="B444" t="s">
        <v>186</v>
      </c>
      <c r="C444" t="s">
        <v>166</v>
      </c>
      <c r="E444">
        <v>1999</v>
      </c>
      <c r="F444" s="12" t="s">
        <v>620</v>
      </c>
      <c r="H444" t="s">
        <v>187</v>
      </c>
      <c r="I444" t="s">
        <v>401</v>
      </c>
      <c r="L444"/>
      <c r="O444" t="s">
        <v>26</v>
      </c>
      <c r="P444" t="s">
        <v>27</v>
      </c>
      <c r="S444" s="9">
        <v>0</v>
      </c>
      <c r="T444" s="9"/>
      <c r="U444" s="9"/>
      <c r="V444" s="8" t="s">
        <v>189</v>
      </c>
    </row>
    <row r="445" spans="2:22" hidden="1">
      <c r="B445" t="s">
        <v>186</v>
      </c>
      <c r="C445" t="s">
        <v>166</v>
      </c>
      <c r="E445">
        <v>1999</v>
      </c>
      <c r="F445" s="12" t="s">
        <v>620</v>
      </c>
      <c r="H445" t="s">
        <v>187</v>
      </c>
      <c r="I445" t="s">
        <v>401</v>
      </c>
      <c r="L445"/>
      <c r="O445" t="s">
        <v>29</v>
      </c>
      <c r="P445" t="s">
        <v>30</v>
      </c>
      <c r="S445" s="9">
        <v>0</v>
      </c>
      <c r="T445" s="9"/>
      <c r="U445" s="9"/>
      <c r="V445" s="8" t="s">
        <v>189</v>
      </c>
    </row>
    <row r="446" spans="2:22" hidden="1">
      <c r="B446" t="s">
        <v>186</v>
      </c>
      <c r="C446" t="s">
        <v>166</v>
      </c>
      <c r="E446">
        <v>1999</v>
      </c>
      <c r="F446" s="12" t="s">
        <v>620</v>
      </c>
      <c r="H446" t="s">
        <v>187</v>
      </c>
      <c r="I446" t="s">
        <v>401</v>
      </c>
      <c r="L446"/>
      <c r="O446" t="s">
        <v>190</v>
      </c>
      <c r="S446" s="9">
        <v>7</v>
      </c>
      <c r="T446" s="9"/>
      <c r="U446" s="9"/>
      <c r="V446" s="8" t="s">
        <v>189</v>
      </c>
    </row>
    <row r="447" spans="2:22" hidden="1">
      <c r="B447" t="s">
        <v>193</v>
      </c>
      <c r="C447" t="s">
        <v>166</v>
      </c>
      <c r="E447">
        <v>1999</v>
      </c>
      <c r="F447" s="12" t="s">
        <v>620</v>
      </c>
      <c r="H447" t="s">
        <v>228</v>
      </c>
      <c r="I447" t="s">
        <v>229</v>
      </c>
      <c r="K447" t="s">
        <v>198</v>
      </c>
      <c r="L447"/>
      <c r="O447" t="s">
        <v>26</v>
      </c>
      <c r="P447" t="s">
        <v>27</v>
      </c>
      <c r="S447" s="9">
        <v>3.5</v>
      </c>
      <c r="T447" s="9"/>
      <c r="U447" s="9"/>
      <c r="V447" s="8" t="s">
        <v>197</v>
      </c>
    </row>
    <row r="448" spans="2:22" hidden="1">
      <c r="B448" t="s">
        <v>193</v>
      </c>
      <c r="C448" t="s">
        <v>166</v>
      </c>
      <c r="E448">
        <v>1999</v>
      </c>
      <c r="F448" s="12" t="s">
        <v>620</v>
      </c>
      <c r="H448" t="s">
        <v>228</v>
      </c>
      <c r="I448" t="s">
        <v>229</v>
      </c>
      <c r="K448" t="s">
        <v>198</v>
      </c>
      <c r="L448"/>
      <c r="O448" t="s">
        <v>130</v>
      </c>
      <c r="P448" t="s">
        <v>31</v>
      </c>
      <c r="S448" s="9">
        <v>0</v>
      </c>
      <c r="T448" s="9"/>
      <c r="U448" s="9"/>
      <c r="V448" s="8" t="s">
        <v>197</v>
      </c>
    </row>
    <row r="449" spans="2:22" hidden="1">
      <c r="B449" t="s">
        <v>193</v>
      </c>
      <c r="C449" t="s">
        <v>166</v>
      </c>
      <c r="E449">
        <v>2000</v>
      </c>
      <c r="F449" s="12" t="s">
        <v>620</v>
      </c>
      <c r="H449" t="s">
        <v>228</v>
      </c>
      <c r="I449" t="s">
        <v>229</v>
      </c>
      <c r="K449" t="s">
        <v>198</v>
      </c>
      <c r="L449"/>
      <c r="O449" t="s">
        <v>26</v>
      </c>
      <c r="P449" t="s">
        <v>27</v>
      </c>
      <c r="S449" s="9">
        <v>5.0999999999999996</v>
      </c>
      <c r="T449" s="9"/>
      <c r="U449" s="9"/>
      <c r="V449" s="8" t="s">
        <v>197</v>
      </c>
    </row>
    <row r="450" spans="2:22" hidden="1">
      <c r="B450" t="s">
        <v>193</v>
      </c>
      <c r="C450" t="s">
        <v>166</v>
      </c>
      <c r="E450">
        <v>2000</v>
      </c>
      <c r="F450" s="12" t="s">
        <v>620</v>
      </c>
      <c r="H450" t="s">
        <v>228</v>
      </c>
      <c r="I450" t="s">
        <v>229</v>
      </c>
      <c r="K450" t="s">
        <v>198</v>
      </c>
      <c r="L450"/>
      <c r="O450" t="s">
        <v>130</v>
      </c>
      <c r="P450" t="s">
        <v>31</v>
      </c>
      <c r="S450" s="9">
        <v>2.6</v>
      </c>
      <c r="T450" s="9"/>
      <c r="U450" s="9"/>
      <c r="V450" s="8" t="s">
        <v>197</v>
      </c>
    </row>
    <row r="451" spans="2:22" hidden="1">
      <c r="B451" t="s">
        <v>193</v>
      </c>
      <c r="C451" t="s">
        <v>166</v>
      </c>
      <c r="E451">
        <v>2000</v>
      </c>
      <c r="F451" s="12" t="s">
        <v>620</v>
      </c>
      <c r="H451" t="s">
        <v>230</v>
      </c>
      <c r="I451" t="s">
        <v>231</v>
      </c>
      <c r="K451" t="s">
        <v>196</v>
      </c>
      <c r="L451"/>
      <c r="O451" t="s">
        <v>26</v>
      </c>
      <c r="P451" t="s">
        <v>27</v>
      </c>
      <c r="S451" s="9">
        <v>9</v>
      </c>
      <c r="T451" s="9"/>
      <c r="U451" s="9"/>
      <c r="V451" s="8" t="s">
        <v>197</v>
      </c>
    </row>
    <row r="452" spans="2:22" hidden="1">
      <c r="B452" t="s">
        <v>193</v>
      </c>
      <c r="C452" t="s">
        <v>166</v>
      </c>
      <c r="E452">
        <v>2000</v>
      </c>
      <c r="F452" s="12" t="s">
        <v>620</v>
      </c>
      <c r="H452" t="s">
        <v>230</v>
      </c>
      <c r="I452" t="s">
        <v>231</v>
      </c>
      <c r="K452" t="s">
        <v>196</v>
      </c>
      <c r="L452"/>
      <c r="O452" t="s">
        <v>130</v>
      </c>
      <c r="P452" t="s">
        <v>31</v>
      </c>
      <c r="S452" s="9">
        <v>0.5</v>
      </c>
      <c r="T452" s="9"/>
      <c r="U452" s="9"/>
      <c r="V452" s="8" t="s">
        <v>197</v>
      </c>
    </row>
    <row r="453" spans="2:22" hidden="1">
      <c r="B453" t="s">
        <v>193</v>
      </c>
      <c r="C453" t="s">
        <v>166</v>
      </c>
      <c r="E453">
        <v>2000</v>
      </c>
      <c r="F453" s="12" t="s">
        <v>620</v>
      </c>
      <c r="H453" t="s">
        <v>230</v>
      </c>
      <c r="I453" t="s">
        <v>231</v>
      </c>
      <c r="K453" t="s">
        <v>198</v>
      </c>
      <c r="L453"/>
      <c r="O453" t="s">
        <v>26</v>
      </c>
      <c r="P453" t="s">
        <v>27</v>
      </c>
      <c r="S453" s="9">
        <v>31.9</v>
      </c>
      <c r="T453" s="9"/>
      <c r="U453" s="9"/>
      <c r="V453" s="8" t="s">
        <v>197</v>
      </c>
    </row>
    <row r="454" spans="2:22" hidden="1">
      <c r="B454" t="s">
        <v>193</v>
      </c>
      <c r="C454" t="s">
        <v>166</v>
      </c>
      <c r="E454">
        <v>2000</v>
      </c>
      <c r="F454" s="12" t="s">
        <v>620</v>
      </c>
      <c r="H454" t="s">
        <v>230</v>
      </c>
      <c r="I454" t="s">
        <v>231</v>
      </c>
      <c r="K454" t="s">
        <v>198</v>
      </c>
      <c r="L454"/>
      <c r="O454" t="s">
        <v>130</v>
      </c>
      <c r="P454" t="s">
        <v>31</v>
      </c>
      <c r="S454" s="9">
        <v>0.5</v>
      </c>
      <c r="T454" s="9"/>
      <c r="U454" s="9"/>
      <c r="V454" s="8" t="s">
        <v>197</v>
      </c>
    </row>
    <row r="455" spans="2:22" hidden="1">
      <c r="B455" t="s">
        <v>193</v>
      </c>
      <c r="C455" t="s">
        <v>166</v>
      </c>
      <c r="E455">
        <v>2001</v>
      </c>
      <c r="F455" s="12" t="s">
        <v>620</v>
      </c>
      <c r="H455" t="s">
        <v>228</v>
      </c>
      <c r="I455" t="s">
        <v>229</v>
      </c>
      <c r="K455" t="s">
        <v>198</v>
      </c>
      <c r="L455"/>
      <c r="O455" t="s">
        <v>26</v>
      </c>
      <c r="P455" t="s">
        <v>27</v>
      </c>
      <c r="S455" s="9">
        <v>6.7</v>
      </c>
      <c r="T455" s="9"/>
      <c r="U455" s="9"/>
      <c r="V455" s="8" t="s">
        <v>197</v>
      </c>
    </row>
    <row r="456" spans="2:22" hidden="1">
      <c r="B456" t="s">
        <v>193</v>
      </c>
      <c r="C456" t="s">
        <v>166</v>
      </c>
      <c r="E456">
        <v>2001</v>
      </c>
      <c r="F456" s="12" t="s">
        <v>620</v>
      </c>
      <c r="H456" t="s">
        <v>228</v>
      </c>
      <c r="I456" t="s">
        <v>229</v>
      </c>
      <c r="K456" t="s">
        <v>198</v>
      </c>
      <c r="L456"/>
      <c r="O456" t="s">
        <v>130</v>
      </c>
      <c r="P456" t="s">
        <v>31</v>
      </c>
      <c r="S456" s="9">
        <v>0.2</v>
      </c>
      <c r="T456" s="9"/>
      <c r="U456" s="9"/>
      <c r="V456" s="8" t="s">
        <v>197</v>
      </c>
    </row>
    <row r="457" spans="2:22" hidden="1">
      <c r="B457" t="s">
        <v>193</v>
      </c>
      <c r="C457" t="s">
        <v>166</v>
      </c>
      <c r="E457">
        <v>2002</v>
      </c>
      <c r="F457" s="12" t="s">
        <v>620</v>
      </c>
      <c r="H457" t="s">
        <v>228</v>
      </c>
      <c r="I457" t="s">
        <v>229</v>
      </c>
      <c r="K457" t="s">
        <v>198</v>
      </c>
      <c r="L457"/>
      <c r="O457" t="s">
        <v>26</v>
      </c>
      <c r="P457" t="s">
        <v>27</v>
      </c>
      <c r="S457" s="9">
        <v>20.100000000000001</v>
      </c>
      <c r="T457" s="9"/>
      <c r="U457" s="9"/>
      <c r="V457" s="8" t="s">
        <v>197</v>
      </c>
    </row>
    <row r="458" spans="2:22" hidden="1">
      <c r="B458" t="s">
        <v>193</v>
      </c>
      <c r="C458" t="s">
        <v>166</v>
      </c>
      <c r="E458">
        <v>2002</v>
      </c>
      <c r="F458" s="12" t="s">
        <v>620</v>
      </c>
      <c r="H458" t="s">
        <v>228</v>
      </c>
      <c r="I458" t="s">
        <v>229</v>
      </c>
      <c r="K458" t="s">
        <v>198</v>
      </c>
      <c r="L458"/>
      <c r="O458" t="s">
        <v>130</v>
      </c>
      <c r="P458" t="s">
        <v>31</v>
      </c>
      <c r="S458" s="9">
        <v>1.2</v>
      </c>
      <c r="T458" s="9"/>
      <c r="U458" s="9"/>
      <c r="V458" s="8" t="s">
        <v>197</v>
      </c>
    </row>
    <row r="459" spans="2:22" hidden="1">
      <c r="B459" t="s">
        <v>193</v>
      </c>
      <c r="C459" t="s">
        <v>166</v>
      </c>
      <c r="E459">
        <v>2002</v>
      </c>
      <c r="F459" s="12" t="s">
        <v>620</v>
      </c>
      <c r="H459" t="s">
        <v>232</v>
      </c>
      <c r="I459" t="s">
        <v>233</v>
      </c>
      <c r="K459" t="s">
        <v>196</v>
      </c>
      <c r="L459"/>
      <c r="O459" t="s">
        <v>26</v>
      </c>
      <c r="P459" t="s">
        <v>27</v>
      </c>
      <c r="S459" s="9">
        <v>5</v>
      </c>
      <c r="T459" s="9"/>
      <c r="U459" s="9"/>
      <c r="V459" s="8" t="s">
        <v>197</v>
      </c>
    </row>
    <row r="460" spans="2:22" hidden="1">
      <c r="B460" t="s">
        <v>193</v>
      </c>
      <c r="C460" t="s">
        <v>166</v>
      </c>
      <c r="E460">
        <v>2002</v>
      </c>
      <c r="F460" s="12" t="s">
        <v>620</v>
      </c>
      <c r="H460" t="s">
        <v>232</v>
      </c>
      <c r="I460" t="s">
        <v>233</v>
      </c>
      <c r="K460" t="s">
        <v>196</v>
      </c>
      <c r="L460"/>
      <c r="O460" t="s">
        <v>130</v>
      </c>
      <c r="P460" t="s">
        <v>31</v>
      </c>
      <c r="S460" s="9" t="s">
        <v>173</v>
      </c>
      <c r="T460" s="9"/>
      <c r="U460" s="9"/>
      <c r="V460" s="8" t="s">
        <v>197</v>
      </c>
    </row>
    <row r="461" spans="2:22" hidden="1">
      <c r="B461" t="s">
        <v>193</v>
      </c>
      <c r="C461" t="s">
        <v>166</v>
      </c>
      <c r="E461">
        <v>2002</v>
      </c>
      <c r="F461" s="12" t="s">
        <v>620</v>
      </c>
      <c r="H461" t="s">
        <v>232</v>
      </c>
      <c r="I461" t="s">
        <v>233</v>
      </c>
      <c r="K461" t="s">
        <v>198</v>
      </c>
      <c r="L461"/>
      <c r="O461" t="s">
        <v>26</v>
      </c>
      <c r="P461" t="s">
        <v>27</v>
      </c>
      <c r="S461" s="9">
        <v>14.9</v>
      </c>
      <c r="T461" s="9"/>
      <c r="U461" s="9"/>
      <c r="V461" s="8" t="s">
        <v>197</v>
      </c>
    </row>
    <row r="462" spans="2:22" hidden="1">
      <c r="B462" t="s">
        <v>193</v>
      </c>
      <c r="C462" t="s">
        <v>166</v>
      </c>
      <c r="E462">
        <v>2002</v>
      </c>
      <c r="F462" s="12" t="s">
        <v>620</v>
      </c>
      <c r="H462" t="s">
        <v>232</v>
      </c>
      <c r="I462" t="s">
        <v>233</v>
      </c>
      <c r="K462" t="s">
        <v>198</v>
      </c>
      <c r="L462"/>
      <c r="O462" t="s">
        <v>130</v>
      </c>
      <c r="P462" t="s">
        <v>31</v>
      </c>
      <c r="S462" s="9">
        <v>40.299999999999997</v>
      </c>
      <c r="T462" s="9"/>
      <c r="U462" s="9"/>
      <c r="V462" s="8" t="s">
        <v>197</v>
      </c>
    </row>
    <row r="463" spans="2:22" hidden="1">
      <c r="B463" t="s">
        <v>193</v>
      </c>
      <c r="C463" t="s">
        <v>166</v>
      </c>
      <c r="E463">
        <v>2002</v>
      </c>
      <c r="F463" s="12" t="s">
        <v>620</v>
      </c>
      <c r="H463" t="s">
        <v>234</v>
      </c>
      <c r="I463" t="s">
        <v>235</v>
      </c>
      <c r="K463" t="s">
        <v>196</v>
      </c>
      <c r="L463"/>
      <c r="O463" t="s">
        <v>26</v>
      </c>
      <c r="P463" t="s">
        <v>27</v>
      </c>
      <c r="S463" s="9">
        <v>2.5</v>
      </c>
      <c r="T463" s="9"/>
      <c r="U463" s="9"/>
      <c r="V463" s="8" t="s">
        <v>197</v>
      </c>
    </row>
    <row r="464" spans="2:22" hidden="1">
      <c r="B464" t="s">
        <v>193</v>
      </c>
      <c r="C464" t="s">
        <v>166</v>
      </c>
      <c r="E464">
        <v>2002</v>
      </c>
      <c r="F464" s="12" t="s">
        <v>620</v>
      </c>
      <c r="H464" t="s">
        <v>234</v>
      </c>
      <c r="I464" t="s">
        <v>235</v>
      </c>
      <c r="K464" t="s">
        <v>196</v>
      </c>
      <c r="L464"/>
      <c r="O464" t="s">
        <v>130</v>
      </c>
      <c r="P464" t="s">
        <v>31</v>
      </c>
      <c r="S464" s="9">
        <v>9</v>
      </c>
      <c r="T464" s="9"/>
      <c r="U464" s="9"/>
      <c r="V464" s="8" t="s">
        <v>197</v>
      </c>
    </row>
    <row r="465" spans="2:22" hidden="1">
      <c r="B465" t="s">
        <v>193</v>
      </c>
      <c r="C465" t="s">
        <v>166</v>
      </c>
      <c r="E465">
        <v>2002</v>
      </c>
      <c r="F465" s="12" t="s">
        <v>620</v>
      </c>
      <c r="H465" t="s">
        <v>234</v>
      </c>
      <c r="I465" t="s">
        <v>235</v>
      </c>
      <c r="K465" t="s">
        <v>198</v>
      </c>
      <c r="L465"/>
      <c r="O465" t="s">
        <v>26</v>
      </c>
      <c r="P465" t="s">
        <v>27</v>
      </c>
      <c r="S465" s="9">
        <v>25.7</v>
      </c>
      <c r="T465" s="9"/>
      <c r="U465" s="9"/>
      <c r="V465" s="8" t="s">
        <v>197</v>
      </c>
    </row>
    <row r="466" spans="2:22" hidden="1">
      <c r="B466" t="s">
        <v>193</v>
      </c>
      <c r="C466" t="s">
        <v>166</v>
      </c>
      <c r="E466">
        <v>2002</v>
      </c>
      <c r="F466" s="12" t="s">
        <v>620</v>
      </c>
      <c r="H466" t="s">
        <v>234</v>
      </c>
      <c r="I466" t="s">
        <v>235</v>
      </c>
      <c r="K466" t="s">
        <v>198</v>
      </c>
      <c r="L466"/>
      <c r="O466" t="s">
        <v>130</v>
      </c>
      <c r="P466" t="s">
        <v>31</v>
      </c>
      <c r="S466" s="9">
        <v>0.2</v>
      </c>
      <c r="T466" s="9"/>
      <c r="U466" s="9"/>
      <c r="V466" s="8" t="s">
        <v>197</v>
      </c>
    </row>
    <row r="467" spans="2:22" hidden="1">
      <c r="B467" t="s">
        <v>193</v>
      </c>
      <c r="C467" t="s">
        <v>166</v>
      </c>
      <c r="E467">
        <v>2002</v>
      </c>
      <c r="F467" s="12" t="s">
        <v>620</v>
      </c>
      <c r="H467" t="s">
        <v>236</v>
      </c>
      <c r="I467" t="s">
        <v>237</v>
      </c>
      <c r="K467" t="s">
        <v>196</v>
      </c>
      <c r="L467"/>
      <c r="O467" t="s">
        <v>26</v>
      </c>
      <c r="P467" t="s">
        <v>27</v>
      </c>
      <c r="S467" s="9">
        <v>57.2</v>
      </c>
      <c r="T467" s="9"/>
      <c r="U467" s="9"/>
      <c r="V467" s="8" t="s">
        <v>197</v>
      </c>
    </row>
    <row r="468" spans="2:22" hidden="1">
      <c r="B468" t="s">
        <v>193</v>
      </c>
      <c r="C468" t="s">
        <v>166</v>
      </c>
      <c r="E468">
        <v>2002</v>
      </c>
      <c r="F468" s="12" t="s">
        <v>620</v>
      </c>
      <c r="H468" t="s">
        <v>236</v>
      </c>
      <c r="I468" t="s">
        <v>237</v>
      </c>
      <c r="K468" t="s">
        <v>196</v>
      </c>
      <c r="L468"/>
      <c r="O468" t="s">
        <v>130</v>
      </c>
      <c r="P468" t="s">
        <v>31</v>
      </c>
      <c r="S468" s="9">
        <v>0</v>
      </c>
      <c r="T468" s="9"/>
      <c r="U468" s="9"/>
      <c r="V468" s="8" t="s">
        <v>197</v>
      </c>
    </row>
    <row r="469" spans="2:22" hidden="1">
      <c r="B469" t="s">
        <v>274</v>
      </c>
      <c r="C469" t="s">
        <v>166</v>
      </c>
      <c r="E469">
        <v>1999</v>
      </c>
      <c r="F469" s="12" t="s">
        <v>620</v>
      </c>
      <c r="H469" t="s">
        <v>275</v>
      </c>
      <c r="L469">
        <v>10</v>
      </c>
      <c r="O469" t="s">
        <v>26</v>
      </c>
      <c r="P469" t="s">
        <v>27</v>
      </c>
      <c r="S469" s="9">
        <v>11.3</v>
      </c>
      <c r="T469" s="9"/>
      <c r="U469" s="9">
        <v>2.8</v>
      </c>
      <c r="V469" s="8" t="s">
        <v>276</v>
      </c>
    </row>
    <row r="470" spans="2:22" hidden="1">
      <c r="B470" t="s">
        <v>274</v>
      </c>
      <c r="C470" t="s">
        <v>166</v>
      </c>
      <c r="E470">
        <v>1999</v>
      </c>
      <c r="F470" s="12" t="s">
        <v>620</v>
      </c>
      <c r="H470" t="s">
        <v>275</v>
      </c>
      <c r="L470">
        <v>10</v>
      </c>
      <c r="O470" t="s">
        <v>29</v>
      </c>
      <c r="P470" t="s">
        <v>30</v>
      </c>
      <c r="S470" s="9">
        <v>1.8</v>
      </c>
      <c r="T470" s="9"/>
      <c r="U470" s="9">
        <v>0.7</v>
      </c>
      <c r="V470" s="8" t="s">
        <v>276</v>
      </c>
    </row>
    <row r="471" spans="2:22" hidden="1">
      <c r="B471" t="s">
        <v>274</v>
      </c>
      <c r="C471" t="s">
        <v>166</v>
      </c>
      <c r="E471">
        <v>1999</v>
      </c>
      <c r="F471" s="12" t="s">
        <v>620</v>
      </c>
      <c r="H471" t="s">
        <v>275</v>
      </c>
      <c r="L471">
        <v>10</v>
      </c>
      <c r="O471" t="s">
        <v>266</v>
      </c>
      <c r="S471" s="9">
        <v>12.3</v>
      </c>
      <c r="T471" s="9"/>
      <c r="U471" s="9">
        <v>2.8</v>
      </c>
      <c r="V471" s="8" t="s">
        <v>276</v>
      </c>
    </row>
    <row r="472" spans="2:22" hidden="1">
      <c r="B472" t="s">
        <v>274</v>
      </c>
      <c r="C472" t="s">
        <v>166</v>
      </c>
      <c r="E472">
        <v>2001</v>
      </c>
      <c r="F472" s="12" t="s">
        <v>620</v>
      </c>
      <c r="H472" t="s">
        <v>275</v>
      </c>
      <c r="L472">
        <v>10</v>
      </c>
      <c r="O472" t="s">
        <v>26</v>
      </c>
      <c r="P472" t="s">
        <v>27</v>
      </c>
      <c r="S472" s="9">
        <v>11.3</v>
      </c>
      <c r="T472" s="9"/>
      <c r="U472" s="9">
        <v>2.8</v>
      </c>
      <c r="V472" s="8" t="s">
        <v>276</v>
      </c>
    </row>
    <row r="473" spans="2:22" hidden="1">
      <c r="B473" t="s">
        <v>274</v>
      </c>
      <c r="C473" t="s">
        <v>166</v>
      </c>
      <c r="E473">
        <v>2001</v>
      </c>
      <c r="F473" s="12" t="s">
        <v>620</v>
      </c>
      <c r="H473" t="s">
        <v>275</v>
      </c>
      <c r="L473">
        <v>10</v>
      </c>
      <c r="O473" t="s">
        <v>29</v>
      </c>
      <c r="P473" t="s">
        <v>30</v>
      </c>
      <c r="S473" s="9">
        <v>2</v>
      </c>
      <c r="T473" s="9"/>
      <c r="U473" s="9">
        <v>0.9</v>
      </c>
      <c r="V473" s="8" t="s">
        <v>276</v>
      </c>
    </row>
    <row r="474" spans="2:22" hidden="1">
      <c r="B474" t="s">
        <v>274</v>
      </c>
      <c r="C474" t="s">
        <v>166</v>
      </c>
      <c r="E474">
        <v>2001</v>
      </c>
      <c r="F474" s="12" t="s">
        <v>620</v>
      </c>
      <c r="H474" t="s">
        <v>275</v>
      </c>
      <c r="L474">
        <v>10</v>
      </c>
      <c r="O474" t="s">
        <v>266</v>
      </c>
      <c r="S474" s="9">
        <v>19.899999999999999</v>
      </c>
      <c r="T474" s="9"/>
      <c r="U474" s="9">
        <v>4.0999999999999996</v>
      </c>
      <c r="V474" s="8" t="s">
        <v>276</v>
      </c>
    </row>
    <row r="475" spans="2:22" hidden="1">
      <c r="B475" t="s">
        <v>274</v>
      </c>
      <c r="C475" t="s">
        <v>166</v>
      </c>
      <c r="E475">
        <v>2002</v>
      </c>
      <c r="F475" s="12" t="s">
        <v>620</v>
      </c>
      <c r="H475" t="s">
        <v>275</v>
      </c>
      <c r="L475">
        <v>10</v>
      </c>
      <c r="O475" t="s">
        <v>26</v>
      </c>
      <c r="P475" t="s">
        <v>27</v>
      </c>
      <c r="S475" s="9">
        <v>11.2</v>
      </c>
      <c r="T475" s="9"/>
      <c r="U475" s="9">
        <v>2.7</v>
      </c>
      <c r="V475" s="8" t="s">
        <v>276</v>
      </c>
    </row>
    <row r="476" spans="2:22" hidden="1">
      <c r="B476" t="s">
        <v>274</v>
      </c>
      <c r="C476" t="s">
        <v>166</v>
      </c>
      <c r="E476">
        <v>2002</v>
      </c>
      <c r="F476" s="12" t="s">
        <v>620</v>
      </c>
      <c r="H476" t="s">
        <v>275</v>
      </c>
      <c r="L476">
        <v>10</v>
      </c>
      <c r="O476" t="s">
        <v>29</v>
      </c>
      <c r="P476" t="s">
        <v>30</v>
      </c>
      <c r="S476" s="9">
        <v>2.2999999999999998</v>
      </c>
      <c r="T476" s="9"/>
      <c r="U476" s="9">
        <v>0.8</v>
      </c>
      <c r="V476" s="8" t="s">
        <v>276</v>
      </c>
    </row>
    <row r="477" spans="2:22" hidden="1">
      <c r="B477" t="s">
        <v>274</v>
      </c>
      <c r="C477" t="s">
        <v>166</v>
      </c>
      <c r="E477">
        <v>2002</v>
      </c>
      <c r="F477" s="12" t="s">
        <v>620</v>
      </c>
      <c r="H477" t="s">
        <v>275</v>
      </c>
      <c r="L477">
        <v>10</v>
      </c>
      <c r="O477" t="s">
        <v>266</v>
      </c>
      <c r="S477" s="9">
        <v>26.8</v>
      </c>
      <c r="T477" s="9"/>
      <c r="U477" s="9">
        <v>4.5999999999999996</v>
      </c>
      <c r="V477" s="8" t="s">
        <v>276</v>
      </c>
    </row>
    <row r="478" spans="2:22" hidden="1">
      <c r="B478" t="s">
        <v>274</v>
      </c>
      <c r="C478" t="s">
        <v>166</v>
      </c>
      <c r="E478">
        <v>2003</v>
      </c>
      <c r="F478" s="12" t="s">
        <v>620</v>
      </c>
      <c r="H478" t="s">
        <v>275</v>
      </c>
      <c r="L478">
        <v>10</v>
      </c>
      <c r="O478" t="s">
        <v>26</v>
      </c>
      <c r="P478" t="s">
        <v>27</v>
      </c>
      <c r="S478" s="9">
        <v>11.6</v>
      </c>
      <c r="T478" s="9"/>
      <c r="U478" s="9">
        <v>2.8</v>
      </c>
      <c r="V478" s="8" t="s">
        <v>276</v>
      </c>
    </row>
    <row r="479" spans="2:22" hidden="1">
      <c r="B479" t="s">
        <v>274</v>
      </c>
      <c r="C479" t="s">
        <v>166</v>
      </c>
      <c r="E479">
        <v>2003</v>
      </c>
      <c r="F479" s="12" t="s">
        <v>620</v>
      </c>
      <c r="H479" t="s">
        <v>275</v>
      </c>
      <c r="L479">
        <v>10</v>
      </c>
      <c r="O479" t="s">
        <v>29</v>
      </c>
      <c r="P479" t="s">
        <v>30</v>
      </c>
      <c r="S479" s="9">
        <v>2.9</v>
      </c>
      <c r="T479" s="9"/>
      <c r="U479" s="9">
        <v>1.2</v>
      </c>
      <c r="V479" s="8" t="s">
        <v>276</v>
      </c>
    </row>
    <row r="480" spans="2:22" hidden="1">
      <c r="B480" t="s">
        <v>274</v>
      </c>
      <c r="C480" t="s">
        <v>166</v>
      </c>
      <c r="E480">
        <v>2003</v>
      </c>
      <c r="F480" s="12" t="s">
        <v>620</v>
      </c>
      <c r="H480" t="s">
        <v>275</v>
      </c>
      <c r="L480">
        <v>10</v>
      </c>
      <c r="O480" t="s">
        <v>266</v>
      </c>
      <c r="S480" s="9">
        <v>20.2</v>
      </c>
      <c r="T480" s="9"/>
      <c r="U480" s="9">
        <v>4</v>
      </c>
      <c r="V480" s="8" t="s">
        <v>276</v>
      </c>
    </row>
    <row r="481" spans="2:22" hidden="1">
      <c r="B481" t="s">
        <v>274</v>
      </c>
      <c r="C481" t="s">
        <v>166</v>
      </c>
      <c r="E481">
        <v>1999</v>
      </c>
      <c r="F481" s="12" t="s">
        <v>620</v>
      </c>
      <c r="H481" t="s">
        <v>275</v>
      </c>
      <c r="L481">
        <v>20</v>
      </c>
      <c r="O481" t="s">
        <v>26</v>
      </c>
      <c r="P481" t="s">
        <v>27</v>
      </c>
      <c r="S481" s="9">
        <v>20.3</v>
      </c>
      <c r="T481" s="9"/>
      <c r="U481" s="9">
        <v>4.4000000000000004</v>
      </c>
      <c r="V481" s="8" t="s">
        <v>276</v>
      </c>
    </row>
    <row r="482" spans="2:22" hidden="1">
      <c r="B482" t="s">
        <v>274</v>
      </c>
      <c r="C482" t="s">
        <v>166</v>
      </c>
      <c r="E482">
        <v>1999</v>
      </c>
      <c r="F482" s="12" t="s">
        <v>620</v>
      </c>
      <c r="H482" t="s">
        <v>275</v>
      </c>
      <c r="L482">
        <v>20</v>
      </c>
      <c r="O482" t="s">
        <v>29</v>
      </c>
      <c r="P482" t="s">
        <v>30</v>
      </c>
      <c r="S482" s="9">
        <v>1.3</v>
      </c>
      <c r="T482" s="9"/>
      <c r="U482" s="9">
        <v>0.6</v>
      </c>
      <c r="V482" s="8" t="s">
        <v>276</v>
      </c>
    </row>
    <row r="483" spans="2:22" hidden="1">
      <c r="B483" t="s">
        <v>274</v>
      </c>
      <c r="C483" t="s">
        <v>166</v>
      </c>
      <c r="E483">
        <v>1999</v>
      </c>
      <c r="F483" s="12" t="s">
        <v>620</v>
      </c>
      <c r="H483" t="s">
        <v>275</v>
      </c>
      <c r="L483">
        <v>20</v>
      </c>
      <c r="O483" t="s">
        <v>266</v>
      </c>
      <c r="S483" s="9">
        <v>8.1999999999999993</v>
      </c>
      <c r="T483" s="9"/>
      <c r="U483" s="9">
        <v>2.1</v>
      </c>
      <c r="V483" s="8" t="s">
        <v>276</v>
      </c>
    </row>
    <row r="484" spans="2:22" hidden="1">
      <c r="B484" t="s">
        <v>274</v>
      </c>
      <c r="C484" t="s">
        <v>166</v>
      </c>
      <c r="E484">
        <v>2001</v>
      </c>
      <c r="F484" s="12" t="s">
        <v>620</v>
      </c>
      <c r="H484" t="s">
        <v>275</v>
      </c>
      <c r="L484">
        <v>20</v>
      </c>
      <c r="O484" t="s">
        <v>26</v>
      </c>
      <c r="P484" t="s">
        <v>27</v>
      </c>
      <c r="S484" s="9">
        <v>21.1</v>
      </c>
      <c r="T484" s="9"/>
      <c r="U484" s="9">
        <v>4.5999999999999996</v>
      </c>
      <c r="V484" s="8" t="s">
        <v>276</v>
      </c>
    </row>
    <row r="485" spans="2:22" hidden="1">
      <c r="B485" t="s">
        <v>274</v>
      </c>
      <c r="C485" t="s">
        <v>166</v>
      </c>
      <c r="E485">
        <v>2001</v>
      </c>
      <c r="F485" s="12" t="s">
        <v>620</v>
      </c>
      <c r="H485" t="s">
        <v>275</v>
      </c>
      <c r="L485">
        <v>20</v>
      </c>
      <c r="O485" t="s">
        <v>29</v>
      </c>
      <c r="P485" t="s">
        <v>30</v>
      </c>
      <c r="S485" s="9">
        <v>1.8</v>
      </c>
      <c r="T485" s="9"/>
      <c r="U485" s="9">
        <v>0.8</v>
      </c>
      <c r="V485" s="8" t="s">
        <v>276</v>
      </c>
    </row>
    <row r="486" spans="2:22" hidden="1">
      <c r="B486" t="s">
        <v>274</v>
      </c>
      <c r="C486" t="s">
        <v>166</v>
      </c>
      <c r="E486">
        <v>2001</v>
      </c>
      <c r="F486" s="12" t="s">
        <v>620</v>
      </c>
      <c r="H486" t="s">
        <v>275</v>
      </c>
      <c r="L486">
        <v>20</v>
      </c>
      <c r="O486" t="s">
        <v>266</v>
      </c>
      <c r="S486" s="9">
        <v>10.5</v>
      </c>
      <c r="T486" s="9"/>
      <c r="U486" s="9">
        <v>1.9</v>
      </c>
      <c r="V486" s="8" t="s">
        <v>276</v>
      </c>
    </row>
    <row r="487" spans="2:22" hidden="1">
      <c r="B487" t="s">
        <v>274</v>
      </c>
      <c r="C487" t="s">
        <v>166</v>
      </c>
      <c r="E487">
        <v>2002</v>
      </c>
      <c r="F487" s="12" t="s">
        <v>620</v>
      </c>
      <c r="H487" t="s">
        <v>275</v>
      </c>
      <c r="L487">
        <v>20</v>
      </c>
      <c r="O487" t="s">
        <v>26</v>
      </c>
      <c r="P487" t="s">
        <v>27</v>
      </c>
      <c r="S487" s="9">
        <v>19.3</v>
      </c>
      <c r="T487" s="9"/>
      <c r="U487" s="9">
        <v>4.3</v>
      </c>
      <c r="V487" s="8" t="s">
        <v>276</v>
      </c>
    </row>
    <row r="488" spans="2:22" hidden="1">
      <c r="B488" t="s">
        <v>274</v>
      </c>
      <c r="C488" t="s">
        <v>166</v>
      </c>
      <c r="E488">
        <v>2002</v>
      </c>
      <c r="F488" s="12" t="s">
        <v>620</v>
      </c>
      <c r="H488" t="s">
        <v>275</v>
      </c>
      <c r="L488">
        <v>20</v>
      </c>
      <c r="O488" t="s">
        <v>29</v>
      </c>
      <c r="P488" t="s">
        <v>30</v>
      </c>
      <c r="S488" s="9">
        <v>1.7</v>
      </c>
      <c r="T488" s="9"/>
      <c r="U488" s="9">
        <v>0.9</v>
      </c>
      <c r="V488" s="8" t="s">
        <v>276</v>
      </c>
    </row>
    <row r="489" spans="2:22" hidden="1">
      <c r="B489" t="s">
        <v>274</v>
      </c>
      <c r="C489" t="s">
        <v>166</v>
      </c>
      <c r="E489">
        <v>2002</v>
      </c>
      <c r="F489" s="12" t="s">
        <v>620</v>
      </c>
      <c r="H489" t="s">
        <v>275</v>
      </c>
      <c r="L489">
        <v>20</v>
      </c>
      <c r="O489" t="s">
        <v>266</v>
      </c>
      <c r="S489" s="9">
        <v>13.4</v>
      </c>
      <c r="T489" s="9"/>
      <c r="U489" s="9">
        <v>3.2</v>
      </c>
      <c r="V489" s="8" t="s">
        <v>276</v>
      </c>
    </row>
    <row r="490" spans="2:22" hidden="1">
      <c r="B490" t="s">
        <v>274</v>
      </c>
      <c r="C490" t="s">
        <v>166</v>
      </c>
      <c r="E490">
        <v>2003</v>
      </c>
      <c r="F490" s="12" t="s">
        <v>620</v>
      </c>
      <c r="H490" t="s">
        <v>275</v>
      </c>
      <c r="L490">
        <v>20</v>
      </c>
      <c r="O490" t="s">
        <v>26</v>
      </c>
      <c r="P490" t="s">
        <v>27</v>
      </c>
      <c r="S490" s="9">
        <v>18.8</v>
      </c>
      <c r="T490" s="9"/>
      <c r="U490" s="9">
        <v>4.2</v>
      </c>
      <c r="V490" s="8" t="s">
        <v>276</v>
      </c>
    </row>
    <row r="491" spans="2:22" hidden="1">
      <c r="B491" t="s">
        <v>274</v>
      </c>
      <c r="C491" t="s">
        <v>166</v>
      </c>
      <c r="E491">
        <v>2003</v>
      </c>
      <c r="F491" s="12" t="s">
        <v>620</v>
      </c>
      <c r="H491" t="s">
        <v>275</v>
      </c>
      <c r="L491">
        <v>20</v>
      </c>
      <c r="O491" t="s">
        <v>29</v>
      </c>
      <c r="P491" t="s">
        <v>30</v>
      </c>
      <c r="S491" s="9">
        <v>2</v>
      </c>
      <c r="T491" s="9"/>
      <c r="U491" s="9">
        <v>0.9</v>
      </c>
      <c r="V491" s="8" t="s">
        <v>276</v>
      </c>
    </row>
    <row r="492" spans="2:22" hidden="1">
      <c r="B492" t="s">
        <v>274</v>
      </c>
      <c r="C492" t="s">
        <v>166</v>
      </c>
      <c r="E492">
        <v>2003</v>
      </c>
      <c r="F492" s="12" t="s">
        <v>620</v>
      </c>
      <c r="H492" t="s">
        <v>275</v>
      </c>
      <c r="L492">
        <v>20</v>
      </c>
      <c r="O492" t="s">
        <v>266</v>
      </c>
      <c r="S492" s="9">
        <v>11.2</v>
      </c>
      <c r="T492" s="9"/>
      <c r="U492" s="9">
        <v>2.1</v>
      </c>
      <c r="V492" s="8" t="s">
        <v>276</v>
      </c>
    </row>
    <row r="493" spans="2:22" hidden="1">
      <c r="B493" t="s">
        <v>395</v>
      </c>
      <c r="C493" t="s">
        <v>166</v>
      </c>
      <c r="E493" t="s">
        <v>407</v>
      </c>
      <c r="F493" s="12" t="s">
        <v>622</v>
      </c>
      <c r="I493" t="s">
        <v>402</v>
      </c>
      <c r="L493"/>
      <c r="O493" t="s">
        <v>26</v>
      </c>
      <c r="P493" t="s">
        <v>27</v>
      </c>
      <c r="S493">
        <v>34.6</v>
      </c>
      <c r="T493" s="9"/>
      <c r="U493">
        <v>2.7</v>
      </c>
      <c r="V493" t="s">
        <v>395</v>
      </c>
    </row>
    <row r="494" spans="2:22" hidden="1">
      <c r="B494" t="s">
        <v>395</v>
      </c>
      <c r="C494" t="s">
        <v>166</v>
      </c>
      <c r="E494">
        <v>2005</v>
      </c>
      <c r="F494" s="12" t="s">
        <v>620</v>
      </c>
      <c r="I494" t="s">
        <v>402</v>
      </c>
      <c r="L494"/>
      <c r="O494" t="s">
        <v>26</v>
      </c>
      <c r="P494" t="s">
        <v>27</v>
      </c>
      <c r="S494">
        <v>5.6</v>
      </c>
      <c r="T494" s="9"/>
      <c r="U494">
        <v>3.1</v>
      </c>
      <c r="V494" t="s">
        <v>395</v>
      </c>
    </row>
    <row r="495" spans="2:22" hidden="1">
      <c r="B495" t="s">
        <v>395</v>
      </c>
      <c r="C495" t="s">
        <v>166</v>
      </c>
      <c r="E495" t="s">
        <v>407</v>
      </c>
      <c r="F495" s="12" t="s">
        <v>622</v>
      </c>
      <c r="I495" t="s">
        <v>403</v>
      </c>
      <c r="L495"/>
      <c r="O495" t="s">
        <v>26</v>
      </c>
      <c r="P495" t="s">
        <v>27</v>
      </c>
      <c r="S495">
        <v>14.8</v>
      </c>
      <c r="T495" s="9"/>
      <c r="U495">
        <v>2</v>
      </c>
      <c r="V495" t="s">
        <v>395</v>
      </c>
    </row>
    <row r="496" spans="2:22" hidden="1">
      <c r="B496" t="s">
        <v>395</v>
      </c>
      <c r="C496" t="s">
        <v>166</v>
      </c>
      <c r="E496">
        <v>2005</v>
      </c>
      <c r="F496" s="12" t="s">
        <v>620</v>
      </c>
      <c r="I496" t="s">
        <v>403</v>
      </c>
      <c r="L496"/>
      <c r="O496" t="s">
        <v>26</v>
      </c>
      <c r="P496" t="s">
        <v>27</v>
      </c>
      <c r="S496">
        <v>8.1999999999999993</v>
      </c>
      <c r="T496" s="9"/>
      <c r="U496">
        <v>2.2999999999999998</v>
      </c>
      <c r="V496" t="s">
        <v>395</v>
      </c>
    </row>
    <row r="497" spans="2:22" hidden="1">
      <c r="B497" t="s">
        <v>395</v>
      </c>
      <c r="C497" t="s">
        <v>166</v>
      </c>
      <c r="E497" t="s">
        <v>407</v>
      </c>
      <c r="F497" s="12" t="s">
        <v>622</v>
      </c>
      <c r="I497" t="s">
        <v>404</v>
      </c>
      <c r="L497"/>
      <c r="O497" t="s">
        <v>26</v>
      </c>
      <c r="P497" t="s">
        <v>27</v>
      </c>
      <c r="S497">
        <v>20</v>
      </c>
      <c r="T497" s="9"/>
      <c r="U497">
        <v>1.5</v>
      </c>
      <c r="V497" t="s">
        <v>395</v>
      </c>
    </row>
    <row r="498" spans="2:22" hidden="1">
      <c r="B498" t="s">
        <v>395</v>
      </c>
      <c r="C498" t="s">
        <v>166</v>
      </c>
      <c r="E498">
        <v>2005</v>
      </c>
      <c r="F498" s="12" t="s">
        <v>620</v>
      </c>
      <c r="I498" t="s">
        <v>404</v>
      </c>
      <c r="L498"/>
      <c r="O498" t="s">
        <v>26</v>
      </c>
      <c r="P498" t="s">
        <v>27</v>
      </c>
      <c r="S498">
        <v>10.9</v>
      </c>
      <c r="T498" s="9"/>
      <c r="U498">
        <v>5.0999999999999996</v>
      </c>
      <c r="V498" t="s">
        <v>395</v>
      </c>
    </row>
    <row r="499" spans="2:22" hidden="1">
      <c r="B499" t="s">
        <v>395</v>
      </c>
      <c r="C499" t="s">
        <v>166</v>
      </c>
      <c r="E499" t="s">
        <v>407</v>
      </c>
      <c r="F499" s="12" t="s">
        <v>622</v>
      </c>
      <c r="I499" t="s">
        <v>405</v>
      </c>
      <c r="L499"/>
      <c r="O499" t="s">
        <v>26</v>
      </c>
      <c r="P499" t="s">
        <v>27</v>
      </c>
      <c r="S499">
        <v>46.4</v>
      </c>
      <c r="T499" s="9"/>
      <c r="U499">
        <v>7.8</v>
      </c>
      <c r="V499" t="s">
        <v>395</v>
      </c>
    </row>
    <row r="500" spans="2:22" hidden="1">
      <c r="B500" t="s">
        <v>395</v>
      </c>
      <c r="C500" t="s">
        <v>166</v>
      </c>
      <c r="E500">
        <v>2005</v>
      </c>
      <c r="F500" s="12" t="s">
        <v>620</v>
      </c>
      <c r="I500" t="s">
        <v>405</v>
      </c>
      <c r="L500"/>
      <c r="O500" t="s">
        <v>26</v>
      </c>
      <c r="P500" t="s">
        <v>27</v>
      </c>
      <c r="S500">
        <v>26.8</v>
      </c>
      <c r="T500" s="9"/>
      <c r="U500">
        <v>8.1</v>
      </c>
      <c r="V500" t="s">
        <v>395</v>
      </c>
    </row>
    <row r="501" spans="2:22" hidden="1">
      <c r="B501" t="s">
        <v>408</v>
      </c>
      <c r="C501" t="s">
        <v>166</v>
      </c>
      <c r="E501">
        <v>2002</v>
      </c>
      <c r="F501" s="12" t="s">
        <v>620</v>
      </c>
      <c r="I501" t="s">
        <v>406</v>
      </c>
      <c r="L501"/>
      <c r="O501" t="s">
        <v>26</v>
      </c>
      <c r="P501" t="s">
        <v>27</v>
      </c>
      <c r="R501">
        <v>40</v>
      </c>
      <c r="S501">
        <v>5</v>
      </c>
      <c r="T501" s="9"/>
      <c r="U501" s="9"/>
      <c r="V501" t="s">
        <v>408</v>
      </c>
    </row>
    <row r="502" spans="2:22" hidden="1">
      <c r="B502" t="s">
        <v>409</v>
      </c>
      <c r="C502" t="s">
        <v>166</v>
      </c>
      <c r="E502">
        <v>2000</v>
      </c>
      <c r="F502" s="12" t="s">
        <v>620</v>
      </c>
      <c r="I502" t="s">
        <v>406</v>
      </c>
      <c r="L502"/>
      <c r="O502" t="s">
        <v>26</v>
      </c>
      <c r="P502" t="s">
        <v>27</v>
      </c>
      <c r="R502">
        <v>22</v>
      </c>
      <c r="S502">
        <v>3</v>
      </c>
      <c r="T502" s="9"/>
      <c r="U502" s="9"/>
      <c r="V502" t="s">
        <v>409</v>
      </c>
    </row>
    <row r="503" spans="2:22" hidden="1">
      <c r="B503" t="s">
        <v>186</v>
      </c>
      <c r="C503" t="s">
        <v>166</v>
      </c>
      <c r="E503">
        <v>1998</v>
      </c>
      <c r="F503" s="12" t="s">
        <v>670</v>
      </c>
      <c r="H503" t="s">
        <v>167</v>
      </c>
      <c r="I503" t="s">
        <v>396</v>
      </c>
      <c r="L503"/>
      <c r="O503" t="s">
        <v>359</v>
      </c>
      <c r="S503">
        <v>20</v>
      </c>
      <c r="T503" s="9"/>
      <c r="U503" s="9"/>
      <c r="V503" s="8" t="s">
        <v>189</v>
      </c>
    </row>
    <row r="504" spans="2:22" hidden="1">
      <c r="B504" t="s">
        <v>186</v>
      </c>
      <c r="C504" t="s">
        <v>166</v>
      </c>
      <c r="E504">
        <v>1999</v>
      </c>
      <c r="F504" s="12" t="s">
        <v>620</v>
      </c>
      <c r="H504" t="s">
        <v>167</v>
      </c>
      <c r="I504" t="s">
        <v>397</v>
      </c>
      <c r="L504"/>
      <c r="O504" t="s">
        <v>359</v>
      </c>
      <c r="S504">
        <v>39</v>
      </c>
      <c r="T504" s="9"/>
      <c r="U504" s="9"/>
      <c r="V504" s="8" t="s">
        <v>189</v>
      </c>
    </row>
    <row r="505" spans="2:22" hidden="1">
      <c r="B505" t="s">
        <v>186</v>
      </c>
      <c r="C505" t="s">
        <v>166</v>
      </c>
      <c r="E505">
        <v>1998</v>
      </c>
      <c r="F505" s="12" t="s">
        <v>670</v>
      </c>
      <c r="H505" t="s">
        <v>398</v>
      </c>
      <c r="I505" t="s">
        <v>399</v>
      </c>
      <c r="L505"/>
      <c r="O505" t="s">
        <v>359</v>
      </c>
      <c r="S505">
        <v>9</v>
      </c>
      <c r="T505" s="9"/>
      <c r="U505" s="9"/>
      <c r="V505" s="8" t="s">
        <v>189</v>
      </c>
    </row>
    <row r="506" spans="2:22" hidden="1">
      <c r="B506" t="s">
        <v>186</v>
      </c>
      <c r="C506" t="s">
        <v>166</v>
      </c>
      <c r="E506">
        <v>1999</v>
      </c>
      <c r="F506" s="12" t="s">
        <v>620</v>
      </c>
      <c r="H506" t="s">
        <v>398</v>
      </c>
      <c r="I506" t="s">
        <v>399</v>
      </c>
      <c r="L506"/>
      <c r="O506" t="s">
        <v>359</v>
      </c>
      <c r="S506">
        <v>55</v>
      </c>
      <c r="T506" s="9"/>
      <c r="U506" s="9"/>
      <c r="V506" s="8" t="s">
        <v>189</v>
      </c>
    </row>
    <row r="507" spans="2:22" hidden="1">
      <c r="B507" t="s">
        <v>186</v>
      </c>
      <c r="C507" t="s">
        <v>166</v>
      </c>
      <c r="E507">
        <v>1998</v>
      </c>
      <c r="F507" s="12" t="s">
        <v>670</v>
      </c>
      <c r="H507" t="s">
        <v>398</v>
      </c>
      <c r="I507" t="s">
        <v>400</v>
      </c>
      <c r="L507"/>
      <c r="O507" t="s">
        <v>359</v>
      </c>
      <c r="S507">
        <v>11</v>
      </c>
      <c r="T507" s="9"/>
      <c r="U507" s="9"/>
      <c r="V507" s="8" t="s">
        <v>189</v>
      </c>
    </row>
    <row r="508" spans="2:22" hidden="1">
      <c r="B508" t="s">
        <v>186</v>
      </c>
      <c r="C508" t="s">
        <v>166</v>
      </c>
      <c r="E508">
        <v>1999</v>
      </c>
      <c r="F508" s="12" t="s">
        <v>620</v>
      </c>
      <c r="H508" t="s">
        <v>398</v>
      </c>
      <c r="I508" t="s">
        <v>400</v>
      </c>
      <c r="L508"/>
      <c r="O508" t="s">
        <v>359</v>
      </c>
      <c r="S508">
        <v>19</v>
      </c>
      <c r="T508" s="9"/>
      <c r="U508" s="9"/>
      <c r="V508" s="8" t="s">
        <v>189</v>
      </c>
    </row>
    <row r="509" spans="2:22" hidden="1">
      <c r="B509" t="s">
        <v>186</v>
      </c>
      <c r="C509" t="s">
        <v>166</v>
      </c>
      <c r="E509">
        <v>1997</v>
      </c>
      <c r="F509" s="12" t="s">
        <v>622</v>
      </c>
      <c r="H509" t="s">
        <v>187</v>
      </c>
      <c r="I509" t="s">
        <v>401</v>
      </c>
      <c r="L509"/>
      <c r="O509" t="s">
        <v>359</v>
      </c>
      <c r="S509">
        <v>15</v>
      </c>
      <c r="T509" s="9"/>
      <c r="U509" s="9"/>
      <c r="V509" s="8" t="s">
        <v>189</v>
      </c>
    </row>
    <row r="510" spans="2:22" hidden="1">
      <c r="B510" t="s">
        <v>186</v>
      </c>
      <c r="C510" t="s">
        <v>166</v>
      </c>
      <c r="E510">
        <v>1998</v>
      </c>
      <c r="F510" s="12" t="s">
        <v>670</v>
      </c>
      <c r="H510" t="s">
        <v>187</v>
      </c>
      <c r="I510" t="s">
        <v>401</v>
      </c>
      <c r="L510"/>
      <c r="O510" t="s">
        <v>359</v>
      </c>
      <c r="S510">
        <v>53</v>
      </c>
      <c r="T510" s="9"/>
      <c r="U510" s="9"/>
      <c r="V510" s="8" t="s">
        <v>189</v>
      </c>
    </row>
    <row r="511" spans="2:22" hidden="1">
      <c r="B511" t="s">
        <v>186</v>
      </c>
      <c r="C511" t="s">
        <v>166</v>
      </c>
      <c r="E511">
        <v>1999</v>
      </c>
      <c r="F511" s="12" t="s">
        <v>620</v>
      </c>
      <c r="H511" t="s">
        <v>187</v>
      </c>
      <c r="I511" t="s">
        <v>401</v>
      </c>
      <c r="L511"/>
      <c r="O511" t="s">
        <v>359</v>
      </c>
      <c r="S511">
        <v>30</v>
      </c>
      <c r="T511" s="9"/>
      <c r="U511" s="9"/>
      <c r="V511" s="8" t="s">
        <v>189</v>
      </c>
    </row>
    <row r="512" spans="2:22" hidden="1">
      <c r="B512" t="s">
        <v>494</v>
      </c>
      <c r="C512" t="s">
        <v>166</v>
      </c>
      <c r="D512" t="s">
        <v>750</v>
      </c>
      <c r="E512" s="12" t="s">
        <v>495</v>
      </c>
      <c r="F512" s="12" t="s">
        <v>622</v>
      </c>
      <c r="G512" s="32" t="s">
        <v>732</v>
      </c>
      <c r="H512" t="s">
        <v>496</v>
      </c>
      <c r="L512"/>
      <c r="O512" t="s">
        <v>26</v>
      </c>
      <c r="P512" t="s">
        <v>27</v>
      </c>
      <c r="R512">
        <v>5</v>
      </c>
      <c r="S512" s="9">
        <v>34.6</v>
      </c>
      <c r="T512" s="9"/>
      <c r="U512" s="9">
        <v>207</v>
      </c>
      <c r="V512" s="8" t="s">
        <v>493</v>
      </c>
    </row>
    <row r="513" spans="2:22" hidden="1">
      <c r="B513" t="s">
        <v>494</v>
      </c>
      <c r="C513" t="s">
        <v>166</v>
      </c>
      <c r="D513" t="s">
        <v>750</v>
      </c>
      <c r="E513" s="12" t="s">
        <v>495</v>
      </c>
      <c r="F513" s="12" t="s">
        <v>622</v>
      </c>
      <c r="G513" s="32" t="s">
        <v>732</v>
      </c>
      <c r="H513" t="s">
        <v>497</v>
      </c>
      <c r="L513"/>
      <c r="O513" t="s">
        <v>26</v>
      </c>
      <c r="P513" t="s">
        <v>27</v>
      </c>
      <c r="R513">
        <v>2</v>
      </c>
      <c r="S513" s="9">
        <v>44.9</v>
      </c>
      <c r="T513" s="9"/>
      <c r="U513" s="9">
        <v>4.8</v>
      </c>
      <c r="V513" s="8" t="s">
        <v>493</v>
      </c>
    </row>
    <row r="514" spans="2:22" hidden="1">
      <c r="B514" t="s">
        <v>494</v>
      </c>
      <c r="C514" t="s">
        <v>166</v>
      </c>
      <c r="D514" t="s">
        <v>750</v>
      </c>
      <c r="E514" s="12" t="s">
        <v>495</v>
      </c>
      <c r="F514" s="12" t="s">
        <v>622</v>
      </c>
      <c r="G514" s="32" t="s">
        <v>732</v>
      </c>
      <c r="H514" t="s">
        <v>498</v>
      </c>
      <c r="L514"/>
      <c r="O514" t="s">
        <v>26</v>
      </c>
      <c r="P514" t="s">
        <v>27</v>
      </c>
      <c r="R514">
        <v>5</v>
      </c>
      <c r="S514" s="9">
        <v>14.8</v>
      </c>
      <c r="T514" s="9"/>
      <c r="U514" s="9">
        <v>2</v>
      </c>
      <c r="V514" s="8" t="s">
        <v>493</v>
      </c>
    </row>
    <row r="515" spans="2:22" hidden="1">
      <c r="B515" t="s">
        <v>494</v>
      </c>
      <c r="C515" t="s">
        <v>166</v>
      </c>
      <c r="D515" t="s">
        <v>750</v>
      </c>
      <c r="E515" s="12" t="s">
        <v>495</v>
      </c>
      <c r="F515" s="12" t="s">
        <v>622</v>
      </c>
      <c r="G515" s="32" t="s">
        <v>732</v>
      </c>
      <c r="H515" t="s">
        <v>499</v>
      </c>
      <c r="L515"/>
      <c r="O515" t="s">
        <v>26</v>
      </c>
      <c r="P515" t="s">
        <v>27</v>
      </c>
      <c r="R515">
        <v>2</v>
      </c>
      <c r="S515" s="9">
        <v>30.9</v>
      </c>
      <c r="T515" s="9"/>
      <c r="U515" s="9">
        <v>7.6</v>
      </c>
      <c r="V515" s="8" t="s">
        <v>493</v>
      </c>
    </row>
    <row r="516" spans="2:22" hidden="1">
      <c r="B516" t="s">
        <v>494</v>
      </c>
      <c r="C516" t="s">
        <v>166</v>
      </c>
      <c r="D516" t="s">
        <v>750</v>
      </c>
      <c r="E516" s="12" t="s">
        <v>495</v>
      </c>
      <c r="F516" s="12" t="s">
        <v>622</v>
      </c>
      <c r="G516" s="32" t="s">
        <v>732</v>
      </c>
      <c r="H516" t="s">
        <v>500</v>
      </c>
      <c r="L516"/>
      <c r="O516" t="s">
        <v>26</v>
      </c>
      <c r="P516" t="s">
        <v>27</v>
      </c>
      <c r="R516">
        <v>5</v>
      </c>
      <c r="S516" s="9">
        <v>20</v>
      </c>
      <c r="T516" s="9"/>
      <c r="U516" s="9">
        <v>1.5</v>
      </c>
      <c r="V516" s="8" t="s">
        <v>493</v>
      </c>
    </row>
    <row r="517" spans="2:22" hidden="1">
      <c r="B517" t="s">
        <v>494</v>
      </c>
      <c r="C517" t="s">
        <v>166</v>
      </c>
      <c r="D517" t="s">
        <v>750</v>
      </c>
      <c r="E517" s="12" t="s">
        <v>495</v>
      </c>
      <c r="F517" s="12" t="s">
        <v>622</v>
      </c>
      <c r="G517" s="32" t="s">
        <v>732</v>
      </c>
      <c r="H517" t="s">
        <v>501</v>
      </c>
      <c r="L517"/>
      <c r="O517" t="s">
        <v>26</v>
      </c>
      <c r="P517" t="s">
        <v>27</v>
      </c>
      <c r="R517">
        <v>2</v>
      </c>
      <c r="S517" s="9">
        <v>46.4</v>
      </c>
      <c r="T517" s="9"/>
      <c r="U517" s="9">
        <v>7.8</v>
      </c>
      <c r="V517" s="8" t="s">
        <v>493</v>
      </c>
    </row>
    <row r="518" spans="2:22" hidden="1">
      <c r="B518" t="s">
        <v>238</v>
      </c>
      <c r="C518" t="s">
        <v>220</v>
      </c>
      <c r="E518" s="12" t="s">
        <v>239</v>
      </c>
      <c r="F518" s="12" t="s">
        <v>622</v>
      </c>
      <c r="H518" t="s">
        <v>241</v>
      </c>
      <c r="I518" t="s">
        <v>539</v>
      </c>
      <c r="L518"/>
      <c r="M518" t="s">
        <v>242</v>
      </c>
      <c r="N518" t="s">
        <v>243</v>
      </c>
      <c r="O518" t="s">
        <v>538</v>
      </c>
      <c r="P518" t="s">
        <v>27</v>
      </c>
      <c r="R518">
        <v>6</v>
      </c>
      <c r="S518" s="9">
        <v>31</v>
      </c>
      <c r="T518" s="9">
        <v>19</v>
      </c>
      <c r="U518" s="9"/>
      <c r="V518" s="8" t="s">
        <v>245</v>
      </c>
    </row>
    <row r="519" spans="2:22" hidden="1">
      <c r="B519" t="s">
        <v>238</v>
      </c>
      <c r="C519" t="s">
        <v>220</v>
      </c>
      <c r="E519" s="12" t="s">
        <v>239</v>
      </c>
      <c r="F519" s="12" t="s">
        <v>622</v>
      </c>
      <c r="H519" t="s">
        <v>241</v>
      </c>
      <c r="I519" t="s">
        <v>539</v>
      </c>
      <c r="L519"/>
      <c r="M519" t="s">
        <v>242</v>
      </c>
      <c r="N519" t="s">
        <v>243</v>
      </c>
      <c r="O519" t="s">
        <v>130</v>
      </c>
      <c r="R519">
        <v>6</v>
      </c>
      <c r="S519" s="9">
        <v>30</v>
      </c>
      <c r="T519" s="9">
        <v>20</v>
      </c>
      <c r="U519" s="9"/>
      <c r="V519" s="8" t="s">
        <v>245</v>
      </c>
    </row>
    <row r="520" spans="2:22" hidden="1">
      <c r="B520" t="s">
        <v>542</v>
      </c>
      <c r="C520" t="s">
        <v>166</v>
      </c>
      <c r="D520" t="s">
        <v>750</v>
      </c>
      <c r="E520"/>
      <c r="F520" s="12" t="s">
        <v>622</v>
      </c>
      <c r="G520" s="32" t="s">
        <v>732</v>
      </c>
      <c r="H520" t="s">
        <v>543</v>
      </c>
      <c r="I520" t="s">
        <v>544</v>
      </c>
      <c r="K520" t="s">
        <v>545</v>
      </c>
      <c r="L520"/>
      <c r="O520" t="s">
        <v>172</v>
      </c>
      <c r="P520" t="s">
        <v>27</v>
      </c>
      <c r="S520" s="9">
        <v>34.1</v>
      </c>
      <c r="T520" s="9">
        <v>11.11</v>
      </c>
      <c r="U520" s="9"/>
      <c r="V520" s="8" t="s">
        <v>541</v>
      </c>
    </row>
    <row r="521" spans="2:22" hidden="1">
      <c r="B521" t="s">
        <v>542</v>
      </c>
      <c r="C521" t="s">
        <v>166</v>
      </c>
      <c r="D521" t="s">
        <v>750</v>
      </c>
      <c r="E521"/>
      <c r="F521" s="12" t="s">
        <v>622</v>
      </c>
      <c r="G521" s="32" t="s">
        <v>732</v>
      </c>
      <c r="H521" t="s">
        <v>543</v>
      </c>
      <c r="I521" t="s">
        <v>548</v>
      </c>
      <c r="K521" t="s">
        <v>546</v>
      </c>
      <c r="L521"/>
      <c r="O521" t="s">
        <v>172</v>
      </c>
      <c r="P521" t="s">
        <v>27</v>
      </c>
      <c r="S521" s="9">
        <v>24.6</v>
      </c>
      <c r="T521" s="9">
        <v>10.91</v>
      </c>
      <c r="U521" s="9"/>
      <c r="V521" s="8" t="s">
        <v>541</v>
      </c>
    </row>
    <row r="522" spans="2:22" hidden="1">
      <c r="B522" t="s">
        <v>542</v>
      </c>
      <c r="C522" t="s">
        <v>166</v>
      </c>
      <c r="D522" t="s">
        <v>750</v>
      </c>
      <c r="E522"/>
      <c r="F522" s="12" t="s">
        <v>622</v>
      </c>
      <c r="G522" s="32" t="s">
        <v>732</v>
      </c>
      <c r="H522" t="s">
        <v>543</v>
      </c>
      <c r="I522" t="s">
        <v>549</v>
      </c>
      <c r="K522" t="s">
        <v>547</v>
      </c>
      <c r="L522"/>
      <c r="O522" t="s">
        <v>172</v>
      </c>
      <c r="P522" t="s">
        <v>27</v>
      </c>
      <c r="S522" s="9">
        <v>19.22</v>
      </c>
      <c r="T522" s="9">
        <v>7.1</v>
      </c>
      <c r="U522" s="9"/>
      <c r="V522" s="8" t="s">
        <v>541</v>
      </c>
    </row>
    <row r="523" spans="2:22" hidden="1">
      <c r="B523" t="s">
        <v>193</v>
      </c>
      <c r="C523" t="s">
        <v>220</v>
      </c>
      <c r="D523" t="s">
        <v>749</v>
      </c>
      <c r="E523">
        <v>1999</v>
      </c>
      <c r="F523" s="12" t="s">
        <v>620</v>
      </c>
      <c r="G523" s="12" t="s">
        <v>732</v>
      </c>
      <c r="H523" t="s">
        <v>221</v>
      </c>
      <c r="I523" t="s">
        <v>222</v>
      </c>
      <c r="K523" t="s">
        <v>196</v>
      </c>
      <c r="L523"/>
      <c r="O523" t="s">
        <v>26</v>
      </c>
      <c r="P523" t="s">
        <v>27</v>
      </c>
      <c r="Q523" s="12"/>
      <c r="R523" s="12"/>
      <c r="S523" s="23">
        <v>35.5</v>
      </c>
      <c r="T523" s="23"/>
      <c r="U523" s="23"/>
      <c r="V523" s="8" t="s">
        <v>197</v>
      </c>
    </row>
    <row r="524" spans="2:22" hidden="1">
      <c r="B524" t="s">
        <v>193</v>
      </c>
      <c r="C524" t="s">
        <v>220</v>
      </c>
      <c r="E524">
        <v>1999</v>
      </c>
      <c r="F524" s="12" t="s">
        <v>620</v>
      </c>
      <c r="H524" t="s">
        <v>221</v>
      </c>
      <c r="I524" t="s">
        <v>222</v>
      </c>
      <c r="K524" t="s">
        <v>196</v>
      </c>
      <c r="L524"/>
      <c r="O524" t="s">
        <v>130</v>
      </c>
      <c r="P524" t="s">
        <v>31</v>
      </c>
      <c r="Q524" s="12"/>
      <c r="R524" s="12"/>
      <c r="S524" s="23">
        <v>15.3</v>
      </c>
      <c r="T524" s="23"/>
      <c r="U524" s="23"/>
      <c r="V524" s="8" t="s">
        <v>197</v>
      </c>
    </row>
    <row r="525" spans="2:22" hidden="1">
      <c r="B525" t="s">
        <v>193</v>
      </c>
      <c r="C525" t="s">
        <v>220</v>
      </c>
      <c r="D525" t="s">
        <v>749</v>
      </c>
      <c r="E525">
        <v>1999</v>
      </c>
      <c r="F525" s="12" t="s">
        <v>620</v>
      </c>
      <c r="G525" s="12" t="s">
        <v>732</v>
      </c>
      <c r="H525" t="s">
        <v>221</v>
      </c>
      <c r="I525" t="s">
        <v>222</v>
      </c>
      <c r="K525" t="s">
        <v>198</v>
      </c>
      <c r="L525"/>
      <c r="O525" t="s">
        <v>26</v>
      </c>
      <c r="P525" t="s">
        <v>27</v>
      </c>
      <c r="Q525" s="12"/>
      <c r="R525" s="12"/>
      <c r="S525" s="23">
        <v>40.6</v>
      </c>
      <c r="T525" s="23"/>
      <c r="U525" s="23"/>
      <c r="V525" s="8" t="s">
        <v>197</v>
      </c>
    </row>
    <row r="526" spans="2:22" hidden="1">
      <c r="B526" t="s">
        <v>193</v>
      </c>
      <c r="C526" t="s">
        <v>220</v>
      </c>
      <c r="E526">
        <v>1999</v>
      </c>
      <c r="F526" s="12" t="s">
        <v>620</v>
      </c>
      <c r="H526" t="s">
        <v>221</v>
      </c>
      <c r="I526" t="s">
        <v>222</v>
      </c>
      <c r="K526" t="s">
        <v>198</v>
      </c>
      <c r="L526"/>
      <c r="O526" t="s">
        <v>130</v>
      </c>
      <c r="P526" t="s">
        <v>31</v>
      </c>
      <c r="Q526" s="12"/>
      <c r="R526" s="12"/>
      <c r="S526" s="23">
        <v>45.5</v>
      </c>
      <c r="T526" s="23"/>
      <c r="U526" s="23"/>
      <c r="V526" s="8" t="s">
        <v>197</v>
      </c>
    </row>
    <row r="527" spans="2:22" hidden="1">
      <c r="B527" t="s">
        <v>193</v>
      </c>
      <c r="C527" t="s">
        <v>220</v>
      </c>
      <c r="D527" t="s">
        <v>749</v>
      </c>
      <c r="E527">
        <v>1999</v>
      </c>
      <c r="F527" s="12" t="s">
        <v>620</v>
      </c>
      <c r="G527" s="12" t="s">
        <v>732</v>
      </c>
      <c r="H527" t="s">
        <v>223</v>
      </c>
      <c r="I527" t="s">
        <v>224</v>
      </c>
      <c r="K527" t="s">
        <v>196</v>
      </c>
      <c r="L527"/>
      <c r="O527" t="s">
        <v>26</v>
      </c>
      <c r="P527" t="s">
        <v>27</v>
      </c>
      <c r="Q527" s="12"/>
      <c r="R527" s="12"/>
      <c r="S527" s="23">
        <v>54.1</v>
      </c>
      <c r="T527" s="23"/>
      <c r="U527" s="23"/>
      <c r="V527" s="8" t="s">
        <v>197</v>
      </c>
    </row>
    <row r="528" spans="2:22" hidden="1">
      <c r="B528" t="s">
        <v>193</v>
      </c>
      <c r="C528" t="s">
        <v>220</v>
      </c>
      <c r="E528">
        <v>1999</v>
      </c>
      <c r="F528" s="12" t="s">
        <v>620</v>
      </c>
      <c r="H528" t="s">
        <v>223</v>
      </c>
      <c r="I528" t="s">
        <v>224</v>
      </c>
      <c r="K528" t="s">
        <v>196</v>
      </c>
      <c r="L528"/>
      <c r="O528" t="s">
        <v>130</v>
      </c>
      <c r="P528" t="s">
        <v>31</v>
      </c>
      <c r="Q528" s="12"/>
      <c r="R528" s="12"/>
      <c r="S528" s="23">
        <v>21.3</v>
      </c>
      <c r="T528" s="23"/>
      <c r="U528" s="23"/>
      <c r="V528" s="8" t="s">
        <v>197</v>
      </c>
    </row>
    <row r="529" spans="2:22" hidden="1">
      <c r="B529" t="s">
        <v>193</v>
      </c>
      <c r="C529" t="s">
        <v>220</v>
      </c>
      <c r="D529" t="s">
        <v>749</v>
      </c>
      <c r="E529">
        <v>1999</v>
      </c>
      <c r="F529" s="12" t="s">
        <v>620</v>
      </c>
      <c r="G529" s="12" t="s">
        <v>732</v>
      </c>
      <c r="H529" t="s">
        <v>223</v>
      </c>
      <c r="I529" t="s">
        <v>224</v>
      </c>
      <c r="K529" t="s">
        <v>198</v>
      </c>
      <c r="L529"/>
      <c r="O529" t="s">
        <v>26</v>
      </c>
      <c r="P529" t="s">
        <v>27</v>
      </c>
      <c r="Q529" s="12"/>
      <c r="R529" s="12"/>
      <c r="S529" s="23">
        <v>59.8</v>
      </c>
      <c r="T529" s="23"/>
      <c r="U529" s="23"/>
      <c r="V529" s="8" t="s">
        <v>197</v>
      </c>
    </row>
    <row r="530" spans="2:22" hidden="1">
      <c r="B530" t="s">
        <v>193</v>
      </c>
      <c r="C530" t="s">
        <v>220</v>
      </c>
      <c r="E530">
        <v>1999</v>
      </c>
      <c r="F530" s="12" t="s">
        <v>620</v>
      </c>
      <c r="H530" t="s">
        <v>223</v>
      </c>
      <c r="I530" t="s">
        <v>224</v>
      </c>
      <c r="K530" t="s">
        <v>198</v>
      </c>
      <c r="L530"/>
      <c r="O530" t="s">
        <v>130</v>
      </c>
      <c r="P530" t="s">
        <v>31</v>
      </c>
      <c r="Q530" s="12"/>
      <c r="R530" s="12"/>
      <c r="S530" s="23">
        <v>31</v>
      </c>
      <c r="T530" s="23"/>
      <c r="U530" s="23"/>
      <c r="V530" s="8" t="s">
        <v>197</v>
      </c>
    </row>
    <row r="531" spans="2:22" hidden="1">
      <c r="B531" t="s">
        <v>193</v>
      </c>
      <c r="C531" t="s">
        <v>220</v>
      </c>
      <c r="E531">
        <v>2000</v>
      </c>
      <c r="F531" s="12" t="s">
        <v>620</v>
      </c>
      <c r="H531" t="s">
        <v>221</v>
      </c>
      <c r="I531" t="s">
        <v>222</v>
      </c>
      <c r="K531" t="s">
        <v>196</v>
      </c>
      <c r="L531"/>
      <c r="O531" t="s">
        <v>26</v>
      </c>
      <c r="P531" t="s">
        <v>27</v>
      </c>
      <c r="Q531" s="12"/>
      <c r="R531" s="12"/>
      <c r="S531" s="23">
        <v>32.4</v>
      </c>
      <c r="T531" s="23"/>
      <c r="U531" s="23"/>
      <c r="V531" s="8" t="s">
        <v>197</v>
      </c>
    </row>
    <row r="532" spans="2:22" hidden="1">
      <c r="B532" t="s">
        <v>193</v>
      </c>
      <c r="C532" t="s">
        <v>220</v>
      </c>
      <c r="E532">
        <v>2000</v>
      </c>
      <c r="F532" s="12" t="s">
        <v>620</v>
      </c>
      <c r="H532" t="s">
        <v>221</v>
      </c>
      <c r="I532" t="s">
        <v>222</v>
      </c>
      <c r="K532" t="s">
        <v>196</v>
      </c>
      <c r="L532"/>
      <c r="O532" t="s">
        <v>130</v>
      </c>
      <c r="P532" t="s">
        <v>31</v>
      </c>
      <c r="Q532" s="12"/>
      <c r="R532" s="12"/>
      <c r="S532" s="23">
        <v>31.5</v>
      </c>
      <c r="T532" s="23"/>
      <c r="U532" s="23"/>
      <c r="V532" s="8" t="s">
        <v>197</v>
      </c>
    </row>
    <row r="533" spans="2:22" hidden="1">
      <c r="B533" t="s">
        <v>193</v>
      </c>
      <c r="C533" t="s">
        <v>220</v>
      </c>
      <c r="E533">
        <v>2000</v>
      </c>
      <c r="F533" s="12" t="s">
        <v>620</v>
      </c>
      <c r="H533" t="s">
        <v>221</v>
      </c>
      <c r="I533" t="s">
        <v>222</v>
      </c>
      <c r="K533" t="s">
        <v>198</v>
      </c>
      <c r="L533"/>
      <c r="O533" t="s">
        <v>26</v>
      </c>
      <c r="P533" t="s">
        <v>27</v>
      </c>
      <c r="Q533" s="12"/>
      <c r="R533" s="12"/>
      <c r="S533" s="23">
        <v>44.7</v>
      </c>
      <c r="T533" s="23"/>
      <c r="U533" s="23"/>
      <c r="V533" s="8" t="s">
        <v>197</v>
      </c>
    </row>
    <row r="534" spans="2:22" hidden="1">
      <c r="B534" t="s">
        <v>193</v>
      </c>
      <c r="C534" t="s">
        <v>220</v>
      </c>
      <c r="E534">
        <v>2000</v>
      </c>
      <c r="F534" s="12" t="s">
        <v>620</v>
      </c>
      <c r="H534" t="s">
        <v>221</v>
      </c>
      <c r="I534" t="s">
        <v>222</v>
      </c>
      <c r="K534" t="s">
        <v>198</v>
      </c>
      <c r="L534"/>
      <c r="O534" t="s">
        <v>130</v>
      </c>
      <c r="P534" t="s">
        <v>31</v>
      </c>
      <c r="Q534" s="12"/>
      <c r="R534" s="12"/>
      <c r="S534" s="23">
        <v>45</v>
      </c>
      <c r="T534" s="23"/>
      <c r="U534" s="23"/>
      <c r="V534" s="8" t="s">
        <v>197</v>
      </c>
    </row>
    <row r="535" spans="2:22" hidden="1">
      <c r="B535" t="s">
        <v>193</v>
      </c>
      <c r="C535" t="s">
        <v>220</v>
      </c>
      <c r="E535">
        <v>2000</v>
      </c>
      <c r="F535" s="12" t="s">
        <v>620</v>
      </c>
      <c r="H535" t="s">
        <v>223</v>
      </c>
      <c r="I535" t="s">
        <v>224</v>
      </c>
      <c r="K535" t="s">
        <v>196</v>
      </c>
      <c r="L535"/>
      <c r="O535" t="s">
        <v>26</v>
      </c>
      <c r="P535" t="s">
        <v>27</v>
      </c>
      <c r="Q535" s="12"/>
      <c r="R535" s="12"/>
      <c r="S535" s="23">
        <v>50</v>
      </c>
      <c r="T535" s="23"/>
      <c r="U535" s="23"/>
      <c r="V535" s="8" t="s">
        <v>197</v>
      </c>
    </row>
    <row r="536" spans="2:22" hidden="1">
      <c r="B536" t="s">
        <v>193</v>
      </c>
      <c r="C536" t="s">
        <v>220</v>
      </c>
      <c r="E536">
        <v>2000</v>
      </c>
      <c r="F536" s="12" t="s">
        <v>620</v>
      </c>
      <c r="H536" t="s">
        <v>223</v>
      </c>
      <c r="I536" t="s">
        <v>224</v>
      </c>
      <c r="K536" t="s">
        <v>196</v>
      </c>
      <c r="L536"/>
      <c r="O536" t="s">
        <v>130</v>
      </c>
      <c r="P536" t="s">
        <v>31</v>
      </c>
      <c r="Q536" s="12"/>
      <c r="R536" s="12"/>
      <c r="S536" s="23">
        <v>30.4</v>
      </c>
      <c r="T536" s="23"/>
      <c r="U536" s="23"/>
      <c r="V536" s="8" t="s">
        <v>197</v>
      </c>
    </row>
    <row r="537" spans="2:22" hidden="1">
      <c r="B537" t="s">
        <v>193</v>
      </c>
      <c r="C537" t="s">
        <v>220</v>
      </c>
      <c r="E537">
        <v>2000</v>
      </c>
      <c r="F537" s="12" t="s">
        <v>620</v>
      </c>
      <c r="H537" t="s">
        <v>223</v>
      </c>
      <c r="I537" t="s">
        <v>224</v>
      </c>
      <c r="K537" t="s">
        <v>198</v>
      </c>
      <c r="L537"/>
      <c r="O537" t="s">
        <v>26</v>
      </c>
      <c r="P537" t="s">
        <v>27</v>
      </c>
      <c r="Q537" s="12"/>
      <c r="R537" s="12"/>
      <c r="S537" s="23">
        <v>62.2</v>
      </c>
      <c r="T537" s="23"/>
      <c r="U537" s="23"/>
      <c r="V537" s="8" t="s">
        <v>197</v>
      </c>
    </row>
    <row r="538" spans="2:22" hidden="1">
      <c r="B538" t="s">
        <v>193</v>
      </c>
      <c r="C538" t="s">
        <v>220</v>
      </c>
      <c r="E538">
        <v>2000</v>
      </c>
      <c r="F538" s="12" t="s">
        <v>620</v>
      </c>
      <c r="H538" t="s">
        <v>223</v>
      </c>
      <c r="I538" t="s">
        <v>224</v>
      </c>
      <c r="K538" t="s">
        <v>198</v>
      </c>
      <c r="L538"/>
      <c r="O538" t="s">
        <v>130</v>
      </c>
      <c r="P538" t="s">
        <v>31</v>
      </c>
      <c r="Q538" s="12"/>
      <c r="R538" s="12"/>
      <c r="S538" s="23">
        <v>33.799999999999997</v>
      </c>
      <c r="T538" s="23"/>
      <c r="U538" s="23"/>
      <c r="V538" s="8" t="s">
        <v>197</v>
      </c>
    </row>
    <row r="539" spans="2:22" hidden="1">
      <c r="B539" t="s">
        <v>193</v>
      </c>
      <c r="C539" t="s">
        <v>220</v>
      </c>
      <c r="D539" t="s">
        <v>749</v>
      </c>
      <c r="E539">
        <v>2000</v>
      </c>
      <c r="F539" s="12" t="s">
        <v>620</v>
      </c>
      <c r="G539" s="12" t="s">
        <v>732</v>
      </c>
      <c r="H539" t="s">
        <v>225</v>
      </c>
      <c r="I539" t="s">
        <v>226</v>
      </c>
      <c r="K539" t="s">
        <v>196</v>
      </c>
      <c r="L539"/>
      <c r="O539" t="s">
        <v>26</v>
      </c>
      <c r="P539" t="s">
        <v>27</v>
      </c>
      <c r="Q539" s="12"/>
      <c r="R539" s="12"/>
      <c r="S539" s="23">
        <v>50.3</v>
      </c>
      <c r="T539" s="23"/>
      <c r="U539" s="23"/>
      <c r="V539" s="8" t="s">
        <v>197</v>
      </c>
    </row>
    <row r="540" spans="2:22" hidden="1">
      <c r="B540" t="s">
        <v>193</v>
      </c>
      <c r="C540" t="s">
        <v>220</v>
      </c>
      <c r="E540">
        <v>2000</v>
      </c>
      <c r="F540" s="12" t="s">
        <v>620</v>
      </c>
      <c r="H540" t="s">
        <v>225</v>
      </c>
      <c r="I540" t="s">
        <v>226</v>
      </c>
      <c r="K540" t="s">
        <v>196</v>
      </c>
      <c r="L540"/>
      <c r="O540" t="s">
        <v>130</v>
      </c>
      <c r="P540" t="s">
        <v>31</v>
      </c>
      <c r="Q540" s="12"/>
      <c r="R540" s="12"/>
      <c r="S540" s="23">
        <v>9.4</v>
      </c>
      <c r="T540" s="23"/>
      <c r="U540" s="23"/>
      <c r="V540" s="8" t="s">
        <v>197</v>
      </c>
    </row>
    <row r="541" spans="2:22" hidden="1">
      <c r="B541" t="s">
        <v>193</v>
      </c>
      <c r="C541" t="s">
        <v>220</v>
      </c>
      <c r="D541" t="s">
        <v>749</v>
      </c>
      <c r="E541">
        <v>2000</v>
      </c>
      <c r="F541" s="12" t="s">
        <v>620</v>
      </c>
      <c r="G541" s="12" t="s">
        <v>732</v>
      </c>
      <c r="H541" t="s">
        <v>225</v>
      </c>
      <c r="I541" t="s">
        <v>226</v>
      </c>
      <c r="K541" t="s">
        <v>198</v>
      </c>
      <c r="L541"/>
      <c r="O541" t="s">
        <v>26</v>
      </c>
      <c r="P541" t="s">
        <v>27</v>
      </c>
      <c r="Q541" s="12"/>
      <c r="R541" s="12"/>
      <c r="S541" s="23">
        <v>57.8</v>
      </c>
      <c r="T541" s="23"/>
      <c r="U541" s="23"/>
      <c r="V541" s="8" t="s">
        <v>197</v>
      </c>
    </row>
    <row r="542" spans="2:22" hidden="1">
      <c r="B542" t="s">
        <v>193</v>
      </c>
      <c r="C542" t="s">
        <v>220</v>
      </c>
      <c r="E542">
        <v>2000</v>
      </c>
      <c r="F542" s="12" t="s">
        <v>620</v>
      </c>
      <c r="H542" t="s">
        <v>225</v>
      </c>
      <c r="I542" t="s">
        <v>226</v>
      </c>
      <c r="K542" t="s">
        <v>198</v>
      </c>
      <c r="L542"/>
      <c r="O542" t="s">
        <v>130</v>
      </c>
      <c r="P542" t="s">
        <v>31</v>
      </c>
      <c r="Q542" s="12"/>
      <c r="R542" s="12"/>
      <c r="S542" s="23">
        <v>31.8</v>
      </c>
      <c r="T542" s="23"/>
      <c r="U542" s="23"/>
      <c r="V542" s="8" t="s">
        <v>197</v>
      </c>
    </row>
    <row r="543" spans="2:22" hidden="1">
      <c r="B543" t="s">
        <v>193</v>
      </c>
      <c r="C543" t="s">
        <v>220</v>
      </c>
      <c r="D543" t="s">
        <v>749</v>
      </c>
      <c r="E543">
        <v>2000</v>
      </c>
      <c r="F543" s="12" t="s">
        <v>620</v>
      </c>
      <c r="G543" s="12" t="s">
        <v>732</v>
      </c>
      <c r="H543" t="s">
        <v>176</v>
      </c>
      <c r="I543" t="s">
        <v>227</v>
      </c>
      <c r="K543" t="s">
        <v>196</v>
      </c>
      <c r="L543"/>
      <c r="O543" t="s">
        <v>26</v>
      </c>
      <c r="P543" t="s">
        <v>27</v>
      </c>
      <c r="Q543" s="12"/>
      <c r="R543" s="12"/>
      <c r="S543" s="23">
        <v>58.1</v>
      </c>
      <c r="T543" s="23"/>
      <c r="U543" s="23"/>
      <c r="V543" s="8" t="s">
        <v>197</v>
      </c>
    </row>
    <row r="544" spans="2:22" hidden="1">
      <c r="B544" t="s">
        <v>193</v>
      </c>
      <c r="C544" t="s">
        <v>220</v>
      </c>
      <c r="E544">
        <v>2000</v>
      </c>
      <c r="F544" s="12" t="s">
        <v>620</v>
      </c>
      <c r="H544" t="s">
        <v>176</v>
      </c>
      <c r="I544" t="s">
        <v>227</v>
      </c>
      <c r="K544" t="s">
        <v>196</v>
      </c>
      <c r="L544"/>
      <c r="O544" t="s">
        <v>130</v>
      </c>
      <c r="P544" t="s">
        <v>31</v>
      </c>
      <c r="Q544" s="12"/>
      <c r="R544" s="12"/>
      <c r="S544" s="23">
        <v>18.899999999999999</v>
      </c>
      <c r="T544" s="23"/>
      <c r="U544" s="23"/>
      <c r="V544" s="8" t="s">
        <v>197</v>
      </c>
    </row>
    <row r="545" spans="2:22" hidden="1">
      <c r="B545" t="s">
        <v>193</v>
      </c>
      <c r="C545" t="s">
        <v>220</v>
      </c>
      <c r="E545">
        <v>2000</v>
      </c>
      <c r="F545" s="12" t="s">
        <v>620</v>
      </c>
      <c r="H545" t="s">
        <v>176</v>
      </c>
      <c r="I545" t="s">
        <v>227</v>
      </c>
      <c r="K545" t="s">
        <v>198</v>
      </c>
      <c r="L545"/>
      <c r="O545" t="s">
        <v>26</v>
      </c>
      <c r="P545" t="s">
        <v>27</v>
      </c>
      <c r="Q545" s="12"/>
      <c r="R545" s="12"/>
      <c r="S545" s="23">
        <v>34.4</v>
      </c>
      <c r="T545" s="23"/>
      <c r="U545" s="23"/>
      <c r="V545" s="8" t="s">
        <v>197</v>
      </c>
    </row>
    <row r="546" spans="2:22" hidden="1">
      <c r="B546" t="s">
        <v>193</v>
      </c>
      <c r="C546" t="s">
        <v>220</v>
      </c>
      <c r="E546">
        <v>2000</v>
      </c>
      <c r="F546" s="12" t="s">
        <v>620</v>
      </c>
      <c r="H546" t="s">
        <v>176</v>
      </c>
      <c r="I546" t="s">
        <v>227</v>
      </c>
      <c r="K546" t="s">
        <v>198</v>
      </c>
      <c r="L546"/>
      <c r="O546" t="s">
        <v>130</v>
      </c>
      <c r="P546" t="s">
        <v>31</v>
      </c>
      <c r="Q546" s="12"/>
      <c r="R546" s="12"/>
      <c r="S546" s="23">
        <v>53.7</v>
      </c>
      <c r="T546" s="23"/>
      <c r="U546" s="23"/>
      <c r="V546" s="8" t="s">
        <v>197</v>
      </c>
    </row>
    <row r="547" spans="2:22" hidden="1">
      <c r="B547" t="s">
        <v>193</v>
      </c>
      <c r="C547" t="s">
        <v>220</v>
      </c>
      <c r="E547">
        <v>2001</v>
      </c>
      <c r="F547" s="12" t="s">
        <v>620</v>
      </c>
      <c r="H547" t="s">
        <v>221</v>
      </c>
      <c r="I547" t="s">
        <v>222</v>
      </c>
      <c r="K547" t="s">
        <v>196</v>
      </c>
      <c r="L547"/>
      <c r="O547" t="s">
        <v>26</v>
      </c>
      <c r="P547" t="s">
        <v>27</v>
      </c>
      <c r="Q547" s="12"/>
      <c r="R547" s="12"/>
      <c r="S547" s="23">
        <v>37.9</v>
      </c>
      <c r="T547" s="23"/>
      <c r="U547" s="23"/>
      <c r="V547" s="8" t="s">
        <v>197</v>
      </c>
    </row>
    <row r="548" spans="2:22" hidden="1">
      <c r="B548" t="s">
        <v>193</v>
      </c>
      <c r="C548" t="s">
        <v>220</v>
      </c>
      <c r="E548">
        <v>2001</v>
      </c>
      <c r="F548" s="12" t="s">
        <v>620</v>
      </c>
      <c r="H548" t="s">
        <v>221</v>
      </c>
      <c r="I548" t="s">
        <v>222</v>
      </c>
      <c r="K548" t="s">
        <v>196</v>
      </c>
      <c r="L548"/>
      <c r="O548" t="s">
        <v>130</v>
      </c>
      <c r="P548" t="s">
        <v>31</v>
      </c>
      <c r="Q548" s="12"/>
      <c r="R548" s="12"/>
      <c r="S548" s="23">
        <v>18.8</v>
      </c>
      <c r="T548" s="23"/>
      <c r="U548" s="23"/>
      <c r="V548" s="8" t="s">
        <v>197</v>
      </c>
    </row>
    <row r="549" spans="2:22" hidden="1">
      <c r="B549" t="s">
        <v>193</v>
      </c>
      <c r="C549" t="s">
        <v>220</v>
      </c>
      <c r="E549">
        <v>2001</v>
      </c>
      <c r="F549" s="12" t="s">
        <v>620</v>
      </c>
      <c r="H549" t="s">
        <v>221</v>
      </c>
      <c r="I549" t="s">
        <v>222</v>
      </c>
      <c r="K549" t="s">
        <v>198</v>
      </c>
      <c r="L549"/>
      <c r="O549" t="s">
        <v>26</v>
      </c>
      <c r="P549" t="s">
        <v>27</v>
      </c>
      <c r="Q549" s="12"/>
      <c r="R549" s="12"/>
      <c r="S549" s="23">
        <v>44.2</v>
      </c>
      <c r="T549" s="23"/>
      <c r="U549" s="23"/>
      <c r="V549" s="8" t="s">
        <v>197</v>
      </c>
    </row>
    <row r="550" spans="2:22" hidden="1">
      <c r="B550" t="s">
        <v>193</v>
      </c>
      <c r="C550" t="s">
        <v>220</v>
      </c>
      <c r="E550">
        <v>2001</v>
      </c>
      <c r="F550" s="12" t="s">
        <v>620</v>
      </c>
      <c r="H550" t="s">
        <v>221</v>
      </c>
      <c r="I550" t="s">
        <v>222</v>
      </c>
      <c r="K550" t="s">
        <v>198</v>
      </c>
      <c r="L550"/>
      <c r="O550" t="s">
        <v>130</v>
      </c>
      <c r="P550" t="s">
        <v>31</v>
      </c>
      <c r="Q550" s="12"/>
      <c r="R550" s="12"/>
      <c r="S550" s="23">
        <v>45.9</v>
      </c>
      <c r="T550" s="23"/>
      <c r="U550" s="23"/>
      <c r="V550" s="8" t="s">
        <v>197</v>
      </c>
    </row>
    <row r="551" spans="2:22" hidden="1">
      <c r="B551" t="s">
        <v>193</v>
      </c>
      <c r="C551" t="s">
        <v>220</v>
      </c>
      <c r="E551">
        <v>2001</v>
      </c>
      <c r="F551" s="12" t="s">
        <v>620</v>
      </c>
      <c r="H551" t="s">
        <v>223</v>
      </c>
      <c r="I551" t="s">
        <v>224</v>
      </c>
      <c r="K551" t="s">
        <v>196</v>
      </c>
      <c r="L551"/>
      <c r="O551" t="s">
        <v>26</v>
      </c>
      <c r="P551" t="s">
        <v>27</v>
      </c>
      <c r="Q551" s="12"/>
      <c r="R551" s="12"/>
      <c r="S551" s="23">
        <v>55.9</v>
      </c>
      <c r="T551" s="23"/>
      <c r="U551" s="23"/>
      <c r="V551" s="8" t="s">
        <v>197</v>
      </c>
    </row>
    <row r="552" spans="2:22" hidden="1">
      <c r="B552" t="s">
        <v>193</v>
      </c>
      <c r="C552" t="s">
        <v>220</v>
      </c>
      <c r="E552">
        <v>2001</v>
      </c>
      <c r="F552" s="12" t="s">
        <v>620</v>
      </c>
      <c r="H552" t="s">
        <v>223</v>
      </c>
      <c r="I552" t="s">
        <v>224</v>
      </c>
      <c r="K552" t="s">
        <v>196</v>
      </c>
      <c r="L552"/>
      <c r="O552" t="s">
        <v>130</v>
      </c>
      <c r="P552" t="s">
        <v>31</v>
      </c>
      <c r="Q552" s="12"/>
      <c r="R552" s="12"/>
      <c r="S552" s="23">
        <v>19.7</v>
      </c>
      <c r="T552" s="23"/>
      <c r="U552" s="23"/>
      <c r="V552" s="8" t="s">
        <v>197</v>
      </c>
    </row>
    <row r="553" spans="2:22" hidden="1">
      <c r="B553" t="s">
        <v>193</v>
      </c>
      <c r="C553" t="s">
        <v>220</v>
      </c>
      <c r="E553">
        <v>2001</v>
      </c>
      <c r="F553" s="12" t="s">
        <v>620</v>
      </c>
      <c r="H553" t="s">
        <v>223</v>
      </c>
      <c r="I553" t="s">
        <v>224</v>
      </c>
      <c r="K553" t="s">
        <v>198</v>
      </c>
      <c r="L553"/>
      <c r="O553" t="s">
        <v>26</v>
      </c>
      <c r="P553" t="s">
        <v>27</v>
      </c>
      <c r="Q553" s="12"/>
      <c r="R553" s="12"/>
      <c r="S553" s="23">
        <v>60.9</v>
      </c>
      <c r="T553" s="23"/>
      <c r="U553" s="23"/>
      <c r="V553" s="8" t="s">
        <v>197</v>
      </c>
    </row>
    <row r="554" spans="2:22" hidden="1">
      <c r="B554" t="s">
        <v>193</v>
      </c>
      <c r="C554" t="s">
        <v>220</v>
      </c>
      <c r="E554">
        <v>2001</v>
      </c>
      <c r="F554" s="12" t="s">
        <v>620</v>
      </c>
      <c r="H554" t="s">
        <v>223</v>
      </c>
      <c r="I554" t="s">
        <v>224</v>
      </c>
      <c r="K554" t="s">
        <v>198</v>
      </c>
      <c r="L554"/>
      <c r="O554" t="s">
        <v>130</v>
      </c>
      <c r="P554" t="s">
        <v>31</v>
      </c>
      <c r="Q554" s="12"/>
      <c r="R554" s="12"/>
      <c r="S554" s="23">
        <v>25</v>
      </c>
      <c r="T554" s="23"/>
      <c r="U554" s="23"/>
      <c r="V554" s="8" t="s">
        <v>197</v>
      </c>
    </row>
    <row r="555" spans="2:22" hidden="1">
      <c r="B555" t="s">
        <v>193</v>
      </c>
      <c r="C555" t="s">
        <v>220</v>
      </c>
      <c r="E555">
        <v>2001</v>
      </c>
      <c r="F555" s="12" t="s">
        <v>620</v>
      </c>
      <c r="H555" t="s">
        <v>225</v>
      </c>
      <c r="I555" t="s">
        <v>226</v>
      </c>
      <c r="K555" t="s">
        <v>196</v>
      </c>
      <c r="L555"/>
      <c r="O555" t="s">
        <v>26</v>
      </c>
      <c r="P555" t="s">
        <v>27</v>
      </c>
      <c r="Q555" s="12"/>
      <c r="R555" s="12"/>
      <c r="S555" s="23">
        <v>44.1</v>
      </c>
      <c r="T555" s="23"/>
      <c r="U555" s="23"/>
      <c r="V555" s="8" t="s">
        <v>197</v>
      </c>
    </row>
    <row r="556" spans="2:22" hidden="1">
      <c r="B556" t="s">
        <v>193</v>
      </c>
      <c r="C556" t="s">
        <v>220</v>
      </c>
      <c r="E556">
        <v>2001</v>
      </c>
      <c r="F556" s="12" t="s">
        <v>620</v>
      </c>
      <c r="H556" t="s">
        <v>225</v>
      </c>
      <c r="I556" t="s">
        <v>226</v>
      </c>
      <c r="K556" t="s">
        <v>196</v>
      </c>
      <c r="L556"/>
      <c r="O556" t="s">
        <v>130</v>
      </c>
      <c r="P556" t="s">
        <v>31</v>
      </c>
      <c r="Q556" s="12"/>
      <c r="R556" s="12"/>
      <c r="S556" s="23">
        <v>7.6</v>
      </c>
      <c r="T556" s="23"/>
      <c r="U556" s="23"/>
      <c r="V556" s="8" t="s">
        <v>197</v>
      </c>
    </row>
    <row r="557" spans="2:22" hidden="1">
      <c r="B557" t="s">
        <v>193</v>
      </c>
      <c r="C557" t="s">
        <v>220</v>
      </c>
      <c r="E557">
        <v>2001</v>
      </c>
      <c r="F557" s="12" t="s">
        <v>620</v>
      </c>
      <c r="H557" t="s">
        <v>225</v>
      </c>
      <c r="I557" t="s">
        <v>226</v>
      </c>
      <c r="K557" t="s">
        <v>198</v>
      </c>
      <c r="L557"/>
      <c r="O557" t="s">
        <v>26</v>
      </c>
      <c r="P557" t="s">
        <v>27</v>
      </c>
      <c r="Q557" s="12"/>
      <c r="R557" s="12"/>
      <c r="S557" s="23">
        <v>49.4</v>
      </c>
      <c r="T557" s="23"/>
      <c r="U557" s="23"/>
      <c r="V557" s="8" t="s">
        <v>197</v>
      </c>
    </row>
    <row r="558" spans="2:22" hidden="1">
      <c r="B558" t="s">
        <v>193</v>
      </c>
      <c r="C558" t="s">
        <v>220</v>
      </c>
      <c r="E558">
        <v>2001</v>
      </c>
      <c r="F558" s="12" t="s">
        <v>620</v>
      </c>
      <c r="H558" t="s">
        <v>225</v>
      </c>
      <c r="I558" t="s">
        <v>226</v>
      </c>
      <c r="K558" t="s">
        <v>198</v>
      </c>
      <c r="L558"/>
      <c r="O558" t="s">
        <v>130</v>
      </c>
      <c r="P558" t="s">
        <v>31</v>
      </c>
      <c r="Q558" s="12"/>
      <c r="R558" s="12"/>
      <c r="S558" s="23">
        <v>38.6</v>
      </c>
      <c r="T558" s="23"/>
      <c r="U558" s="23"/>
      <c r="V558" s="8" t="s">
        <v>197</v>
      </c>
    </row>
    <row r="559" spans="2:22" hidden="1">
      <c r="B559" t="s">
        <v>193</v>
      </c>
      <c r="C559" t="s">
        <v>220</v>
      </c>
      <c r="E559">
        <v>2001</v>
      </c>
      <c r="F559" s="12" t="s">
        <v>620</v>
      </c>
      <c r="H559" t="s">
        <v>176</v>
      </c>
      <c r="I559" t="s">
        <v>227</v>
      </c>
      <c r="K559" t="s">
        <v>196</v>
      </c>
      <c r="L559"/>
      <c r="O559" t="s">
        <v>26</v>
      </c>
      <c r="P559" t="s">
        <v>27</v>
      </c>
      <c r="Q559" s="12"/>
      <c r="R559" s="12"/>
      <c r="S559" s="23">
        <v>63.6</v>
      </c>
      <c r="T559" s="23"/>
      <c r="U559" s="23"/>
      <c r="V559" s="8" t="s">
        <v>197</v>
      </c>
    </row>
    <row r="560" spans="2:22" hidden="1">
      <c r="B560" t="s">
        <v>193</v>
      </c>
      <c r="C560" t="s">
        <v>220</v>
      </c>
      <c r="E560">
        <v>2001</v>
      </c>
      <c r="F560" s="12" t="s">
        <v>620</v>
      </c>
      <c r="H560" t="s">
        <v>176</v>
      </c>
      <c r="I560" t="s">
        <v>227</v>
      </c>
      <c r="K560" t="s">
        <v>196</v>
      </c>
      <c r="L560"/>
      <c r="O560" t="s">
        <v>130</v>
      </c>
      <c r="P560" t="s">
        <v>31</v>
      </c>
      <c r="Q560" s="12"/>
      <c r="R560" s="12"/>
      <c r="S560" s="23">
        <v>0</v>
      </c>
      <c r="T560" s="23"/>
      <c r="U560" s="23"/>
      <c r="V560" s="8" t="s">
        <v>197</v>
      </c>
    </row>
    <row r="561" spans="2:22" hidden="1">
      <c r="B561" t="s">
        <v>193</v>
      </c>
      <c r="C561" t="s">
        <v>220</v>
      </c>
      <c r="E561">
        <v>2001</v>
      </c>
      <c r="F561" s="12" t="s">
        <v>620</v>
      </c>
      <c r="H561" t="s">
        <v>176</v>
      </c>
      <c r="I561" t="s">
        <v>227</v>
      </c>
      <c r="K561" t="s">
        <v>198</v>
      </c>
      <c r="L561"/>
      <c r="O561" t="s">
        <v>26</v>
      </c>
      <c r="P561" t="s">
        <v>27</v>
      </c>
      <c r="Q561" s="12"/>
      <c r="R561" s="12"/>
      <c r="S561" s="23">
        <v>42.8</v>
      </c>
      <c r="T561" s="23"/>
      <c r="U561" s="23"/>
      <c r="V561" s="8" t="s">
        <v>197</v>
      </c>
    </row>
    <row r="562" spans="2:22" hidden="1">
      <c r="B562" t="s">
        <v>193</v>
      </c>
      <c r="C562" t="s">
        <v>220</v>
      </c>
      <c r="E562">
        <v>2001</v>
      </c>
      <c r="F562" s="12" t="s">
        <v>620</v>
      </c>
      <c r="H562" t="s">
        <v>176</v>
      </c>
      <c r="I562" t="s">
        <v>227</v>
      </c>
      <c r="K562" t="s">
        <v>198</v>
      </c>
      <c r="L562"/>
      <c r="O562" t="s">
        <v>130</v>
      </c>
      <c r="P562" t="s">
        <v>31</v>
      </c>
      <c r="Q562" s="12"/>
      <c r="R562" s="12"/>
      <c r="S562" s="23">
        <v>47.4</v>
      </c>
      <c r="T562" s="23"/>
      <c r="U562" s="23"/>
      <c r="V562" s="8" t="s">
        <v>197</v>
      </c>
    </row>
    <row r="563" spans="2:22" hidden="1">
      <c r="B563" t="s">
        <v>193</v>
      </c>
      <c r="C563" t="s">
        <v>220</v>
      </c>
      <c r="E563">
        <v>2002</v>
      </c>
      <c r="F563" s="12" t="s">
        <v>620</v>
      </c>
      <c r="H563" t="s">
        <v>221</v>
      </c>
      <c r="I563" t="s">
        <v>222</v>
      </c>
      <c r="K563" t="s">
        <v>196</v>
      </c>
      <c r="L563"/>
      <c r="O563" t="s">
        <v>26</v>
      </c>
      <c r="P563" t="s">
        <v>27</v>
      </c>
      <c r="Q563" s="12"/>
      <c r="R563" s="12"/>
      <c r="S563" s="23">
        <v>37.9</v>
      </c>
      <c r="T563" s="23"/>
      <c r="U563" s="23"/>
      <c r="V563" s="8" t="s">
        <v>197</v>
      </c>
    </row>
    <row r="564" spans="2:22" hidden="1">
      <c r="B564" t="s">
        <v>193</v>
      </c>
      <c r="C564" t="s">
        <v>220</v>
      </c>
      <c r="E564">
        <v>2002</v>
      </c>
      <c r="F564" s="12" t="s">
        <v>620</v>
      </c>
      <c r="H564" t="s">
        <v>221</v>
      </c>
      <c r="I564" t="s">
        <v>222</v>
      </c>
      <c r="K564" t="s">
        <v>196</v>
      </c>
      <c r="L564"/>
      <c r="O564" t="s">
        <v>130</v>
      </c>
      <c r="P564" t="s">
        <v>31</v>
      </c>
      <c r="Q564" s="12"/>
      <c r="R564" s="12"/>
      <c r="S564" s="23">
        <v>29.4</v>
      </c>
      <c r="T564" s="23"/>
      <c r="U564" s="23"/>
      <c r="V564" s="8" t="s">
        <v>197</v>
      </c>
    </row>
    <row r="565" spans="2:22" hidden="1">
      <c r="B565" t="s">
        <v>193</v>
      </c>
      <c r="C565" t="s">
        <v>220</v>
      </c>
      <c r="E565">
        <v>2002</v>
      </c>
      <c r="F565" s="12" t="s">
        <v>620</v>
      </c>
      <c r="H565" t="s">
        <v>221</v>
      </c>
      <c r="I565" t="s">
        <v>222</v>
      </c>
      <c r="K565" t="s">
        <v>198</v>
      </c>
      <c r="L565"/>
      <c r="O565" t="s">
        <v>26</v>
      </c>
      <c r="P565" t="s">
        <v>27</v>
      </c>
      <c r="Q565" s="12"/>
      <c r="R565" s="12"/>
      <c r="S565" s="23">
        <v>36.4</v>
      </c>
      <c r="T565" s="23"/>
      <c r="U565" s="23"/>
      <c r="V565" s="8" t="s">
        <v>197</v>
      </c>
    </row>
    <row r="566" spans="2:22" hidden="1">
      <c r="B566" t="s">
        <v>193</v>
      </c>
      <c r="C566" t="s">
        <v>220</v>
      </c>
      <c r="E566">
        <v>2002</v>
      </c>
      <c r="F566" s="12" t="s">
        <v>620</v>
      </c>
      <c r="H566" t="s">
        <v>221</v>
      </c>
      <c r="I566" t="s">
        <v>222</v>
      </c>
      <c r="K566" t="s">
        <v>198</v>
      </c>
      <c r="L566"/>
      <c r="O566" t="s">
        <v>130</v>
      </c>
      <c r="P566" t="s">
        <v>31</v>
      </c>
      <c r="Q566" s="12"/>
      <c r="R566" s="12"/>
      <c r="S566" s="23">
        <v>52.2</v>
      </c>
      <c r="T566" s="23"/>
      <c r="U566" s="23"/>
      <c r="V566" s="8" t="s">
        <v>197</v>
      </c>
    </row>
    <row r="567" spans="2:22" hidden="1">
      <c r="B567" t="s">
        <v>193</v>
      </c>
      <c r="C567" t="s">
        <v>220</v>
      </c>
      <c r="E567">
        <v>2002</v>
      </c>
      <c r="F567" s="12" t="s">
        <v>620</v>
      </c>
      <c r="H567" t="s">
        <v>223</v>
      </c>
      <c r="I567" t="s">
        <v>224</v>
      </c>
      <c r="K567" t="s">
        <v>196</v>
      </c>
      <c r="L567"/>
      <c r="O567" t="s">
        <v>26</v>
      </c>
      <c r="P567" t="s">
        <v>27</v>
      </c>
      <c r="Q567" s="12"/>
      <c r="R567" s="12"/>
      <c r="S567" s="23">
        <v>49.8</v>
      </c>
      <c r="T567" s="23"/>
      <c r="U567" s="23"/>
      <c r="V567" s="8" t="s">
        <v>197</v>
      </c>
    </row>
    <row r="568" spans="2:22" hidden="1">
      <c r="B568" t="s">
        <v>193</v>
      </c>
      <c r="C568" t="s">
        <v>220</v>
      </c>
      <c r="E568">
        <v>2002</v>
      </c>
      <c r="F568" s="12" t="s">
        <v>620</v>
      </c>
      <c r="H568" t="s">
        <v>223</v>
      </c>
      <c r="I568" t="s">
        <v>224</v>
      </c>
      <c r="K568" t="s">
        <v>196</v>
      </c>
      <c r="L568"/>
      <c r="O568" t="s">
        <v>130</v>
      </c>
      <c r="P568" t="s">
        <v>31</v>
      </c>
      <c r="Q568" s="12"/>
      <c r="R568" s="12"/>
      <c r="S568" s="23">
        <v>33.6</v>
      </c>
      <c r="T568" s="23"/>
      <c r="U568" s="23"/>
      <c r="V568" s="8" t="s">
        <v>197</v>
      </c>
    </row>
    <row r="569" spans="2:22" hidden="1">
      <c r="B569" t="s">
        <v>193</v>
      </c>
      <c r="C569" t="s">
        <v>220</v>
      </c>
      <c r="E569">
        <v>2002</v>
      </c>
      <c r="F569" s="12" t="s">
        <v>620</v>
      </c>
      <c r="H569" t="s">
        <v>223</v>
      </c>
      <c r="I569" t="s">
        <v>224</v>
      </c>
      <c r="K569" t="s">
        <v>198</v>
      </c>
      <c r="L569"/>
      <c r="O569" t="s">
        <v>26</v>
      </c>
      <c r="P569" t="s">
        <v>27</v>
      </c>
      <c r="Q569" s="12"/>
      <c r="R569" s="12"/>
      <c r="S569" s="23">
        <v>61.2</v>
      </c>
      <c r="T569" s="23"/>
      <c r="U569" s="23"/>
      <c r="V569" s="8" t="s">
        <v>197</v>
      </c>
    </row>
    <row r="570" spans="2:22" hidden="1">
      <c r="B570" t="s">
        <v>193</v>
      </c>
      <c r="C570" t="s">
        <v>220</v>
      </c>
      <c r="E570">
        <v>2002</v>
      </c>
      <c r="F570" s="12" t="s">
        <v>620</v>
      </c>
      <c r="H570" t="s">
        <v>223</v>
      </c>
      <c r="I570" t="s">
        <v>224</v>
      </c>
      <c r="K570" t="s">
        <v>198</v>
      </c>
      <c r="L570"/>
      <c r="O570" t="s">
        <v>130</v>
      </c>
      <c r="P570" t="s">
        <v>31</v>
      </c>
      <c r="Q570" s="12"/>
      <c r="R570" s="12"/>
      <c r="S570" s="23">
        <v>27.5</v>
      </c>
      <c r="T570" s="23"/>
      <c r="U570" s="23"/>
      <c r="V570" s="8" t="s">
        <v>197</v>
      </c>
    </row>
    <row r="571" spans="2:22" hidden="1">
      <c r="B571" t="s">
        <v>238</v>
      </c>
      <c r="C571" t="s">
        <v>220</v>
      </c>
      <c r="D571" t="s">
        <v>749</v>
      </c>
      <c r="E571" s="12" t="s">
        <v>239</v>
      </c>
      <c r="F571" s="12" t="s">
        <v>622</v>
      </c>
      <c r="G571" s="32" t="s">
        <v>732</v>
      </c>
      <c r="H571" t="s">
        <v>240</v>
      </c>
      <c r="I571" t="s">
        <v>241</v>
      </c>
      <c r="L571"/>
      <c r="M571" t="s">
        <v>242</v>
      </c>
      <c r="N571" t="s">
        <v>243</v>
      </c>
      <c r="O571" t="s">
        <v>244</v>
      </c>
      <c r="P571" t="s">
        <v>27</v>
      </c>
      <c r="Q571" s="12"/>
      <c r="R571" s="12"/>
      <c r="S571" s="23">
        <v>31</v>
      </c>
      <c r="T571" s="23">
        <v>19</v>
      </c>
      <c r="U571" s="23"/>
      <c r="V571" s="8" t="s">
        <v>245</v>
      </c>
    </row>
    <row r="572" spans="2:22" hidden="1">
      <c r="B572" t="s">
        <v>238</v>
      </c>
      <c r="C572" t="s">
        <v>220</v>
      </c>
      <c r="E572" s="12" t="s">
        <v>239</v>
      </c>
      <c r="F572" s="12" t="s">
        <v>622</v>
      </c>
      <c r="G572" s="32" t="s">
        <v>736</v>
      </c>
      <c r="H572" t="s">
        <v>240</v>
      </c>
      <c r="I572" t="s">
        <v>241</v>
      </c>
      <c r="L572"/>
      <c r="M572" t="s">
        <v>242</v>
      </c>
      <c r="N572" t="s">
        <v>243</v>
      </c>
      <c r="O572" t="s">
        <v>246</v>
      </c>
      <c r="P572" t="s">
        <v>31</v>
      </c>
      <c r="Q572" s="12"/>
      <c r="R572" s="12"/>
      <c r="S572" s="23">
        <v>30</v>
      </c>
      <c r="T572" s="23">
        <v>20</v>
      </c>
      <c r="U572" s="23"/>
      <c r="V572" s="8" t="s">
        <v>245</v>
      </c>
    </row>
    <row r="573" spans="2:22" hidden="1">
      <c r="B573" t="s">
        <v>238</v>
      </c>
      <c r="C573" t="s">
        <v>220</v>
      </c>
      <c r="E573" s="12" t="s">
        <v>239</v>
      </c>
      <c r="F573" s="12" t="s">
        <v>622</v>
      </c>
      <c r="G573" s="32" t="s">
        <v>739</v>
      </c>
      <c r="H573" t="s">
        <v>240</v>
      </c>
      <c r="I573" t="s">
        <v>241</v>
      </c>
      <c r="L573"/>
      <c r="M573" t="s">
        <v>242</v>
      </c>
      <c r="N573" t="s">
        <v>243</v>
      </c>
      <c r="O573" t="s">
        <v>247</v>
      </c>
      <c r="Q573" s="12"/>
      <c r="R573" s="12"/>
      <c r="S573" s="23">
        <v>11</v>
      </c>
      <c r="T573" s="23">
        <v>15</v>
      </c>
      <c r="U573" s="23"/>
      <c r="V573" s="8" t="s">
        <v>245</v>
      </c>
    </row>
    <row r="574" spans="2:22" hidden="1">
      <c r="B574" t="s">
        <v>238</v>
      </c>
      <c r="C574" t="s">
        <v>220</v>
      </c>
      <c r="E574" s="12" t="s">
        <v>239</v>
      </c>
      <c r="F574" s="12" t="s">
        <v>622</v>
      </c>
      <c r="G574" s="32" t="s">
        <v>739</v>
      </c>
      <c r="H574" t="s">
        <v>240</v>
      </c>
      <c r="I574" t="s">
        <v>241</v>
      </c>
      <c r="L574"/>
      <c r="M574" t="s">
        <v>242</v>
      </c>
      <c r="N574" t="s">
        <v>243</v>
      </c>
      <c r="O574" t="s">
        <v>248</v>
      </c>
      <c r="Q574" s="12"/>
      <c r="R574" s="12"/>
      <c r="S574" s="23">
        <v>19</v>
      </c>
      <c r="T574" s="23">
        <v>13</v>
      </c>
      <c r="U574" s="23"/>
      <c r="V574" s="8" t="s">
        <v>245</v>
      </c>
    </row>
    <row r="575" spans="2:22" hidden="1">
      <c r="B575" t="s">
        <v>238</v>
      </c>
      <c r="C575" t="s">
        <v>220</v>
      </c>
      <c r="E575" s="12" t="s">
        <v>239</v>
      </c>
      <c r="F575" s="12" t="s">
        <v>622</v>
      </c>
      <c r="G575" s="32" t="s">
        <v>739</v>
      </c>
      <c r="H575" t="s">
        <v>240</v>
      </c>
      <c r="I575" t="s">
        <v>241</v>
      </c>
      <c r="L575"/>
      <c r="M575" t="s">
        <v>242</v>
      </c>
      <c r="N575" t="s">
        <v>243</v>
      </c>
      <c r="O575" t="s">
        <v>249</v>
      </c>
      <c r="Q575" s="12"/>
      <c r="R575" s="12"/>
      <c r="S575" s="23">
        <v>0.96</v>
      </c>
      <c r="T575" s="23">
        <v>0.79</v>
      </c>
      <c r="U575" s="23"/>
      <c r="V575" s="8" t="s">
        <v>245</v>
      </c>
    </row>
    <row r="576" spans="2:22" hidden="1">
      <c r="B576" t="s">
        <v>251</v>
      </c>
      <c r="C576" t="s">
        <v>220</v>
      </c>
      <c r="E576">
        <v>1998</v>
      </c>
      <c r="F576" s="12" t="s">
        <v>620</v>
      </c>
      <c r="H576" t="s">
        <v>241</v>
      </c>
      <c r="I576" t="s">
        <v>252</v>
      </c>
      <c r="K576" t="s">
        <v>196</v>
      </c>
      <c r="L576"/>
      <c r="O576" t="s">
        <v>45</v>
      </c>
      <c r="P576" t="s">
        <v>44</v>
      </c>
      <c r="Q576" s="12"/>
      <c r="R576" s="12"/>
      <c r="S576" s="23">
        <v>14.2</v>
      </c>
      <c r="T576" s="23">
        <v>4.7</v>
      </c>
      <c r="U576" s="23"/>
      <c r="V576" s="8" t="s">
        <v>253</v>
      </c>
    </row>
    <row r="577" spans="2:22" hidden="1">
      <c r="B577" t="s">
        <v>251</v>
      </c>
      <c r="C577" t="s">
        <v>220</v>
      </c>
      <c r="E577">
        <v>1998</v>
      </c>
      <c r="F577" s="12" t="s">
        <v>620</v>
      </c>
      <c r="H577" t="s">
        <v>241</v>
      </c>
      <c r="I577" t="s">
        <v>252</v>
      </c>
      <c r="K577" t="s">
        <v>196</v>
      </c>
      <c r="L577"/>
      <c r="O577" t="s">
        <v>254</v>
      </c>
      <c r="Q577" s="12"/>
      <c r="R577" s="12"/>
      <c r="S577" s="23">
        <v>9.1999999999999993</v>
      </c>
      <c r="T577" s="23">
        <v>3.1</v>
      </c>
      <c r="U577" s="23"/>
      <c r="V577" s="8" t="s">
        <v>253</v>
      </c>
    </row>
    <row r="578" spans="2:22" hidden="1">
      <c r="B578" t="s">
        <v>251</v>
      </c>
      <c r="C578" t="s">
        <v>220</v>
      </c>
      <c r="E578">
        <v>1998</v>
      </c>
      <c r="F578" s="12" t="s">
        <v>620</v>
      </c>
      <c r="H578" t="s">
        <v>241</v>
      </c>
      <c r="I578" t="s">
        <v>252</v>
      </c>
      <c r="K578" t="s">
        <v>196</v>
      </c>
      <c r="L578"/>
      <c r="O578" t="s">
        <v>255</v>
      </c>
      <c r="P578" t="s">
        <v>31</v>
      </c>
      <c r="Q578" s="12"/>
      <c r="R578" s="12"/>
      <c r="S578" s="23">
        <v>11.2</v>
      </c>
      <c r="T578" s="23">
        <v>3.7</v>
      </c>
      <c r="U578" s="23"/>
      <c r="V578" s="8" t="s">
        <v>253</v>
      </c>
    </row>
    <row r="579" spans="2:22" hidden="1">
      <c r="B579" t="s">
        <v>251</v>
      </c>
      <c r="C579" t="s">
        <v>220</v>
      </c>
      <c r="E579">
        <v>1998</v>
      </c>
      <c r="F579" s="12" t="s">
        <v>620</v>
      </c>
      <c r="H579" t="s">
        <v>241</v>
      </c>
      <c r="I579" t="s">
        <v>252</v>
      </c>
      <c r="K579" t="s">
        <v>256</v>
      </c>
      <c r="L579"/>
      <c r="O579" t="s">
        <v>45</v>
      </c>
      <c r="P579" t="s">
        <v>44</v>
      </c>
      <c r="Q579" s="12"/>
      <c r="R579" s="12"/>
      <c r="S579" s="23">
        <v>20.2</v>
      </c>
      <c r="T579" s="23">
        <v>3.1</v>
      </c>
      <c r="U579" s="23"/>
      <c r="V579" s="8" t="s">
        <v>253</v>
      </c>
    </row>
    <row r="580" spans="2:22" hidden="1">
      <c r="B580" t="s">
        <v>251</v>
      </c>
      <c r="C580" t="s">
        <v>220</v>
      </c>
      <c r="E580">
        <v>1998</v>
      </c>
      <c r="F580" s="12" t="s">
        <v>620</v>
      </c>
      <c r="H580" t="s">
        <v>241</v>
      </c>
      <c r="I580" t="s">
        <v>252</v>
      </c>
      <c r="K580" t="s">
        <v>256</v>
      </c>
      <c r="L580"/>
      <c r="O580" t="s">
        <v>254</v>
      </c>
      <c r="Q580" s="12"/>
      <c r="R580" s="12"/>
      <c r="S580" s="23">
        <v>19.2</v>
      </c>
      <c r="T580" s="23">
        <v>2.2000000000000002</v>
      </c>
      <c r="U580" s="23"/>
      <c r="V580" s="8" t="s">
        <v>253</v>
      </c>
    </row>
    <row r="581" spans="2:22" hidden="1">
      <c r="B581" t="s">
        <v>251</v>
      </c>
      <c r="C581" t="s">
        <v>220</v>
      </c>
      <c r="E581">
        <v>1998</v>
      </c>
      <c r="F581" s="12" t="s">
        <v>620</v>
      </c>
      <c r="H581" t="s">
        <v>241</v>
      </c>
      <c r="I581" t="s">
        <v>252</v>
      </c>
      <c r="K581" t="s">
        <v>256</v>
      </c>
      <c r="L581"/>
      <c r="O581" t="s">
        <v>255</v>
      </c>
      <c r="P581" t="s">
        <v>31</v>
      </c>
      <c r="Q581" s="12"/>
      <c r="R581" s="12"/>
      <c r="S581" s="23">
        <v>48.6</v>
      </c>
      <c r="T581" s="23">
        <v>3.6</v>
      </c>
      <c r="U581" s="23"/>
      <c r="V581" s="8" t="s">
        <v>253</v>
      </c>
    </row>
    <row r="582" spans="2:22" hidden="1">
      <c r="B582" t="s">
        <v>251</v>
      </c>
      <c r="C582" t="s">
        <v>220</v>
      </c>
      <c r="E582">
        <v>1998</v>
      </c>
      <c r="F582" s="12" t="s">
        <v>620</v>
      </c>
      <c r="H582" t="s">
        <v>241</v>
      </c>
      <c r="I582" t="s">
        <v>257</v>
      </c>
      <c r="K582" t="s">
        <v>196</v>
      </c>
      <c r="L582"/>
      <c r="O582" t="s">
        <v>45</v>
      </c>
      <c r="P582" t="s">
        <v>44</v>
      </c>
      <c r="Q582" s="12"/>
      <c r="R582" s="12"/>
      <c r="S582" s="23">
        <v>0</v>
      </c>
      <c r="T582" s="23">
        <v>0</v>
      </c>
      <c r="U582" s="23"/>
      <c r="V582" s="8" t="s">
        <v>253</v>
      </c>
    </row>
    <row r="583" spans="2:22" hidden="1">
      <c r="B583" t="s">
        <v>251</v>
      </c>
      <c r="C583" t="s">
        <v>220</v>
      </c>
      <c r="E583">
        <v>1998</v>
      </c>
      <c r="F583" s="12" t="s">
        <v>620</v>
      </c>
      <c r="H583" t="s">
        <v>241</v>
      </c>
      <c r="I583" t="s">
        <v>257</v>
      </c>
      <c r="K583" t="s">
        <v>196</v>
      </c>
      <c r="L583"/>
      <c r="O583" t="s">
        <v>254</v>
      </c>
      <c r="Q583" s="12"/>
      <c r="R583" s="12"/>
      <c r="S583" s="23">
        <v>39.200000000000003</v>
      </c>
      <c r="T583" s="23">
        <v>13.1</v>
      </c>
      <c r="U583" s="23"/>
      <c r="V583" s="8" t="s">
        <v>253</v>
      </c>
    </row>
    <row r="584" spans="2:22" hidden="1">
      <c r="B584" t="s">
        <v>251</v>
      </c>
      <c r="C584" t="s">
        <v>220</v>
      </c>
      <c r="E584">
        <v>1998</v>
      </c>
      <c r="F584" s="12" t="s">
        <v>620</v>
      </c>
      <c r="H584" t="s">
        <v>241</v>
      </c>
      <c r="I584" t="s">
        <v>257</v>
      </c>
      <c r="K584" t="s">
        <v>196</v>
      </c>
      <c r="L584"/>
      <c r="O584" t="s">
        <v>255</v>
      </c>
      <c r="P584" t="s">
        <v>31</v>
      </c>
      <c r="Q584" s="12"/>
      <c r="R584" s="12"/>
      <c r="S584" s="23">
        <v>43.7</v>
      </c>
      <c r="T584" s="23">
        <v>14.6</v>
      </c>
      <c r="U584" s="23"/>
      <c r="V584" s="8" t="s">
        <v>253</v>
      </c>
    </row>
    <row r="585" spans="2:22" hidden="1">
      <c r="B585" t="s">
        <v>251</v>
      </c>
      <c r="C585" t="s">
        <v>220</v>
      </c>
      <c r="E585">
        <v>1998</v>
      </c>
      <c r="F585" s="12" t="s">
        <v>620</v>
      </c>
      <c r="H585" t="s">
        <v>241</v>
      </c>
      <c r="I585" t="s">
        <v>257</v>
      </c>
      <c r="K585" t="s">
        <v>256</v>
      </c>
      <c r="L585"/>
      <c r="O585" t="s">
        <v>45</v>
      </c>
      <c r="P585" t="s">
        <v>44</v>
      </c>
      <c r="Q585" s="12"/>
      <c r="R585" s="12"/>
      <c r="S585" s="23">
        <v>28.3</v>
      </c>
      <c r="T585" s="23">
        <v>6.2</v>
      </c>
      <c r="U585" s="23"/>
      <c r="V585" s="8" t="s">
        <v>253</v>
      </c>
    </row>
    <row r="586" spans="2:22" hidden="1">
      <c r="B586" t="s">
        <v>251</v>
      </c>
      <c r="C586" t="s">
        <v>220</v>
      </c>
      <c r="E586">
        <v>1998</v>
      </c>
      <c r="F586" s="12" t="s">
        <v>620</v>
      </c>
      <c r="H586" t="s">
        <v>241</v>
      </c>
      <c r="I586" t="s">
        <v>257</v>
      </c>
      <c r="K586" t="s">
        <v>256</v>
      </c>
      <c r="L586"/>
      <c r="O586" t="s">
        <v>254</v>
      </c>
      <c r="Q586" s="12"/>
      <c r="R586" s="12"/>
      <c r="S586" s="23">
        <v>20.3</v>
      </c>
      <c r="T586" s="23">
        <v>4.3</v>
      </c>
      <c r="U586" s="23"/>
      <c r="V586" s="8" t="s">
        <v>253</v>
      </c>
    </row>
    <row r="587" spans="2:22" hidden="1">
      <c r="B587" t="s">
        <v>251</v>
      </c>
      <c r="C587" t="s">
        <v>220</v>
      </c>
      <c r="E587">
        <v>1998</v>
      </c>
      <c r="F587" s="12" t="s">
        <v>620</v>
      </c>
      <c r="H587" t="s">
        <v>241</v>
      </c>
      <c r="I587" t="s">
        <v>257</v>
      </c>
      <c r="K587" t="s">
        <v>256</v>
      </c>
      <c r="L587"/>
      <c r="O587" t="s">
        <v>255</v>
      </c>
      <c r="P587" t="s">
        <v>31</v>
      </c>
      <c r="Q587" s="12"/>
      <c r="R587" s="12"/>
      <c r="S587" s="23">
        <v>38.5</v>
      </c>
      <c r="T587" s="23">
        <v>4.8</v>
      </c>
      <c r="U587" s="23"/>
      <c r="V587" s="8" t="s">
        <v>253</v>
      </c>
    </row>
    <row r="588" spans="2:22" hidden="1">
      <c r="B588" t="s">
        <v>251</v>
      </c>
      <c r="C588" t="s">
        <v>220</v>
      </c>
      <c r="E588">
        <v>1999</v>
      </c>
      <c r="F588" s="12" t="s">
        <v>620</v>
      </c>
      <c r="H588" t="s">
        <v>258</v>
      </c>
      <c r="I588" t="s">
        <v>259</v>
      </c>
      <c r="K588" t="s">
        <v>196</v>
      </c>
      <c r="L588"/>
      <c r="O588" t="s">
        <v>45</v>
      </c>
      <c r="P588" t="s">
        <v>44</v>
      </c>
      <c r="Q588" s="12"/>
      <c r="R588" s="12"/>
      <c r="S588" s="23">
        <v>44.2</v>
      </c>
      <c r="T588" s="23">
        <v>16.399999999999999</v>
      </c>
      <c r="U588" s="23"/>
      <c r="V588" s="8" t="s">
        <v>253</v>
      </c>
    </row>
    <row r="589" spans="2:22" hidden="1">
      <c r="B589" t="s">
        <v>251</v>
      </c>
      <c r="C589" t="s">
        <v>220</v>
      </c>
      <c r="E589">
        <v>1999</v>
      </c>
      <c r="F589" s="12" t="s">
        <v>620</v>
      </c>
      <c r="H589" t="s">
        <v>258</v>
      </c>
      <c r="I589" t="s">
        <v>259</v>
      </c>
      <c r="K589" t="s">
        <v>196</v>
      </c>
      <c r="L589"/>
      <c r="O589" t="s">
        <v>254</v>
      </c>
      <c r="Q589" s="12"/>
      <c r="R589" s="12"/>
      <c r="S589" s="23">
        <v>2.2000000000000002</v>
      </c>
      <c r="T589" s="23">
        <v>1</v>
      </c>
      <c r="U589" s="23"/>
      <c r="V589" s="8" t="s">
        <v>253</v>
      </c>
    </row>
    <row r="590" spans="2:22" hidden="1">
      <c r="B590" t="s">
        <v>251</v>
      </c>
      <c r="C590" t="s">
        <v>220</v>
      </c>
      <c r="E590">
        <v>1999</v>
      </c>
      <c r="F590" s="12" t="s">
        <v>620</v>
      </c>
      <c r="H590" t="s">
        <v>258</v>
      </c>
      <c r="I590" t="s">
        <v>259</v>
      </c>
      <c r="K590" t="s">
        <v>196</v>
      </c>
      <c r="L590"/>
      <c r="O590" t="s">
        <v>255</v>
      </c>
      <c r="P590" t="s">
        <v>31</v>
      </c>
      <c r="Q590" s="12"/>
      <c r="R590" s="12"/>
      <c r="S590" s="23">
        <v>15.5</v>
      </c>
      <c r="T590" s="23">
        <v>5.2</v>
      </c>
      <c r="U590" s="23"/>
      <c r="V590" s="8" t="s">
        <v>253</v>
      </c>
    </row>
    <row r="591" spans="2:22" hidden="1">
      <c r="B591" t="s">
        <v>251</v>
      </c>
      <c r="C591" t="s">
        <v>220</v>
      </c>
      <c r="E591">
        <v>1999</v>
      </c>
      <c r="F591" s="12" t="s">
        <v>620</v>
      </c>
      <c r="H591" t="s">
        <v>258</v>
      </c>
      <c r="I591" t="s">
        <v>259</v>
      </c>
      <c r="K591" t="s">
        <v>256</v>
      </c>
      <c r="L591"/>
      <c r="O591" t="s">
        <v>45</v>
      </c>
      <c r="P591" t="s">
        <v>44</v>
      </c>
      <c r="Q591" s="12"/>
      <c r="R591" s="12"/>
      <c r="S591" s="23">
        <v>16.600000000000001</v>
      </c>
      <c r="T591" s="23">
        <v>3.4</v>
      </c>
      <c r="U591" s="23"/>
      <c r="V591" s="8" t="s">
        <v>253</v>
      </c>
    </row>
    <row r="592" spans="2:22" hidden="1">
      <c r="B592" t="s">
        <v>251</v>
      </c>
      <c r="C592" t="s">
        <v>220</v>
      </c>
      <c r="E592">
        <v>1999</v>
      </c>
      <c r="F592" s="12" t="s">
        <v>620</v>
      </c>
      <c r="H592" t="s">
        <v>258</v>
      </c>
      <c r="I592" t="s">
        <v>259</v>
      </c>
      <c r="K592" t="s">
        <v>256</v>
      </c>
      <c r="L592"/>
      <c r="O592" t="s">
        <v>254</v>
      </c>
      <c r="Q592" s="12"/>
      <c r="R592" s="12"/>
      <c r="S592" s="23">
        <v>29.2</v>
      </c>
      <c r="T592" s="23">
        <v>3.6</v>
      </c>
      <c r="U592" s="23"/>
      <c r="V592" s="8" t="s">
        <v>253</v>
      </c>
    </row>
    <row r="593" spans="2:22" hidden="1">
      <c r="B593" t="s">
        <v>251</v>
      </c>
      <c r="C593" t="s">
        <v>220</v>
      </c>
      <c r="E593">
        <v>1999</v>
      </c>
      <c r="F593" s="12" t="s">
        <v>620</v>
      </c>
      <c r="H593" t="s">
        <v>258</v>
      </c>
      <c r="I593" t="s">
        <v>259</v>
      </c>
      <c r="K593" t="s">
        <v>256</v>
      </c>
      <c r="L593"/>
      <c r="O593" t="s">
        <v>255</v>
      </c>
      <c r="P593" t="s">
        <v>31</v>
      </c>
      <c r="Q593" s="12"/>
      <c r="R593" s="12"/>
      <c r="S593" s="23">
        <v>43.2</v>
      </c>
      <c r="T593" s="23">
        <v>1.3</v>
      </c>
      <c r="U593" s="23"/>
      <c r="V593" s="8" t="s">
        <v>253</v>
      </c>
    </row>
    <row r="594" spans="2:22" hidden="1">
      <c r="B594" t="s">
        <v>251</v>
      </c>
      <c r="C594" t="s">
        <v>220</v>
      </c>
      <c r="E594">
        <v>1999</v>
      </c>
      <c r="F594" s="12" t="s">
        <v>620</v>
      </c>
      <c r="H594" t="s">
        <v>258</v>
      </c>
      <c r="I594" t="s">
        <v>260</v>
      </c>
      <c r="K594" t="s">
        <v>196</v>
      </c>
      <c r="L594"/>
      <c r="O594" t="s">
        <v>45</v>
      </c>
      <c r="P594" t="s">
        <v>44</v>
      </c>
      <c r="Q594" s="12"/>
      <c r="R594" s="12"/>
      <c r="S594" s="23">
        <v>47.8</v>
      </c>
      <c r="T594" s="23">
        <v>4.4000000000000004</v>
      </c>
      <c r="U594" s="23"/>
      <c r="V594" s="8" t="s">
        <v>253</v>
      </c>
    </row>
    <row r="595" spans="2:22" hidden="1">
      <c r="B595" t="s">
        <v>251</v>
      </c>
      <c r="C595" t="s">
        <v>220</v>
      </c>
      <c r="E595">
        <v>1999</v>
      </c>
      <c r="F595" s="12" t="s">
        <v>620</v>
      </c>
      <c r="H595" t="s">
        <v>258</v>
      </c>
      <c r="I595" t="s">
        <v>260</v>
      </c>
      <c r="K595" t="s">
        <v>196</v>
      </c>
      <c r="L595"/>
      <c r="O595" t="s">
        <v>254</v>
      </c>
      <c r="Q595" s="12"/>
      <c r="R595" s="12"/>
      <c r="S595" s="23">
        <v>5.6</v>
      </c>
      <c r="T595" s="23">
        <v>2.2999999999999998</v>
      </c>
      <c r="U595" s="23"/>
      <c r="V595" s="8" t="s">
        <v>253</v>
      </c>
    </row>
    <row r="596" spans="2:22" hidden="1">
      <c r="B596" t="s">
        <v>251</v>
      </c>
      <c r="C596" t="s">
        <v>220</v>
      </c>
      <c r="E596">
        <v>1999</v>
      </c>
      <c r="F596" s="12" t="s">
        <v>620</v>
      </c>
      <c r="H596" t="s">
        <v>258</v>
      </c>
      <c r="I596" t="s">
        <v>260</v>
      </c>
      <c r="K596" t="s">
        <v>196</v>
      </c>
      <c r="L596"/>
      <c r="O596" t="s">
        <v>255</v>
      </c>
      <c r="P596" t="s">
        <v>31</v>
      </c>
      <c r="Q596" s="12"/>
      <c r="R596" s="12"/>
      <c r="S596" s="23">
        <v>12.3</v>
      </c>
      <c r="T596" s="23">
        <v>3.9</v>
      </c>
      <c r="U596" s="23"/>
      <c r="V596" s="8" t="s">
        <v>253</v>
      </c>
    </row>
    <row r="597" spans="2:22" hidden="1">
      <c r="B597" t="s">
        <v>251</v>
      </c>
      <c r="C597" t="s">
        <v>220</v>
      </c>
      <c r="E597">
        <v>1999</v>
      </c>
      <c r="F597" s="12" t="s">
        <v>620</v>
      </c>
      <c r="H597" t="s">
        <v>258</v>
      </c>
      <c r="I597" t="s">
        <v>260</v>
      </c>
      <c r="K597" t="s">
        <v>256</v>
      </c>
      <c r="L597"/>
      <c r="O597" t="s">
        <v>45</v>
      </c>
      <c r="P597" t="s">
        <v>44</v>
      </c>
      <c r="Q597" s="12"/>
      <c r="R597" s="12"/>
      <c r="S597" s="23">
        <v>44.4</v>
      </c>
      <c r="T597" s="23">
        <v>55</v>
      </c>
      <c r="U597" s="23"/>
      <c r="V597" s="8" t="s">
        <v>253</v>
      </c>
    </row>
    <row r="598" spans="2:22" hidden="1">
      <c r="B598" t="s">
        <v>251</v>
      </c>
      <c r="C598" t="s">
        <v>220</v>
      </c>
      <c r="E598">
        <v>1999</v>
      </c>
      <c r="F598" s="12" t="s">
        <v>620</v>
      </c>
      <c r="H598" t="s">
        <v>258</v>
      </c>
      <c r="I598" t="s">
        <v>260</v>
      </c>
      <c r="K598" t="s">
        <v>256</v>
      </c>
      <c r="L598"/>
      <c r="O598" t="s">
        <v>254</v>
      </c>
      <c r="Q598" s="12"/>
      <c r="R598" s="12"/>
      <c r="S598" s="23">
        <v>29.1</v>
      </c>
      <c r="T598" s="23">
        <v>2.5</v>
      </c>
      <c r="U598" s="23"/>
      <c r="V598" s="8" t="s">
        <v>253</v>
      </c>
    </row>
    <row r="599" spans="2:22" hidden="1">
      <c r="B599" t="s">
        <v>251</v>
      </c>
      <c r="C599" t="s">
        <v>220</v>
      </c>
      <c r="E599">
        <v>1999</v>
      </c>
      <c r="F599" s="12" t="s">
        <v>620</v>
      </c>
      <c r="H599" t="s">
        <v>258</v>
      </c>
      <c r="I599" t="s">
        <v>260</v>
      </c>
      <c r="K599" t="s">
        <v>256</v>
      </c>
      <c r="L599"/>
      <c r="O599" t="s">
        <v>255</v>
      </c>
      <c r="P599" t="s">
        <v>31</v>
      </c>
      <c r="Q599" s="12"/>
      <c r="R599" s="12"/>
      <c r="S599" s="23">
        <v>18.5</v>
      </c>
      <c r="T599" s="23">
        <v>5</v>
      </c>
      <c r="U599" s="23"/>
      <c r="V599" s="8" t="s">
        <v>253</v>
      </c>
    </row>
    <row r="600" spans="2:22" hidden="1">
      <c r="B600" t="s">
        <v>395</v>
      </c>
      <c r="C600" t="s">
        <v>220</v>
      </c>
      <c r="E600" t="s">
        <v>394</v>
      </c>
      <c r="F600" s="12" t="s">
        <v>622</v>
      </c>
      <c r="H600" t="s">
        <v>220</v>
      </c>
      <c r="I600" t="s">
        <v>392</v>
      </c>
      <c r="L600"/>
      <c r="O600" t="s">
        <v>26</v>
      </c>
      <c r="P600" t="s">
        <v>27</v>
      </c>
      <c r="Q600" s="12"/>
      <c r="R600" s="12"/>
      <c r="S600" s="12">
        <v>42.5</v>
      </c>
      <c r="T600" s="23"/>
      <c r="U600" s="12">
        <v>24.3</v>
      </c>
      <c r="V600" t="s">
        <v>395</v>
      </c>
    </row>
    <row r="601" spans="2:22" hidden="1">
      <c r="B601" t="s">
        <v>395</v>
      </c>
      <c r="C601" t="s">
        <v>220</v>
      </c>
      <c r="E601">
        <v>2005</v>
      </c>
      <c r="F601" s="12" t="s">
        <v>620</v>
      </c>
      <c r="H601" t="s">
        <v>220</v>
      </c>
      <c r="I601" t="s">
        <v>392</v>
      </c>
      <c r="L601"/>
      <c r="O601" t="s">
        <v>26</v>
      </c>
      <c r="P601" t="s">
        <v>27</v>
      </c>
      <c r="Q601" s="12"/>
      <c r="R601" s="12"/>
      <c r="S601" s="12">
        <v>37</v>
      </c>
      <c r="T601" s="23"/>
      <c r="U601" s="12">
        <v>10.9</v>
      </c>
      <c r="V601" t="s">
        <v>395</v>
      </c>
    </row>
    <row r="602" spans="2:22" hidden="1">
      <c r="B602" t="s">
        <v>395</v>
      </c>
      <c r="C602" t="s">
        <v>220</v>
      </c>
      <c r="E602" t="s">
        <v>394</v>
      </c>
      <c r="F602" s="12" t="s">
        <v>622</v>
      </c>
      <c r="H602" t="s">
        <v>220</v>
      </c>
      <c r="I602" t="s">
        <v>393</v>
      </c>
      <c r="L602"/>
      <c r="O602" t="s">
        <v>26</v>
      </c>
      <c r="P602" t="s">
        <v>27</v>
      </c>
      <c r="Q602" s="12"/>
      <c r="R602" s="12"/>
      <c r="S602" s="12">
        <v>42</v>
      </c>
      <c r="T602" s="23"/>
      <c r="U602" s="12">
        <v>5</v>
      </c>
      <c r="V602" t="s">
        <v>395</v>
      </c>
    </row>
    <row r="603" spans="2:22" hidden="1">
      <c r="B603" t="s">
        <v>395</v>
      </c>
      <c r="C603" t="s">
        <v>220</v>
      </c>
      <c r="E603">
        <v>2005</v>
      </c>
      <c r="F603" s="12" t="s">
        <v>620</v>
      </c>
      <c r="H603" t="s">
        <v>220</v>
      </c>
      <c r="I603" t="s">
        <v>393</v>
      </c>
      <c r="L603"/>
      <c r="O603" t="s">
        <v>26</v>
      </c>
      <c r="P603" t="s">
        <v>27</v>
      </c>
      <c r="Q603" s="12"/>
      <c r="R603" s="12"/>
      <c r="S603" s="12">
        <v>28.4</v>
      </c>
      <c r="T603" s="23"/>
      <c r="U603" s="12">
        <v>4.5</v>
      </c>
      <c r="V603" t="s">
        <v>395</v>
      </c>
    </row>
    <row r="604" spans="2:22" hidden="1">
      <c r="B604" t="s">
        <v>494</v>
      </c>
      <c r="C604" t="s">
        <v>220</v>
      </c>
      <c r="D604" t="s">
        <v>749</v>
      </c>
      <c r="E604" s="12" t="s">
        <v>495</v>
      </c>
      <c r="F604" s="12" t="s">
        <v>622</v>
      </c>
      <c r="G604" s="32" t="s">
        <v>732</v>
      </c>
      <c r="I604" t="s">
        <v>507</v>
      </c>
      <c r="L604"/>
      <c r="O604" t="s">
        <v>26</v>
      </c>
      <c r="P604" t="s">
        <v>27</v>
      </c>
      <c r="Q604" s="12"/>
      <c r="R604" s="12">
        <v>2</v>
      </c>
      <c r="S604" s="23">
        <v>42.5</v>
      </c>
      <c r="T604" s="12"/>
      <c r="U604" s="23">
        <v>24.3</v>
      </c>
      <c r="V604" s="8" t="s">
        <v>493</v>
      </c>
    </row>
    <row r="605" spans="2:22" hidden="1">
      <c r="B605" t="s">
        <v>494</v>
      </c>
      <c r="C605" t="s">
        <v>220</v>
      </c>
      <c r="D605" t="s">
        <v>749</v>
      </c>
      <c r="E605" s="12" t="s">
        <v>495</v>
      </c>
      <c r="F605" s="12" t="s">
        <v>622</v>
      </c>
      <c r="G605" s="32" t="s">
        <v>732</v>
      </c>
      <c r="I605" t="s">
        <v>508</v>
      </c>
      <c r="L605"/>
      <c r="O605" t="s">
        <v>26</v>
      </c>
      <c r="P605" t="s">
        <v>27</v>
      </c>
      <c r="Q605" s="12"/>
      <c r="R605" s="12">
        <v>2</v>
      </c>
      <c r="S605" s="23">
        <v>42</v>
      </c>
      <c r="T605" s="12"/>
      <c r="U605" s="23">
        <v>5</v>
      </c>
      <c r="V605" s="8" t="s">
        <v>493</v>
      </c>
    </row>
    <row r="606" spans="2:22" s="40" customFormat="1" hidden="1">
      <c r="B606" s="40" t="s">
        <v>121</v>
      </c>
      <c r="C606" s="40" t="s">
        <v>220</v>
      </c>
      <c r="D606" s="40" t="s">
        <v>749</v>
      </c>
      <c r="E606" s="40">
        <v>1999</v>
      </c>
      <c r="F606" s="39" t="s">
        <v>620</v>
      </c>
      <c r="G606" s="39"/>
      <c r="I606" s="40" t="s">
        <v>557</v>
      </c>
      <c r="J606" s="40" t="s">
        <v>558</v>
      </c>
      <c r="K606" s="40" t="s">
        <v>564</v>
      </c>
      <c r="L606" s="40" t="s">
        <v>126</v>
      </c>
      <c r="M606" s="40" t="s">
        <v>565</v>
      </c>
      <c r="N606" s="40" t="s">
        <v>566</v>
      </c>
      <c r="O606" s="40" t="s">
        <v>244</v>
      </c>
      <c r="P606" s="40" t="s">
        <v>27</v>
      </c>
      <c r="Q606" s="39"/>
      <c r="R606" s="39"/>
      <c r="S606" s="43">
        <v>40</v>
      </c>
      <c r="T606" s="43"/>
      <c r="U606" s="43"/>
      <c r="V606" s="44" t="s">
        <v>984</v>
      </c>
    </row>
    <row r="607" spans="2:22" hidden="1">
      <c r="B607" t="s">
        <v>121</v>
      </c>
      <c r="C607" t="s">
        <v>220</v>
      </c>
      <c r="E607">
        <v>1999</v>
      </c>
      <c r="F607" s="12" t="s">
        <v>620</v>
      </c>
      <c r="I607" t="s">
        <v>557</v>
      </c>
      <c r="J607" t="s">
        <v>558</v>
      </c>
      <c r="K607" t="s">
        <v>564</v>
      </c>
      <c r="L607" t="s">
        <v>126</v>
      </c>
      <c r="M607" t="s">
        <v>565</v>
      </c>
      <c r="N607" t="s">
        <v>566</v>
      </c>
      <c r="O607" t="s">
        <v>129</v>
      </c>
      <c r="Q607" s="12"/>
      <c r="R607" s="12"/>
      <c r="S607" s="23">
        <v>5</v>
      </c>
      <c r="T607" s="23"/>
      <c r="U607" s="23"/>
      <c r="V607" s="8" t="s">
        <v>128</v>
      </c>
    </row>
    <row r="608" spans="2:22" hidden="1">
      <c r="B608" t="s">
        <v>121</v>
      </c>
      <c r="C608" t="s">
        <v>220</v>
      </c>
      <c r="E608">
        <v>1999</v>
      </c>
      <c r="F608" s="12" t="s">
        <v>620</v>
      </c>
      <c r="I608" t="s">
        <v>557</v>
      </c>
      <c r="J608" t="s">
        <v>558</v>
      </c>
      <c r="K608" t="s">
        <v>564</v>
      </c>
      <c r="L608" t="s">
        <v>126</v>
      </c>
      <c r="M608" t="s">
        <v>565</v>
      </c>
      <c r="N608" t="s">
        <v>566</v>
      </c>
      <c r="O608" t="s">
        <v>255</v>
      </c>
      <c r="Q608" s="12"/>
      <c r="R608" s="12"/>
      <c r="S608" s="23">
        <v>30</v>
      </c>
      <c r="T608" s="23"/>
      <c r="U608" s="23"/>
      <c r="V608" s="8" t="s">
        <v>128</v>
      </c>
    </row>
    <row r="609" spans="2:23" hidden="1">
      <c r="B609" t="s">
        <v>121</v>
      </c>
      <c r="C609" t="s">
        <v>220</v>
      </c>
      <c r="E609">
        <v>1999</v>
      </c>
      <c r="F609" s="12" t="s">
        <v>620</v>
      </c>
      <c r="I609" t="s">
        <v>557</v>
      </c>
      <c r="J609" t="s">
        <v>558</v>
      </c>
      <c r="K609" t="s">
        <v>564</v>
      </c>
      <c r="L609" t="s">
        <v>126</v>
      </c>
      <c r="M609" t="s">
        <v>565</v>
      </c>
      <c r="N609" t="s">
        <v>566</v>
      </c>
      <c r="O609" t="s">
        <v>559</v>
      </c>
      <c r="Q609" s="12"/>
      <c r="R609" s="12"/>
      <c r="S609" s="23">
        <v>13.2</v>
      </c>
      <c r="T609" s="23"/>
      <c r="U609" s="23"/>
      <c r="V609" s="8" t="s">
        <v>128</v>
      </c>
    </row>
    <row r="610" spans="2:23">
      <c r="B610" t="s">
        <v>121</v>
      </c>
      <c r="C610" t="s">
        <v>220</v>
      </c>
      <c r="D610" t="s">
        <v>749</v>
      </c>
      <c r="E610">
        <v>1999</v>
      </c>
      <c r="F610" s="12" t="s">
        <v>620</v>
      </c>
      <c r="G610" s="12" t="s">
        <v>732</v>
      </c>
      <c r="I610" t="s">
        <v>557</v>
      </c>
      <c r="J610" t="s">
        <v>560</v>
      </c>
      <c r="K610" t="s">
        <v>564</v>
      </c>
      <c r="L610" t="s">
        <v>561</v>
      </c>
      <c r="M610" t="s">
        <v>565</v>
      </c>
      <c r="N610" t="s">
        <v>566</v>
      </c>
      <c r="O610" t="s">
        <v>996</v>
      </c>
      <c r="P610" t="s">
        <v>27</v>
      </c>
      <c r="Q610" s="12"/>
      <c r="R610" s="12"/>
      <c r="S610" s="23">
        <v>50.4</v>
      </c>
      <c r="T610" s="23"/>
      <c r="U610" s="23"/>
      <c r="V610" s="8" t="s">
        <v>128</v>
      </c>
      <c r="W610" t="s">
        <v>992</v>
      </c>
    </row>
    <row r="611" spans="2:23" hidden="1">
      <c r="B611" t="s">
        <v>121</v>
      </c>
      <c r="C611" t="s">
        <v>220</v>
      </c>
      <c r="E611">
        <v>1999</v>
      </c>
      <c r="F611" s="12" t="s">
        <v>620</v>
      </c>
      <c r="I611" t="s">
        <v>557</v>
      </c>
      <c r="J611" t="s">
        <v>560</v>
      </c>
      <c r="K611" t="s">
        <v>564</v>
      </c>
      <c r="L611" t="s">
        <v>561</v>
      </c>
      <c r="M611" t="s">
        <v>565</v>
      </c>
      <c r="N611" t="s">
        <v>566</v>
      </c>
      <c r="O611" t="s">
        <v>129</v>
      </c>
      <c r="Q611" s="12"/>
      <c r="R611" s="12"/>
      <c r="S611" s="23" t="s">
        <v>562</v>
      </c>
      <c r="T611" s="23"/>
      <c r="U611" s="23"/>
      <c r="V611" s="8" t="s">
        <v>128</v>
      </c>
    </row>
    <row r="612" spans="2:23" hidden="1">
      <c r="B612" t="s">
        <v>121</v>
      </c>
      <c r="C612" t="s">
        <v>220</v>
      </c>
      <c r="E612">
        <v>1999</v>
      </c>
      <c r="F612" s="12" t="s">
        <v>620</v>
      </c>
      <c r="I612" t="s">
        <v>557</v>
      </c>
      <c r="J612" t="s">
        <v>560</v>
      </c>
      <c r="K612" t="s">
        <v>564</v>
      </c>
      <c r="L612" t="s">
        <v>561</v>
      </c>
      <c r="M612" t="s">
        <v>565</v>
      </c>
      <c r="N612" t="s">
        <v>566</v>
      </c>
      <c r="O612" t="s">
        <v>255</v>
      </c>
      <c r="Q612" s="12"/>
      <c r="R612" s="12"/>
      <c r="S612" s="23">
        <v>40</v>
      </c>
      <c r="T612" s="23"/>
      <c r="U612" s="23"/>
      <c r="V612" s="8" t="s">
        <v>128</v>
      </c>
    </row>
    <row r="613" spans="2:23" hidden="1">
      <c r="B613" t="s">
        <v>121</v>
      </c>
      <c r="C613" t="s">
        <v>220</v>
      </c>
      <c r="E613">
        <v>1999</v>
      </c>
      <c r="F613" s="12" t="s">
        <v>620</v>
      </c>
      <c r="I613" t="s">
        <v>557</v>
      </c>
      <c r="J613" t="s">
        <v>560</v>
      </c>
      <c r="K613" t="s">
        <v>564</v>
      </c>
      <c r="L613" t="s">
        <v>561</v>
      </c>
      <c r="M613" t="s">
        <v>565</v>
      </c>
      <c r="N613" t="s">
        <v>566</v>
      </c>
      <c r="O613" t="s">
        <v>559</v>
      </c>
      <c r="Q613" s="12"/>
      <c r="R613" s="12"/>
      <c r="S613" s="23">
        <v>0.4</v>
      </c>
      <c r="T613" s="23"/>
      <c r="U613" s="23"/>
      <c r="V613" s="8" t="s">
        <v>128</v>
      </c>
    </row>
    <row r="614" spans="2:23">
      <c r="B614" t="s">
        <v>121</v>
      </c>
      <c r="C614" t="s">
        <v>220</v>
      </c>
      <c r="D614" t="s">
        <v>749</v>
      </c>
      <c r="E614">
        <v>1999</v>
      </c>
      <c r="F614" s="12" t="s">
        <v>620</v>
      </c>
      <c r="G614" s="12" t="s">
        <v>732</v>
      </c>
      <c r="I614" t="s">
        <v>557</v>
      </c>
      <c r="J614" t="s">
        <v>560</v>
      </c>
      <c r="K614" t="s">
        <v>564</v>
      </c>
      <c r="L614" t="s">
        <v>126</v>
      </c>
      <c r="M614" t="s">
        <v>565</v>
      </c>
      <c r="N614" t="s">
        <v>566</v>
      </c>
      <c r="O614" t="s">
        <v>996</v>
      </c>
      <c r="P614" t="s">
        <v>27</v>
      </c>
      <c r="Q614" s="12"/>
      <c r="R614" s="12"/>
      <c r="S614" s="23">
        <v>32.5</v>
      </c>
      <c r="T614" s="23"/>
      <c r="U614" s="23"/>
      <c r="V614" s="8" t="s">
        <v>128</v>
      </c>
      <c r="W614" t="s">
        <v>993</v>
      </c>
    </row>
    <row r="615" spans="2:23" hidden="1">
      <c r="B615" t="s">
        <v>121</v>
      </c>
      <c r="C615" t="s">
        <v>220</v>
      </c>
      <c r="E615">
        <v>1999</v>
      </c>
      <c r="F615" s="12" t="s">
        <v>620</v>
      </c>
      <c r="I615" t="s">
        <v>557</v>
      </c>
      <c r="J615" t="s">
        <v>560</v>
      </c>
      <c r="K615" t="s">
        <v>564</v>
      </c>
      <c r="L615" t="s">
        <v>126</v>
      </c>
      <c r="M615" t="s">
        <v>565</v>
      </c>
      <c r="N615" t="s">
        <v>566</v>
      </c>
      <c r="O615" t="s">
        <v>129</v>
      </c>
      <c r="Q615" s="12"/>
      <c r="R615" s="12"/>
      <c r="S615" s="23" t="s">
        <v>346</v>
      </c>
      <c r="T615" s="23"/>
      <c r="U615" s="23"/>
      <c r="V615" s="8" t="s">
        <v>128</v>
      </c>
    </row>
    <row r="616" spans="2:23" hidden="1">
      <c r="B616" t="s">
        <v>121</v>
      </c>
      <c r="C616" t="s">
        <v>220</v>
      </c>
      <c r="E616">
        <v>1999</v>
      </c>
      <c r="F616" s="12" t="s">
        <v>620</v>
      </c>
      <c r="I616" t="s">
        <v>557</v>
      </c>
      <c r="J616" t="s">
        <v>560</v>
      </c>
      <c r="K616" t="s">
        <v>564</v>
      </c>
      <c r="L616" t="s">
        <v>126</v>
      </c>
      <c r="M616" t="s">
        <v>565</v>
      </c>
      <c r="N616" t="s">
        <v>566</v>
      </c>
      <c r="O616" t="s">
        <v>255</v>
      </c>
      <c r="Q616" s="12"/>
      <c r="R616" s="12"/>
      <c r="S616" s="23">
        <v>10</v>
      </c>
      <c r="T616" s="23"/>
      <c r="U616" s="23"/>
      <c r="V616" s="8" t="s">
        <v>128</v>
      </c>
    </row>
    <row r="617" spans="2:23" hidden="1">
      <c r="B617" t="s">
        <v>121</v>
      </c>
      <c r="C617" t="s">
        <v>220</v>
      </c>
      <c r="E617">
        <v>1999</v>
      </c>
      <c r="F617" s="12" t="s">
        <v>620</v>
      </c>
      <c r="I617" t="s">
        <v>557</v>
      </c>
      <c r="J617" t="s">
        <v>560</v>
      </c>
      <c r="K617" t="s">
        <v>564</v>
      </c>
      <c r="L617" t="s">
        <v>126</v>
      </c>
      <c r="M617" t="s">
        <v>565</v>
      </c>
      <c r="N617" t="s">
        <v>566</v>
      </c>
      <c r="O617" t="s">
        <v>559</v>
      </c>
      <c r="Q617" s="12"/>
      <c r="R617" s="12"/>
      <c r="S617" s="23" t="s">
        <v>562</v>
      </c>
      <c r="T617" s="23"/>
      <c r="U617" s="23"/>
      <c r="V617" s="8" t="s">
        <v>128</v>
      </c>
    </row>
    <row r="618" spans="2:23" s="40" customFormat="1" hidden="1">
      <c r="B618" s="40" t="s">
        <v>121</v>
      </c>
      <c r="C618" s="40" t="s">
        <v>220</v>
      </c>
      <c r="D618" s="40" t="s">
        <v>749</v>
      </c>
      <c r="E618" s="40">
        <v>1999</v>
      </c>
      <c r="F618" s="39" t="s">
        <v>620</v>
      </c>
      <c r="G618" s="39"/>
      <c r="I618" s="40" t="s">
        <v>563</v>
      </c>
      <c r="J618" s="40" t="s">
        <v>260</v>
      </c>
      <c r="K618" s="40" t="s">
        <v>564</v>
      </c>
      <c r="L618" s="40" t="s">
        <v>126</v>
      </c>
      <c r="M618" s="40" t="s">
        <v>567</v>
      </c>
      <c r="N618" s="40" t="s">
        <v>568</v>
      </c>
      <c r="O618" s="40" t="s">
        <v>244</v>
      </c>
      <c r="P618" s="40" t="s">
        <v>27</v>
      </c>
      <c r="Q618" s="39"/>
      <c r="R618" s="39"/>
      <c r="S618" s="43">
        <v>50</v>
      </c>
      <c r="T618" s="43"/>
      <c r="U618" s="43"/>
      <c r="V618" s="44" t="s">
        <v>984</v>
      </c>
    </row>
    <row r="619" spans="2:23" hidden="1">
      <c r="B619" t="s">
        <v>121</v>
      </c>
      <c r="C619" t="s">
        <v>220</v>
      </c>
      <c r="E619">
        <v>1999</v>
      </c>
      <c r="F619" s="12" t="s">
        <v>620</v>
      </c>
      <c r="I619" t="s">
        <v>563</v>
      </c>
      <c r="J619" t="s">
        <v>260</v>
      </c>
      <c r="K619" t="s">
        <v>564</v>
      </c>
      <c r="L619" t="s">
        <v>126</v>
      </c>
      <c r="M619" t="s">
        <v>567</v>
      </c>
      <c r="N619" t="s">
        <v>568</v>
      </c>
      <c r="O619" t="s">
        <v>129</v>
      </c>
      <c r="Q619" s="12"/>
      <c r="R619" s="12"/>
      <c r="S619" s="23">
        <v>0</v>
      </c>
      <c r="T619" s="23"/>
      <c r="U619" s="23"/>
      <c r="V619" s="8" t="s">
        <v>128</v>
      </c>
    </row>
    <row r="620" spans="2:23" hidden="1">
      <c r="B620" t="s">
        <v>121</v>
      </c>
      <c r="C620" t="s">
        <v>220</v>
      </c>
      <c r="E620">
        <v>1999</v>
      </c>
      <c r="F620" s="12" t="s">
        <v>620</v>
      </c>
      <c r="I620" t="s">
        <v>563</v>
      </c>
      <c r="J620" t="s">
        <v>260</v>
      </c>
      <c r="K620" t="s">
        <v>564</v>
      </c>
      <c r="L620" t="s">
        <v>126</v>
      </c>
      <c r="M620" t="s">
        <v>567</v>
      </c>
      <c r="N620" t="s">
        <v>568</v>
      </c>
      <c r="O620" t="s">
        <v>255</v>
      </c>
      <c r="Q620" s="12"/>
      <c r="R620" s="12"/>
      <c r="S620" s="23">
        <v>20</v>
      </c>
      <c r="T620" s="23"/>
      <c r="U620" s="23"/>
      <c r="V620" s="8" t="s">
        <v>128</v>
      </c>
    </row>
    <row r="621" spans="2:23" hidden="1">
      <c r="B621" t="s">
        <v>121</v>
      </c>
      <c r="C621" t="s">
        <v>220</v>
      </c>
      <c r="E621">
        <v>1999</v>
      </c>
      <c r="F621" s="12" t="s">
        <v>620</v>
      </c>
      <c r="I621" t="s">
        <v>563</v>
      </c>
      <c r="J621" t="s">
        <v>260</v>
      </c>
      <c r="K621" t="s">
        <v>564</v>
      </c>
      <c r="L621" t="s">
        <v>126</v>
      </c>
      <c r="M621" t="s">
        <v>567</v>
      </c>
      <c r="N621" t="s">
        <v>568</v>
      </c>
      <c r="O621" t="s">
        <v>559</v>
      </c>
      <c r="Q621" s="12"/>
      <c r="R621" s="12"/>
      <c r="S621" s="23">
        <v>3.5</v>
      </c>
      <c r="T621" s="23"/>
      <c r="U621" s="23"/>
      <c r="V621" s="8" t="s">
        <v>128</v>
      </c>
    </row>
    <row r="622" spans="2:23" hidden="1">
      <c r="B622" t="s">
        <v>193</v>
      </c>
      <c r="C622" t="s">
        <v>210</v>
      </c>
      <c r="D622" t="s">
        <v>749</v>
      </c>
      <c r="E622">
        <v>1999</v>
      </c>
      <c r="F622" s="12" t="s">
        <v>620</v>
      </c>
      <c r="G622" s="12" t="s">
        <v>732</v>
      </c>
      <c r="H622" t="s">
        <v>211</v>
      </c>
      <c r="I622" t="s">
        <v>212</v>
      </c>
      <c r="K622" t="s">
        <v>196</v>
      </c>
      <c r="L622"/>
      <c r="O622" t="s">
        <v>26</v>
      </c>
      <c r="P622" t="s">
        <v>27</v>
      </c>
      <c r="S622" s="9">
        <v>41</v>
      </c>
      <c r="T622" s="9"/>
      <c r="U622" s="9"/>
      <c r="V622" s="8" t="s">
        <v>197</v>
      </c>
    </row>
    <row r="623" spans="2:23" hidden="1">
      <c r="B623" t="s">
        <v>193</v>
      </c>
      <c r="C623" t="s">
        <v>210</v>
      </c>
      <c r="E623">
        <v>1999</v>
      </c>
      <c r="F623" s="12" t="s">
        <v>620</v>
      </c>
      <c r="H623" t="s">
        <v>211</v>
      </c>
      <c r="I623" t="s">
        <v>212</v>
      </c>
      <c r="K623" t="s">
        <v>196</v>
      </c>
      <c r="L623"/>
      <c r="O623" t="s">
        <v>130</v>
      </c>
      <c r="P623" t="s">
        <v>31</v>
      </c>
      <c r="S623" s="9">
        <v>26</v>
      </c>
      <c r="T623" s="9"/>
      <c r="U623" s="9"/>
      <c r="V623" s="8" t="s">
        <v>197</v>
      </c>
    </row>
    <row r="624" spans="2:23" hidden="1">
      <c r="B624" t="s">
        <v>193</v>
      </c>
      <c r="C624" t="s">
        <v>210</v>
      </c>
      <c r="D624" t="s">
        <v>749</v>
      </c>
      <c r="E624">
        <v>1999</v>
      </c>
      <c r="F624" s="12" t="s">
        <v>620</v>
      </c>
      <c r="G624" s="12" t="s">
        <v>732</v>
      </c>
      <c r="H624" t="s">
        <v>211</v>
      </c>
      <c r="I624" t="s">
        <v>212</v>
      </c>
      <c r="K624" t="s">
        <v>198</v>
      </c>
      <c r="L624"/>
      <c r="O624" t="s">
        <v>26</v>
      </c>
      <c r="P624" t="s">
        <v>27</v>
      </c>
      <c r="S624" s="9">
        <v>43</v>
      </c>
      <c r="T624" s="9"/>
      <c r="U624" s="9"/>
      <c r="V624" s="8" t="s">
        <v>197</v>
      </c>
    </row>
    <row r="625" spans="2:22" hidden="1">
      <c r="B625" t="s">
        <v>193</v>
      </c>
      <c r="C625" t="s">
        <v>210</v>
      </c>
      <c r="E625">
        <v>1999</v>
      </c>
      <c r="F625" s="12" t="s">
        <v>620</v>
      </c>
      <c r="H625" t="s">
        <v>211</v>
      </c>
      <c r="I625" t="s">
        <v>212</v>
      </c>
      <c r="K625" t="s">
        <v>198</v>
      </c>
      <c r="L625"/>
      <c r="O625" t="s">
        <v>130</v>
      </c>
      <c r="P625" t="s">
        <v>31</v>
      </c>
      <c r="S625" s="9">
        <v>8</v>
      </c>
      <c r="T625" s="9"/>
      <c r="U625" s="9"/>
      <c r="V625" s="8" t="s">
        <v>197</v>
      </c>
    </row>
    <row r="626" spans="2:22" hidden="1">
      <c r="B626" t="s">
        <v>193</v>
      </c>
      <c r="C626" t="s">
        <v>210</v>
      </c>
      <c r="D626" t="s">
        <v>749</v>
      </c>
      <c r="E626">
        <v>1999</v>
      </c>
      <c r="F626" s="12" t="s">
        <v>620</v>
      </c>
      <c r="G626" s="12" t="s">
        <v>732</v>
      </c>
      <c r="H626" t="s">
        <v>213</v>
      </c>
      <c r="I626" t="s">
        <v>214</v>
      </c>
      <c r="K626" t="s">
        <v>215</v>
      </c>
      <c r="L626"/>
      <c r="O626" t="s">
        <v>26</v>
      </c>
      <c r="P626" t="s">
        <v>27</v>
      </c>
      <c r="S626" s="9">
        <v>30</v>
      </c>
      <c r="T626" s="9"/>
      <c r="U626" s="9"/>
      <c r="V626" s="8" t="s">
        <v>197</v>
      </c>
    </row>
    <row r="627" spans="2:22" hidden="1">
      <c r="B627" t="s">
        <v>193</v>
      </c>
      <c r="C627" t="s">
        <v>210</v>
      </c>
      <c r="E627">
        <v>1999</v>
      </c>
      <c r="F627" s="12" t="s">
        <v>620</v>
      </c>
      <c r="H627" t="s">
        <v>213</v>
      </c>
      <c r="I627" t="s">
        <v>214</v>
      </c>
      <c r="K627" t="s">
        <v>215</v>
      </c>
      <c r="L627"/>
      <c r="O627" t="s">
        <v>130</v>
      </c>
      <c r="P627" t="s">
        <v>31</v>
      </c>
      <c r="S627" s="9">
        <v>30</v>
      </c>
      <c r="T627" s="9"/>
      <c r="U627" s="9"/>
      <c r="V627" s="8" t="s">
        <v>197</v>
      </c>
    </row>
    <row r="628" spans="2:22" hidden="1">
      <c r="B628" t="s">
        <v>193</v>
      </c>
      <c r="C628" t="s">
        <v>210</v>
      </c>
      <c r="D628" t="s">
        <v>749</v>
      </c>
      <c r="E628">
        <v>1999</v>
      </c>
      <c r="F628" s="12" t="s">
        <v>620</v>
      </c>
      <c r="G628" s="12" t="s">
        <v>732</v>
      </c>
      <c r="H628" t="s">
        <v>213</v>
      </c>
      <c r="I628" t="s">
        <v>214</v>
      </c>
      <c r="K628" t="s">
        <v>216</v>
      </c>
      <c r="L628"/>
      <c r="O628" t="s">
        <v>26</v>
      </c>
      <c r="P628" t="s">
        <v>27</v>
      </c>
      <c r="S628" s="9">
        <v>48</v>
      </c>
      <c r="T628" s="9"/>
      <c r="U628" s="9"/>
      <c r="V628" s="8" t="s">
        <v>197</v>
      </c>
    </row>
    <row r="629" spans="2:22" hidden="1">
      <c r="B629" t="s">
        <v>193</v>
      </c>
      <c r="C629" t="s">
        <v>210</v>
      </c>
      <c r="E629">
        <v>1999</v>
      </c>
      <c r="F629" s="12" t="s">
        <v>620</v>
      </c>
      <c r="H629" t="s">
        <v>213</v>
      </c>
      <c r="I629" t="s">
        <v>214</v>
      </c>
      <c r="K629" t="s">
        <v>216</v>
      </c>
      <c r="L629"/>
      <c r="O629" t="s">
        <v>130</v>
      </c>
      <c r="P629" t="s">
        <v>31</v>
      </c>
      <c r="S629" s="9">
        <v>17</v>
      </c>
      <c r="T629" s="9"/>
      <c r="U629" s="9"/>
      <c r="V629" s="8" t="s">
        <v>197</v>
      </c>
    </row>
    <row r="630" spans="2:22" hidden="1">
      <c r="B630" t="s">
        <v>193</v>
      </c>
      <c r="C630" t="s">
        <v>210</v>
      </c>
      <c r="E630">
        <v>2000</v>
      </c>
      <c r="F630" s="12" t="s">
        <v>620</v>
      </c>
      <c r="H630" t="s">
        <v>211</v>
      </c>
      <c r="I630" t="s">
        <v>212</v>
      </c>
      <c r="K630" t="s">
        <v>198</v>
      </c>
      <c r="L630"/>
      <c r="O630" t="s">
        <v>26</v>
      </c>
      <c r="P630" t="s">
        <v>27</v>
      </c>
      <c r="S630" s="9">
        <v>44.6</v>
      </c>
      <c r="T630" s="9"/>
      <c r="U630" s="9"/>
      <c r="V630" s="8" t="s">
        <v>197</v>
      </c>
    </row>
    <row r="631" spans="2:22" hidden="1">
      <c r="B631" t="s">
        <v>193</v>
      </c>
      <c r="C631" t="s">
        <v>210</v>
      </c>
      <c r="E631">
        <v>2000</v>
      </c>
      <c r="F631" s="12" t="s">
        <v>620</v>
      </c>
      <c r="H631" t="s">
        <v>211</v>
      </c>
      <c r="I631" t="s">
        <v>212</v>
      </c>
      <c r="K631" t="s">
        <v>198</v>
      </c>
      <c r="L631"/>
      <c r="O631" t="s">
        <v>130</v>
      </c>
      <c r="P631" t="s">
        <v>31</v>
      </c>
      <c r="S631" s="9">
        <v>9.1</v>
      </c>
      <c r="T631" s="9"/>
      <c r="U631" s="9"/>
      <c r="V631" s="8" t="s">
        <v>197</v>
      </c>
    </row>
    <row r="632" spans="2:22" hidden="1">
      <c r="B632" t="s">
        <v>193</v>
      </c>
      <c r="C632" t="s">
        <v>210</v>
      </c>
      <c r="E632">
        <v>2000</v>
      </c>
      <c r="F632" s="12" t="s">
        <v>620</v>
      </c>
      <c r="H632" t="s">
        <v>213</v>
      </c>
      <c r="I632" t="s">
        <v>214</v>
      </c>
      <c r="K632" t="s">
        <v>215</v>
      </c>
      <c r="L632"/>
      <c r="O632" t="s">
        <v>26</v>
      </c>
      <c r="P632" t="s">
        <v>27</v>
      </c>
      <c r="S632" s="9">
        <v>52.3</v>
      </c>
      <c r="T632" s="9"/>
      <c r="U632" s="9"/>
      <c r="V632" s="8" t="s">
        <v>197</v>
      </c>
    </row>
    <row r="633" spans="2:22" hidden="1">
      <c r="B633" t="s">
        <v>193</v>
      </c>
      <c r="C633" t="s">
        <v>210</v>
      </c>
      <c r="E633">
        <v>2000</v>
      </c>
      <c r="F633" s="12" t="s">
        <v>620</v>
      </c>
      <c r="H633" t="s">
        <v>213</v>
      </c>
      <c r="I633" t="s">
        <v>214</v>
      </c>
      <c r="K633" t="s">
        <v>215</v>
      </c>
      <c r="L633"/>
      <c r="O633" t="s">
        <v>130</v>
      </c>
      <c r="P633" t="s">
        <v>31</v>
      </c>
      <c r="S633" s="9">
        <v>6.5</v>
      </c>
      <c r="T633" s="9"/>
      <c r="U633" s="9"/>
      <c r="V633" s="8" t="s">
        <v>197</v>
      </c>
    </row>
    <row r="634" spans="2:22" hidden="1">
      <c r="B634" t="s">
        <v>193</v>
      </c>
      <c r="C634" t="s">
        <v>210</v>
      </c>
      <c r="E634">
        <v>2000</v>
      </c>
      <c r="F634" s="12" t="s">
        <v>620</v>
      </c>
      <c r="H634" t="s">
        <v>213</v>
      </c>
      <c r="I634" t="s">
        <v>214</v>
      </c>
      <c r="K634" t="s">
        <v>216</v>
      </c>
      <c r="L634"/>
      <c r="O634" t="s">
        <v>26</v>
      </c>
      <c r="P634" t="s">
        <v>27</v>
      </c>
      <c r="S634" s="9">
        <v>49.8</v>
      </c>
      <c r="T634" s="9"/>
      <c r="U634" s="9"/>
      <c r="V634" s="8" t="s">
        <v>197</v>
      </c>
    </row>
    <row r="635" spans="2:22" hidden="1">
      <c r="B635" t="s">
        <v>193</v>
      </c>
      <c r="C635" t="s">
        <v>210</v>
      </c>
      <c r="E635">
        <v>2000</v>
      </c>
      <c r="F635" s="12" t="s">
        <v>620</v>
      </c>
      <c r="H635" t="s">
        <v>213</v>
      </c>
      <c r="I635" t="s">
        <v>214</v>
      </c>
      <c r="K635" t="s">
        <v>216</v>
      </c>
      <c r="L635"/>
      <c r="O635" t="s">
        <v>130</v>
      </c>
      <c r="P635" t="s">
        <v>31</v>
      </c>
      <c r="S635" s="9">
        <v>33.799999999999997</v>
      </c>
      <c r="T635" s="9"/>
      <c r="U635" s="9"/>
      <c r="V635" s="8" t="s">
        <v>197</v>
      </c>
    </row>
    <row r="636" spans="2:22" hidden="1">
      <c r="B636" t="s">
        <v>193</v>
      </c>
      <c r="C636" t="s">
        <v>210</v>
      </c>
      <c r="E636">
        <v>2002</v>
      </c>
      <c r="F636" s="12" t="s">
        <v>620</v>
      </c>
      <c r="H636" t="s">
        <v>211</v>
      </c>
      <c r="I636" t="s">
        <v>212</v>
      </c>
      <c r="K636" t="s">
        <v>196</v>
      </c>
      <c r="L636"/>
      <c r="O636" t="s">
        <v>26</v>
      </c>
      <c r="P636" t="s">
        <v>27</v>
      </c>
      <c r="S636" s="9">
        <v>40</v>
      </c>
      <c r="T636" s="9"/>
      <c r="U636" s="9"/>
      <c r="V636" s="8" t="s">
        <v>197</v>
      </c>
    </row>
    <row r="637" spans="2:22" hidden="1">
      <c r="B637" t="s">
        <v>193</v>
      </c>
      <c r="C637" t="s">
        <v>210</v>
      </c>
      <c r="E637">
        <v>2002</v>
      </c>
      <c r="F637" s="12" t="s">
        <v>620</v>
      </c>
      <c r="H637" t="s">
        <v>211</v>
      </c>
      <c r="I637" t="s">
        <v>212</v>
      </c>
      <c r="K637" t="s">
        <v>196</v>
      </c>
      <c r="L637"/>
      <c r="O637" t="s">
        <v>130</v>
      </c>
      <c r="P637" t="s">
        <v>31</v>
      </c>
      <c r="S637" s="9">
        <v>25</v>
      </c>
      <c r="T637" s="9"/>
      <c r="U637" s="9"/>
      <c r="V637" s="8" t="s">
        <v>197</v>
      </c>
    </row>
    <row r="638" spans="2:22" hidden="1">
      <c r="B638" t="s">
        <v>193</v>
      </c>
      <c r="C638" t="s">
        <v>210</v>
      </c>
      <c r="E638">
        <v>2002</v>
      </c>
      <c r="F638" s="12" t="s">
        <v>620</v>
      </c>
      <c r="H638" t="s">
        <v>211</v>
      </c>
      <c r="I638" t="s">
        <v>212</v>
      </c>
      <c r="K638" t="s">
        <v>198</v>
      </c>
      <c r="L638"/>
      <c r="O638" t="s">
        <v>26</v>
      </c>
      <c r="P638" t="s">
        <v>27</v>
      </c>
      <c r="S638" s="9">
        <v>39.1</v>
      </c>
      <c r="T638" s="9"/>
      <c r="U638" s="9"/>
      <c r="V638" s="8" t="s">
        <v>197</v>
      </c>
    </row>
    <row r="639" spans="2:22" hidden="1">
      <c r="B639" t="s">
        <v>193</v>
      </c>
      <c r="C639" t="s">
        <v>210</v>
      </c>
      <c r="E639">
        <v>2002</v>
      </c>
      <c r="F639" s="12" t="s">
        <v>620</v>
      </c>
      <c r="H639" t="s">
        <v>211</v>
      </c>
      <c r="I639" t="s">
        <v>212</v>
      </c>
      <c r="K639" t="s">
        <v>198</v>
      </c>
      <c r="L639"/>
      <c r="O639" t="s">
        <v>130</v>
      </c>
      <c r="P639" t="s">
        <v>31</v>
      </c>
      <c r="S639" s="9">
        <v>4.8</v>
      </c>
      <c r="T639" s="9"/>
      <c r="U639" s="9"/>
      <c r="V639" s="8" t="s">
        <v>197</v>
      </c>
    </row>
    <row r="640" spans="2:22" hidden="1">
      <c r="B640" t="s">
        <v>193</v>
      </c>
      <c r="C640" t="s">
        <v>210</v>
      </c>
      <c r="E640">
        <v>2002</v>
      </c>
      <c r="F640" s="12" t="s">
        <v>620</v>
      </c>
      <c r="H640" t="s">
        <v>213</v>
      </c>
      <c r="I640" t="s">
        <v>214</v>
      </c>
      <c r="K640" t="s">
        <v>215</v>
      </c>
      <c r="L640"/>
      <c r="O640" t="s">
        <v>26</v>
      </c>
      <c r="P640" t="s">
        <v>27</v>
      </c>
      <c r="S640" s="9">
        <v>37.9</v>
      </c>
      <c r="T640" s="9"/>
      <c r="U640" s="9"/>
      <c r="V640" s="8" t="s">
        <v>197</v>
      </c>
    </row>
    <row r="641" spans="2:23" hidden="1">
      <c r="B641" t="s">
        <v>193</v>
      </c>
      <c r="C641" t="s">
        <v>210</v>
      </c>
      <c r="E641">
        <v>2002</v>
      </c>
      <c r="F641" s="12" t="s">
        <v>620</v>
      </c>
      <c r="H641" t="s">
        <v>213</v>
      </c>
      <c r="I641" t="s">
        <v>214</v>
      </c>
      <c r="K641" t="s">
        <v>215</v>
      </c>
      <c r="L641"/>
      <c r="O641" t="s">
        <v>130</v>
      </c>
      <c r="P641" t="s">
        <v>31</v>
      </c>
      <c r="S641" s="9">
        <v>23.2</v>
      </c>
      <c r="T641" s="9"/>
      <c r="U641" s="9"/>
      <c r="V641" s="8" t="s">
        <v>197</v>
      </c>
    </row>
    <row r="642" spans="2:23" hidden="1">
      <c r="B642" t="s">
        <v>193</v>
      </c>
      <c r="C642" t="s">
        <v>210</v>
      </c>
      <c r="E642">
        <v>2002</v>
      </c>
      <c r="F642" s="12" t="s">
        <v>620</v>
      </c>
      <c r="H642" t="s">
        <v>213</v>
      </c>
      <c r="I642" t="s">
        <v>214</v>
      </c>
      <c r="K642" t="s">
        <v>216</v>
      </c>
      <c r="L642"/>
      <c r="O642" t="s">
        <v>26</v>
      </c>
      <c r="P642" t="s">
        <v>27</v>
      </c>
      <c r="S642" s="9">
        <v>36.6</v>
      </c>
      <c r="T642" s="9"/>
      <c r="U642" s="9"/>
      <c r="V642" s="8" t="s">
        <v>197</v>
      </c>
    </row>
    <row r="643" spans="2:23" hidden="1">
      <c r="B643" t="s">
        <v>193</v>
      </c>
      <c r="C643" t="s">
        <v>210</v>
      </c>
      <c r="E643">
        <v>2002</v>
      </c>
      <c r="F643" s="12" t="s">
        <v>620</v>
      </c>
      <c r="H643" t="s">
        <v>213</v>
      </c>
      <c r="I643" t="s">
        <v>214</v>
      </c>
      <c r="K643" t="s">
        <v>216</v>
      </c>
      <c r="L643"/>
      <c r="O643" t="s">
        <v>130</v>
      </c>
      <c r="P643" t="s">
        <v>31</v>
      </c>
      <c r="S643" s="9">
        <v>50.4</v>
      </c>
      <c r="T643" s="9"/>
      <c r="U643" s="9"/>
      <c r="V643" s="8" t="s">
        <v>197</v>
      </c>
    </row>
    <row r="644" spans="2:23" hidden="1">
      <c r="B644" t="s">
        <v>193</v>
      </c>
      <c r="C644" t="s">
        <v>391</v>
      </c>
      <c r="E644">
        <v>2002</v>
      </c>
      <c r="F644" s="12" t="s">
        <v>620</v>
      </c>
      <c r="H644" t="s">
        <v>217</v>
      </c>
      <c r="I644" t="s">
        <v>218</v>
      </c>
      <c r="K644" t="s">
        <v>196</v>
      </c>
      <c r="L644"/>
      <c r="O644" t="s">
        <v>26</v>
      </c>
      <c r="P644" t="s">
        <v>27</v>
      </c>
      <c r="S644" s="9">
        <v>15.8</v>
      </c>
      <c r="T644" s="9"/>
      <c r="U644" s="9"/>
      <c r="V644" s="8" t="s">
        <v>197</v>
      </c>
    </row>
    <row r="645" spans="2:23" hidden="1">
      <c r="B645" t="s">
        <v>193</v>
      </c>
      <c r="C645" t="s">
        <v>391</v>
      </c>
      <c r="E645">
        <v>2002</v>
      </c>
      <c r="F645" s="12" t="s">
        <v>620</v>
      </c>
      <c r="H645" t="s">
        <v>217</v>
      </c>
      <c r="I645" t="s">
        <v>218</v>
      </c>
      <c r="K645" t="s">
        <v>196</v>
      </c>
      <c r="L645"/>
      <c r="O645" t="s">
        <v>130</v>
      </c>
      <c r="P645" t="s">
        <v>31</v>
      </c>
      <c r="S645" s="9">
        <v>81.8</v>
      </c>
      <c r="T645" s="9"/>
      <c r="U645" s="9"/>
      <c r="V645" s="8" t="s">
        <v>197</v>
      </c>
    </row>
    <row r="646" spans="2:23" hidden="1">
      <c r="B646" t="s">
        <v>193</v>
      </c>
      <c r="C646" t="s">
        <v>210</v>
      </c>
      <c r="D646" t="s">
        <v>749</v>
      </c>
      <c r="E646">
        <v>2002</v>
      </c>
      <c r="F646" s="12" t="s">
        <v>620</v>
      </c>
      <c r="G646" s="12" t="s">
        <v>732</v>
      </c>
      <c r="H646" t="s">
        <v>217</v>
      </c>
      <c r="I646" t="s">
        <v>218</v>
      </c>
      <c r="K646" t="s">
        <v>198</v>
      </c>
      <c r="L646"/>
      <c r="O646" t="s">
        <v>26</v>
      </c>
      <c r="P646" t="s">
        <v>27</v>
      </c>
      <c r="S646" s="9">
        <v>62.9</v>
      </c>
      <c r="T646" s="9"/>
      <c r="U646" s="9"/>
      <c r="V646" s="8" t="s">
        <v>197</v>
      </c>
    </row>
    <row r="647" spans="2:23" hidden="1">
      <c r="B647" t="s">
        <v>193</v>
      </c>
      <c r="C647" t="s">
        <v>391</v>
      </c>
      <c r="E647">
        <v>2002</v>
      </c>
      <c r="F647" s="12" t="s">
        <v>620</v>
      </c>
      <c r="H647" t="s">
        <v>217</v>
      </c>
      <c r="I647" t="s">
        <v>218</v>
      </c>
      <c r="K647" t="s">
        <v>198</v>
      </c>
      <c r="L647"/>
      <c r="O647" t="s">
        <v>130</v>
      </c>
      <c r="P647" t="s">
        <v>31</v>
      </c>
      <c r="S647" s="9">
        <v>36.5</v>
      </c>
      <c r="T647" s="9"/>
      <c r="U647" s="9"/>
      <c r="V647" s="8" t="s">
        <v>197</v>
      </c>
    </row>
    <row r="648" spans="2:23" hidden="1">
      <c r="B648" t="s">
        <v>193</v>
      </c>
      <c r="C648" t="s">
        <v>391</v>
      </c>
      <c r="E648">
        <v>2002</v>
      </c>
      <c r="F648" s="12" t="s">
        <v>620</v>
      </c>
      <c r="H648" t="s">
        <v>219</v>
      </c>
      <c r="I648" t="s">
        <v>219</v>
      </c>
      <c r="K648" t="s">
        <v>196</v>
      </c>
      <c r="L648"/>
      <c r="O648" t="s">
        <v>26</v>
      </c>
      <c r="P648" t="s">
        <v>27</v>
      </c>
      <c r="S648" s="9">
        <v>17</v>
      </c>
      <c r="T648" s="9"/>
      <c r="U648" s="9"/>
      <c r="V648" s="8" t="s">
        <v>197</v>
      </c>
    </row>
    <row r="649" spans="2:23" hidden="1">
      <c r="B649" t="s">
        <v>193</v>
      </c>
      <c r="C649" t="s">
        <v>391</v>
      </c>
      <c r="E649">
        <v>2002</v>
      </c>
      <c r="F649" s="12" t="s">
        <v>620</v>
      </c>
      <c r="H649" t="s">
        <v>217</v>
      </c>
      <c r="I649" t="s">
        <v>219</v>
      </c>
      <c r="K649" t="s">
        <v>196</v>
      </c>
      <c r="L649"/>
      <c r="O649" t="s">
        <v>130</v>
      </c>
      <c r="P649" t="s">
        <v>31</v>
      </c>
      <c r="S649" s="9">
        <v>73.900000000000006</v>
      </c>
      <c r="T649" s="9"/>
      <c r="U649" s="9"/>
      <c r="V649" s="8" t="s">
        <v>197</v>
      </c>
    </row>
    <row r="650" spans="2:23" hidden="1">
      <c r="B650" t="s">
        <v>193</v>
      </c>
      <c r="C650" t="s">
        <v>391</v>
      </c>
      <c r="E650">
        <v>2002</v>
      </c>
      <c r="F650" s="12" t="s">
        <v>620</v>
      </c>
      <c r="H650" t="s">
        <v>219</v>
      </c>
      <c r="I650" t="s">
        <v>219</v>
      </c>
      <c r="K650" t="s">
        <v>198</v>
      </c>
      <c r="L650"/>
      <c r="O650" t="s">
        <v>26</v>
      </c>
      <c r="P650" t="s">
        <v>27</v>
      </c>
      <c r="S650" s="9">
        <v>43.2</v>
      </c>
      <c r="T650" s="9"/>
      <c r="U650" s="9"/>
      <c r="V650" s="8" t="s">
        <v>197</v>
      </c>
    </row>
    <row r="651" spans="2:23" hidden="1">
      <c r="B651" t="s">
        <v>193</v>
      </c>
      <c r="C651" t="s">
        <v>391</v>
      </c>
      <c r="E651">
        <v>2002</v>
      </c>
      <c r="F651" s="12" t="s">
        <v>620</v>
      </c>
      <c r="H651" t="s">
        <v>217</v>
      </c>
      <c r="I651" t="s">
        <v>219</v>
      </c>
      <c r="K651" t="s">
        <v>198</v>
      </c>
      <c r="L651"/>
      <c r="O651" t="s">
        <v>130</v>
      </c>
      <c r="P651" t="s">
        <v>31</v>
      </c>
      <c r="S651" s="9">
        <v>47.8</v>
      </c>
      <c r="T651" s="9"/>
      <c r="U651" s="9"/>
      <c r="V651" s="8" t="s">
        <v>197</v>
      </c>
    </row>
    <row r="652" spans="2:23" hidden="1">
      <c r="B652" t="s">
        <v>295</v>
      </c>
      <c r="C652" t="s">
        <v>296</v>
      </c>
      <c r="D652" t="s">
        <v>747</v>
      </c>
      <c r="E652">
        <v>1998</v>
      </c>
      <c r="F652" s="12" t="s">
        <v>670</v>
      </c>
      <c r="H652" t="s">
        <v>297</v>
      </c>
      <c r="I652" t="s">
        <v>298</v>
      </c>
      <c r="L652"/>
      <c r="M652" t="s">
        <v>299</v>
      </c>
      <c r="O652" t="s">
        <v>26</v>
      </c>
      <c r="P652" t="s">
        <v>27</v>
      </c>
      <c r="Q652">
        <v>8</v>
      </c>
      <c r="S652" s="9">
        <v>42.9</v>
      </c>
      <c r="T652" s="9"/>
      <c r="U652" s="9"/>
      <c r="V652" s="8" t="s">
        <v>300</v>
      </c>
      <c r="W652" t="s">
        <v>795</v>
      </c>
    </row>
    <row r="653" spans="2:23" hidden="1">
      <c r="B653" t="s">
        <v>295</v>
      </c>
      <c r="C653" t="s">
        <v>296</v>
      </c>
      <c r="E653">
        <v>1998</v>
      </c>
      <c r="F653" s="12" t="s">
        <v>670</v>
      </c>
      <c r="H653" t="s">
        <v>297</v>
      </c>
      <c r="I653" t="s">
        <v>298</v>
      </c>
      <c r="L653"/>
      <c r="M653" t="s">
        <v>299</v>
      </c>
      <c r="O653" t="s">
        <v>29</v>
      </c>
      <c r="P653" t="s">
        <v>30</v>
      </c>
      <c r="Q653">
        <v>8</v>
      </c>
      <c r="S653" s="9">
        <v>41.9</v>
      </c>
      <c r="T653" s="9"/>
      <c r="U653" s="9"/>
      <c r="V653" s="8" t="s">
        <v>300</v>
      </c>
    </row>
    <row r="654" spans="2:23" hidden="1">
      <c r="B654" t="s">
        <v>301</v>
      </c>
      <c r="C654" t="s">
        <v>296</v>
      </c>
      <c r="E654" s="10" t="s">
        <v>262</v>
      </c>
      <c r="H654" t="s">
        <v>297</v>
      </c>
      <c r="I654" t="s">
        <v>302</v>
      </c>
      <c r="J654" t="s">
        <v>303</v>
      </c>
      <c r="L654" s="5" t="s">
        <v>304</v>
      </c>
      <c r="O654" t="s">
        <v>26</v>
      </c>
      <c r="P654" t="s">
        <v>27</v>
      </c>
      <c r="Q654">
        <v>13</v>
      </c>
      <c r="S654" s="9">
        <v>17.399999999999999</v>
      </c>
      <c r="T654" s="9"/>
      <c r="U654" s="9"/>
      <c r="V654" s="8" t="s">
        <v>305</v>
      </c>
    </row>
    <row r="655" spans="2:23" hidden="1">
      <c r="B655" t="s">
        <v>301</v>
      </c>
      <c r="C655" t="s">
        <v>296</v>
      </c>
      <c r="E655" s="10" t="s">
        <v>262</v>
      </c>
      <c r="H655" t="s">
        <v>297</v>
      </c>
      <c r="I655" t="s">
        <v>302</v>
      </c>
      <c r="J655" t="s">
        <v>303</v>
      </c>
      <c r="L655" s="5" t="s">
        <v>304</v>
      </c>
      <c r="O655" t="s">
        <v>29</v>
      </c>
      <c r="P655" t="s">
        <v>30</v>
      </c>
      <c r="Q655">
        <v>13</v>
      </c>
      <c r="S655" s="9">
        <v>33.799999999999997</v>
      </c>
      <c r="T655" s="9"/>
      <c r="U655" s="9"/>
      <c r="V655" s="8" t="s">
        <v>305</v>
      </c>
    </row>
    <row r="656" spans="2:23" hidden="1">
      <c r="B656" t="s">
        <v>301</v>
      </c>
      <c r="C656" t="s">
        <v>296</v>
      </c>
      <c r="E656" s="10" t="s">
        <v>262</v>
      </c>
      <c r="H656" t="s">
        <v>297</v>
      </c>
      <c r="I656" t="s">
        <v>302</v>
      </c>
      <c r="J656" t="s">
        <v>306</v>
      </c>
      <c r="L656" s="12" t="s">
        <v>307</v>
      </c>
      <c r="O656" t="s">
        <v>26</v>
      </c>
      <c r="P656" t="s">
        <v>27</v>
      </c>
      <c r="Q656">
        <v>7</v>
      </c>
      <c r="S656" s="9">
        <v>8.3000000000000007</v>
      </c>
      <c r="T656" s="9"/>
      <c r="U656" s="9"/>
      <c r="V656" s="8" t="s">
        <v>305</v>
      </c>
    </row>
    <row r="657" spans="2:22" hidden="1">
      <c r="B657" t="s">
        <v>301</v>
      </c>
      <c r="C657" t="s">
        <v>296</v>
      </c>
      <c r="E657" s="10" t="s">
        <v>262</v>
      </c>
      <c r="H657" t="s">
        <v>297</v>
      </c>
      <c r="I657" t="s">
        <v>302</v>
      </c>
      <c r="J657" t="s">
        <v>306</v>
      </c>
      <c r="L657" s="12" t="s">
        <v>307</v>
      </c>
      <c r="O657" t="s">
        <v>29</v>
      </c>
      <c r="P657" t="s">
        <v>30</v>
      </c>
      <c r="Q657">
        <v>7</v>
      </c>
      <c r="S657" s="9">
        <v>35.9</v>
      </c>
      <c r="T657" s="9"/>
      <c r="U657" s="9"/>
      <c r="V657" s="8" t="s">
        <v>305</v>
      </c>
    </row>
    <row r="658" spans="2:22" hidden="1">
      <c r="B658" t="s">
        <v>308</v>
      </c>
      <c r="C658" t="s">
        <v>296</v>
      </c>
      <c r="E658" s="10" t="s">
        <v>262</v>
      </c>
      <c r="F658" s="12" t="s">
        <v>622</v>
      </c>
      <c r="H658" t="s">
        <v>309</v>
      </c>
      <c r="I658" t="s">
        <v>310</v>
      </c>
      <c r="J658" t="s">
        <v>311</v>
      </c>
      <c r="L658" s="5" t="s">
        <v>312</v>
      </c>
      <c r="O658" t="s">
        <v>45</v>
      </c>
      <c r="P658" t="s">
        <v>44</v>
      </c>
      <c r="Q658" s="5" t="s">
        <v>313</v>
      </c>
      <c r="S658" s="9">
        <v>9.9</v>
      </c>
      <c r="T658" s="9"/>
      <c r="U658" s="9"/>
      <c r="V658" s="8" t="s">
        <v>314</v>
      </c>
    </row>
    <row r="659" spans="2:22" hidden="1">
      <c r="B659" t="s">
        <v>308</v>
      </c>
      <c r="C659" t="s">
        <v>296</v>
      </c>
      <c r="E659" s="10" t="s">
        <v>262</v>
      </c>
      <c r="F659" s="12" t="s">
        <v>622</v>
      </c>
      <c r="H659" t="s">
        <v>309</v>
      </c>
      <c r="I659" t="s">
        <v>310</v>
      </c>
      <c r="J659" t="s">
        <v>311</v>
      </c>
      <c r="L659" s="5" t="s">
        <v>312</v>
      </c>
      <c r="O659" t="s">
        <v>47</v>
      </c>
      <c r="P659" t="s">
        <v>46</v>
      </c>
      <c r="Q659" s="5" t="s">
        <v>313</v>
      </c>
      <c r="S659" s="9">
        <v>3.5</v>
      </c>
      <c r="T659" s="9"/>
      <c r="U659" s="9"/>
      <c r="V659" s="8" t="s">
        <v>314</v>
      </c>
    </row>
    <row r="660" spans="2:22" hidden="1">
      <c r="B660" t="s">
        <v>308</v>
      </c>
      <c r="C660" t="s">
        <v>296</v>
      </c>
      <c r="E660" s="10" t="s">
        <v>262</v>
      </c>
      <c r="F660" s="12" t="s">
        <v>622</v>
      </c>
      <c r="H660" t="s">
        <v>309</v>
      </c>
      <c r="I660" t="s">
        <v>310</v>
      </c>
      <c r="J660" t="s">
        <v>311</v>
      </c>
      <c r="L660" s="5" t="s">
        <v>312</v>
      </c>
      <c r="O660" t="s">
        <v>315</v>
      </c>
      <c r="Q660" s="5" t="s">
        <v>313</v>
      </c>
      <c r="S660" s="9">
        <v>15.4</v>
      </c>
      <c r="T660" s="9"/>
      <c r="U660" s="9"/>
      <c r="V660" s="8" t="s">
        <v>314</v>
      </c>
    </row>
    <row r="661" spans="2:22" hidden="1">
      <c r="B661" t="s">
        <v>308</v>
      </c>
      <c r="C661" t="s">
        <v>296</v>
      </c>
      <c r="E661" s="10" t="s">
        <v>262</v>
      </c>
      <c r="F661" s="12" t="s">
        <v>622</v>
      </c>
      <c r="H661" t="s">
        <v>309</v>
      </c>
      <c r="I661" t="s">
        <v>310</v>
      </c>
      <c r="J661" t="s">
        <v>311</v>
      </c>
      <c r="L661" s="5" t="s">
        <v>312</v>
      </c>
      <c r="O661" t="s">
        <v>49</v>
      </c>
      <c r="P661" t="s">
        <v>48</v>
      </c>
      <c r="Q661" s="5" t="s">
        <v>313</v>
      </c>
      <c r="S661" s="9">
        <v>25.8</v>
      </c>
      <c r="T661" s="9"/>
      <c r="U661" s="9"/>
      <c r="V661" s="8" t="s">
        <v>314</v>
      </c>
    </row>
    <row r="662" spans="2:22" hidden="1">
      <c r="B662" t="s">
        <v>308</v>
      </c>
      <c r="C662" t="s">
        <v>296</v>
      </c>
      <c r="E662" s="10" t="s">
        <v>262</v>
      </c>
      <c r="F662" s="12" t="s">
        <v>622</v>
      </c>
      <c r="H662" t="s">
        <v>309</v>
      </c>
      <c r="I662" t="s">
        <v>310</v>
      </c>
      <c r="J662" t="s">
        <v>311</v>
      </c>
      <c r="L662" s="5" t="s">
        <v>312</v>
      </c>
      <c r="O662" t="s">
        <v>50</v>
      </c>
      <c r="Q662" s="5" t="s">
        <v>313</v>
      </c>
      <c r="S662" s="9">
        <v>23.3</v>
      </c>
      <c r="T662" s="9"/>
      <c r="U662" s="9"/>
      <c r="V662" s="8" t="s">
        <v>314</v>
      </c>
    </row>
    <row r="663" spans="2:22" hidden="1">
      <c r="B663" t="s">
        <v>308</v>
      </c>
      <c r="C663" t="s">
        <v>296</v>
      </c>
      <c r="E663" s="10" t="s">
        <v>262</v>
      </c>
      <c r="F663" s="12" t="s">
        <v>622</v>
      </c>
      <c r="H663" t="s">
        <v>309</v>
      </c>
      <c r="I663" t="s">
        <v>316</v>
      </c>
      <c r="J663" t="s">
        <v>317</v>
      </c>
      <c r="L663" s="5" t="s">
        <v>312</v>
      </c>
      <c r="O663" t="s">
        <v>45</v>
      </c>
      <c r="P663" t="s">
        <v>44</v>
      </c>
      <c r="Q663" s="5" t="s">
        <v>313</v>
      </c>
      <c r="S663" s="9">
        <v>25.2</v>
      </c>
      <c r="T663" s="9"/>
      <c r="U663" s="9"/>
      <c r="V663" s="8" t="s">
        <v>314</v>
      </c>
    </row>
    <row r="664" spans="2:22" hidden="1">
      <c r="B664" t="s">
        <v>308</v>
      </c>
      <c r="C664" t="s">
        <v>296</v>
      </c>
      <c r="E664" s="10" t="s">
        <v>262</v>
      </c>
      <c r="F664" s="12" t="s">
        <v>622</v>
      </c>
      <c r="H664" t="s">
        <v>309</v>
      </c>
      <c r="I664" t="s">
        <v>316</v>
      </c>
      <c r="J664" t="s">
        <v>317</v>
      </c>
      <c r="L664" s="5" t="s">
        <v>312</v>
      </c>
      <c r="O664" t="s">
        <v>47</v>
      </c>
      <c r="P664" t="s">
        <v>46</v>
      </c>
      <c r="Q664" s="5" t="s">
        <v>313</v>
      </c>
      <c r="S664" s="9">
        <v>7.6</v>
      </c>
      <c r="T664" s="9"/>
      <c r="U664" s="9"/>
      <c r="V664" s="8" t="s">
        <v>314</v>
      </c>
    </row>
    <row r="665" spans="2:22" hidden="1">
      <c r="B665" t="s">
        <v>308</v>
      </c>
      <c r="C665" t="s">
        <v>296</v>
      </c>
      <c r="E665" s="10" t="s">
        <v>262</v>
      </c>
      <c r="F665" s="12" t="s">
        <v>622</v>
      </c>
      <c r="H665" t="s">
        <v>309</v>
      </c>
      <c r="I665" t="s">
        <v>316</v>
      </c>
      <c r="J665" t="s">
        <v>317</v>
      </c>
      <c r="L665" s="5" t="s">
        <v>312</v>
      </c>
      <c r="O665" t="s">
        <v>315</v>
      </c>
      <c r="Q665" s="5" t="s">
        <v>313</v>
      </c>
      <c r="S665" s="9">
        <v>15.1</v>
      </c>
      <c r="T665" s="9"/>
      <c r="U665" s="9"/>
      <c r="V665" s="8" t="s">
        <v>314</v>
      </c>
    </row>
    <row r="666" spans="2:22" hidden="1">
      <c r="B666" t="s">
        <v>308</v>
      </c>
      <c r="C666" t="s">
        <v>296</v>
      </c>
      <c r="E666" s="10" t="s">
        <v>262</v>
      </c>
      <c r="F666" s="12" t="s">
        <v>622</v>
      </c>
      <c r="H666" t="s">
        <v>309</v>
      </c>
      <c r="I666" t="s">
        <v>316</v>
      </c>
      <c r="J666" t="s">
        <v>317</v>
      </c>
      <c r="L666" s="5" t="s">
        <v>312</v>
      </c>
      <c r="O666" t="s">
        <v>49</v>
      </c>
      <c r="P666" t="s">
        <v>48</v>
      </c>
      <c r="Q666" s="5" t="s">
        <v>313</v>
      </c>
      <c r="S666" s="9">
        <v>11.8</v>
      </c>
      <c r="T666" s="9"/>
      <c r="U666" s="9"/>
      <c r="V666" s="8" t="s">
        <v>314</v>
      </c>
    </row>
    <row r="667" spans="2:22" hidden="1">
      <c r="B667" t="s">
        <v>308</v>
      </c>
      <c r="C667" t="s">
        <v>296</v>
      </c>
      <c r="E667" s="10" t="s">
        <v>262</v>
      </c>
      <c r="F667" s="12" t="s">
        <v>622</v>
      </c>
      <c r="H667" t="s">
        <v>309</v>
      </c>
      <c r="I667" t="s">
        <v>316</v>
      </c>
      <c r="J667" t="s">
        <v>317</v>
      </c>
      <c r="L667" s="5" t="s">
        <v>312</v>
      </c>
      <c r="O667" t="s">
        <v>50</v>
      </c>
      <c r="Q667" s="5" t="s">
        <v>313</v>
      </c>
      <c r="S667" s="9">
        <v>13.6</v>
      </c>
      <c r="T667" s="9"/>
      <c r="U667" s="9"/>
      <c r="V667" s="8" t="s">
        <v>314</v>
      </c>
    </row>
    <row r="668" spans="2:22" hidden="1">
      <c r="B668" t="s">
        <v>308</v>
      </c>
      <c r="C668" t="s">
        <v>296</v>
      </c>
      <c r="E668" s="10" t="s">
        <v>262</v>
      </c>
      <c r="F668" s="12" t="s">
        <v>622</v>
      </c>
      <c r="H668" t="s">
        <v>309</v>
      </c>
      <c r="I668" t="s">
        <v>316</v>
      </c>
      <c r="J668" t="s">
        <v>318</v>
      </c>
      <c r="L668" s="5" t="s">
        <v>312</v>
      </c>
      <c r="O668" t="s">
        <v>45</v>
      </c>
      <c r="P668" t="s">
        <v>44</v>
      </c>
      <c r="Q668" s="5" t="s">
        <v>313</v>
      </c>
      <c r="S668" s="9">
        <v>25.2</v>
      </c>
      <c r="T668" s="9"/>
      <c r="U668" s="9"/>
      <c r="V668" s="8" t="s">
        <v>314</v>
      </c>
    </row>
    <row r="669" spans="2:22" hidden="1">
      <c r="B669" t="s">
        <v>308</v>
      </c>
      <c r="C669" t="s">
        <v>296</v>
      </c>
      <c r="E669" s="10" t="s">
        <v>262</v>
      </c>
      <c r="F669" s="12" t="s">
        <v>622</v>
      </c>
      <c r="H669" t="s">
        <v>309</v>
      </c>
      <c r="I669" t="s">
        <v>316</v>
      </c>
      <c r="J669" t="s">
        <v>318</v>
      </c>
      <c r="L669" s="5" t="s">
        <v>312</v>
      </c>
      <c r="O669" t="s">
        <v>47</v>
      </c>
      <c r="P669" t="s">
        <v>46</v>
      </c>
      <c r="Q669" s="5" t="s">
        <v>313</v>
      </c>
      <c r="S669" s="9">
        <v>7.6</v>
      </c>
      <c r="T669" s="9"/>
      <c r="U669" s="9"/>
      <c r="V669" s="8" t="s">
        <v>314</v>
      </c>
    </row>
    <row r="670" spans="2:22" hidden="1">
      <c r="B670" t="s">
        <v>308</v>
      </c>
      <c r="C670" t="s">
        <v>296</v>
      </c>
      <c r="E670" s="10" t="s">
        <v>262</v>
      </c>
      <c r="F670" s="12" t="s">
        <v>622</v>
      </c>
      <c r="H670" t="s">
        <v>309</v>
      </c>
      <c r="I670" t="s">
        <v>316</v>
      </c>
      <c r="J670" t="s">
        <v>318</v>
      </c>
      <c r="L670" s="5" t="s">
        <v>312</v>
      </c>
      <c r="O670" t="s">
        <v>315</v>
      </c>
      <c r="Q670" s="5" t="s">
        <v>313</v>
      </c>
      <c r="S670" s="9">
        <v>15.1</v>
      </c>
      <c r="T670" s="9"/>
      <c r="U670" s="9"/>
      <c r="V670" s="8" t="s">
        <v>314</v>
      </c>
    </row>
    <row r="671" spans="2:22" hidden="1">
      <c r="B671" t="s">
        <v>308</v>
      </c>
      <c r="C671" t="s">
        <v>296</v>
      </c>
      <c r="E671" s="10" t="s">
        <v>262</v>
      </c>
      <c r="F671" s="12" t="s">
        <v>622</v>
      </c>
      <c r="H671" t="s">
        <v>309</v>
      </c>
      <c r="I671" t="s">
        <v>316</v>
      </c>
      <c r="J671" t="s">
        <v>318</v>
      </c>
      <c r="L671" s="5" t="s">
        <v>312</v>
      </c>
      <c r="O671" t="s">
        <v>49</v>
      </c>
      <c r="P671" t="s">
        <v>48</v>
      </c>
      <c r="Q671" s="5" t="s">
        <v>313</v>
      </c>
      <c r="S671" s="9">
        <v>11.8</v>
      </c>
      <c r="T671" s="9"/>
      <c r="U671" s="9"/>
      <c r="V671" s="8" t="s">
        <v>314</v>
      </c>
    </row>
    <row r="672" spans="2:22" hidden="1">
      <c r="B672" t="s">
        <v>308</v>
      </c>
      <c r="C672" t="s">
        <v>296</v>
      </c>
      <c r="E672" s="10" t="s">
        <v>262</v>
      </c>
      <c r="F672" s="12" t="s">
        <v>622</v>
      </c>
      <c r="H672" t="s">
        <v>309</v>
      </c>
      <c r="I672" t="s">
        <v>316</v>
      </c>
      <c r="J672" t="s">
        <v>318</v>
      </c>
      <c r="L672" s="5" t="s">
        <v>312</v>
      </c>
      <c r="O672" t="s">
        <v>50</v>
      </c>
      <c r="Q672" s="5" t="s">
        <v>313</v>
      </c>
      <c r="S672" s="9">
        <v>13.6</v>
      </c>
      <c r="T672" s="9"/>
      <c r="U672" s="9"/>
      <c r="V672" s="8" t="s">
        <v>314</v>
      </c>
    </row>
    <row r="673" spans="2:22" hidden="1">
      <c r="B673" t="s">
        <v>308</v>
      </c>
      <c r="C673" t="s">
        <v>296</v>
      </c>
      <c r="E673" s="10" t="s">
        <v>262</v>
      </c>
      <c r="F673" s="12" t="s">
        <v>622</v>
      </c>
      <c r="H673" t="s">
        <v>309</v>
      </c>
      <c r="I673" t="s">
        <v>316</v>
      </c>
      <c r="J673" t="s">
        <v>319</v>
      </c>
      <c r="L673" s="5" t="s">
        <v>312</v>
      </c>
      <c r="O673" t="s">
        <v>45</v>
      </c>
      <c r="P673" t="s">
        <v>44</v>
      </c>
      <c r="Q673" s="5" t="s">
        <v>313</v>
      </c>
      <c r="S673" s="9">
        <v>6.2</v>
      </c>
      <c r="T673" s="9"/>
      <c r="U673" s="9"/>
      <c r="V673" s="8" t="s">
        <v>314</v>
      </c>
    </row>
    <row r="674" spans="2:22" hidden="1">
      <c r="B674" t="s">
        <v>308</v>
      </c>
      <c r="C674" t="s">
        <v>296</v>
      </c>
      <c r="E674" s="10" t="s">
        <v>262</v>
      </c>
      <c r="F674" s="12" t="s">
        <v>622</v>
      </c>
      <c r="H674" t="s">
        <v>309</v>
      </c>
      <c r="I674" t="s">
        <v>316</v>
      </c>
      <c r="J674" t="s">
        <v>319</v>
      </c>
      <c r="L674" s="5" t="s">
        <v>312</v>
      </c>
      <c r="O674" t="s">
        <v>47</v>
      </c>
      <c r="P674" t="s">
        <v>46</v>
      </c>
      <c r="Q674" s="5" t="s">
        <v>313</v>
      </c>
      <c r="S674" s="9">
        <v>9.6999999999999993</v>
      </c>
      <c r="T674" s="9"/>
      <c r="U674" s="9"/>
      <c r="V674" s="8" t="s">
        <v>314</v>
      </c>
    </row>
    <row r="675" spans="2:22" hidden="1">
      <c r="B675" t="s">
        <v>308</v>
      </c>
      <c r="C675" t="s">
        <v>296</v>
      </c>
      <c r="E675" s="10" t="s">
        <v>262</v>
      </c>
      <c r="F675" s="12" t="s">
        <v>622</v>
      </c>
      <c r="H675" t="s">
        <v>309</v>
      </c>
      <c r="I675" t="s">
        <v>316</v>
      </c>
      <c r="J675" t="s">
        <v>319</v>
      </c>
      <c r="L675" s="5" t="s">
        <v>312</v>
      </c>
      <c r="O675" t="s">
        <v>315</v>
      </c>
      <c r="Q675" s="5" t="s">
        <v>313</v>
      </c>
      <c r="S675" s="9">
        <v>12.1</v>
      </c>
      <c r="T675" s="9"/>
      <c r="U675" s="9"/>
      <c r="V675" s="8" t="s">
        <v>314</v>
      </c>
    </row>
    <row r="676" spans="2:22" hidden="1">
      <c r="B676" t="s">
        <v>308</v>
      </c>
      <c r="C676" t="s">
        <v>296</v>
      </c>
      <c r="E676" s="10" t="s">
        <v>262</v>
      </c>
      <c r="F676" s="12" t="s">
        <v>622</v>
      </c>
      <c r="H676" t="s">
        <v>309</v>
      </c>
      <c r="I676" t="s">
        <v>316</v>
      </c>
      <c r="J676" t="s">
        <v>319</v>
      </c>
      <c r="L676" s="5" t="s">
        <v>312</v>
      </c>
      <c r="O676" t="s">
        <v>49</v>
      </c>
      <c r="P676" t="s">
        <v>48</v>
      </c>
      <c r="Q676" s="5" t="s">
        <v>313</v>
      </c>
      <c r="S676" s="9">
        <v>27.7</v>
      </c>
      <c r="T676" s="9"/>
      <c r="U676" s="9"/>
      <c r="V676" s="8" t="s">
        <v>314</v>
      </c>
    </row>
    <row r="677" spans="2:22" hidden="1">
      <c r="B677" t="s">
        <v>308</v>
      </c>
      <c r="C677" t="s">
        <v>296</v>
      </c>
      <c r="E677" s="10" t="s">
        <v>262</v>
      </c>
      <c r="F677" s="12" t="s">
        <v>622</v>
      </c>
      <c r="H677" t="s">
        <v>309</v>
      </c>
      <c r="I677" t="s">
        <v>316</v>
      </c>
      <c r="J677" t="s">
        <v>319</v>
      </c>
      <c r="L677" s="5" t="s">
        <v>312</v>
      </c>
      <c r="O677" t="s">
        <v>50</v>
      </c>
      <c r="Q677" s="5" t="s">
        <v>313</v>
      </c>
      <c r="S677" s="9">
        <v>16.7</v>
      </c>
      <c r="T677" s="9"/>
      <c r="U677" s="9"/>
      <c r="V677" s="8" t="s">
        <v>314</v>
      </c>
    </row>
    <row r="678" spans="2:22" hidden="1">
      <c r="B678" t="s">
        <v>308</v>
      </c>
      <c r="C678" t="s">
        <v>296</v>
      </c>
      <c r="E678" s="10" t="s">
        <v>262</v>
      </c>
      <c r="F678" s="12" t="s">
        <v>622</v>
      </c>
      <c r="H678" t="s">
        <v>309</v>
      </c>
      <c r="I678" t="s">
        <v>320</v>
      </c>
      <c r="J678" t="s">
        <v>321</v>
      </c>
      <c r="L678" s="5" t="s">
        <v>312</v>
      </c>
      <c r="O678" t="s">
        <v>45</v>
      </c>
      <c r="P678" t="s">
        <v>44</v>
      </c>
      <c r="Q678" s="5" t="s">
        <v>313</v>
      </c>
      <c r="S678" s="9">
        <v>4.9000000000000004</v>
      </c>
      <c r="T678" s="9"/>
      <c r="U678" s="9"/>
      <c r="V678" s="8" t="s">
        <v>314</v>
      </c>
    </row>
    <row r="679" spans="2:22" hidden="1">
      <c r="B679" t="s">
        <v>308</v>
      </c>
      <c r="C679" t="s">
        <v>296</v>
      </c>
      <c r="E679" s="10" t="s">
        <v>262</v>
      </c>
      <c r="F679" s="12" t="s">
        <v>622</v>
      </c>
      <c r="H679" t="s">
        <v>309</v>
      </c>
      <c r="I679" t="s">
        <v>320</v>
      </c>
      <c r="J679" t="s">
        <v>321</v>
      </c>
      <c r="L679" s="5" t="s">
        <v>312</v>
      </c>
      <c r="O679" t="s">
        <v>47</v>
      </c>
      <c r="P679" t="s">
        <v>46</v>
      </c>
      <c r="Q679" s="5" t="s">
        <v>313</v>
      </c>
      <c r="S679" s="9">
        <v>2.6</v>
      </c>
      <c r="T679" s="9"/>
      <c r="U679" s="9"/>
      <c r="V679" s="8" t="s">
        <v>314</v>
      </c>
    </row>
    <row r="680" spans="2:22" hidden="1">
      <c r="B680" t="s">
        <v>308</v>
      </c>
      <c r="C680" t="s">
        <v>296</v>
      </c>
      <c r="E680" s="10" t="s">
        <v>262</v>
      </c>
      <c r="F680" s="12" t="s">
        <v>622</v>
      </c>
      <c r="H680" t="s">
        <v>309</v>
      </c>
      <c r="I680" t="s">
        <v>320</v>
      </c>
      <c r="J680" t="s">
        <v>321</v>
      </c>
      <c r="L680" s="5" t="s">
        <v>312</v>
      </c>
      <c r="O680" t="s">
        <v>315</v>
      </c>
      <c r="Q680" s="5" t="s">
        <v>313</v>
      </c>
      <c r="S680" s="9">
        <v>17.2</v>
      </c>
      <c r="T680" s="9"/>
      <c r="U680" s="9"/>
      <c r="V680" s="8" t="s">
        <v>314</v>
      </c>
    </row>
    <row r="681" spans="2:22" hidden="1">
      <c r="B681" t="s">
        <v>308</v>
      </c>
      <c r="C681" t="s">
        <v>296</v>
      </c>
      <c r="E681" s="10" t="s">
        <v>262</v>
      </c>
      <c r="F681" s="12" t="s">
        <v>622</v>
      </c>
      <c r="H681" t="s">
        <v>309</v>
      </c>
      <c r="I681" t="s">
        <v>320</v>
      </c>
      <c r="J681" t="s">
        <v>321</v>
      </c>
      <c r="L681" s="5" t="s">
        <v>312</v>
      </c>
      <c r="O681" t="s">
        <v>49</v>
      </c>
      <c r="P681" t="s">
        <v>48</v>
      </c>
      <c r="Q681" s="5" t="s">
        <v>313</v>
      </c>
      <c r="S681" s="9">
        <v>11.1</v>
      </c>
      <c r="T681" s="9"/>
      <c r="U681" s="9"/>
      <c r="V681" s="8" t="s">
        <v>314</v>
      </c>
    </row>
    <row r="682" spans="2:22" hidden="1">
      <c r="B682" t="s">
        <v>308</v>
      </c>
      <c r="C682" t="s">
        <v>296</v>
      </c>
      <c r="E682" s="10" t="s">
        <v>262</v>
      </c>
      <c r="F682" s="12" t="s">
        <v>622</v>
      </c>
      <c r="H682" t="s">
        <v>309</v>
      </c>
      <c r="I682" t="s">
        <v>320</v>
      </c>
      <c r="J682" t="s">
        <v>321</v>
      </c>
      <c r="L682" s="5" t="s">
        <v>312</v>
      </c>
      <c r="O682" t="s">
        <v>50</v>
      </c>
      <c r="Q682" s="5" t="s">
        <v>313</v>
      </c>
      <c r="S682" s="9">
        <v>21.8</v>
      </c>
      <c r="T682" s="9"/>
      <c r="U682" s="9"/>
      <c r="V682" s="8" t="s">
        <v>314</v>
      </c>
    </row>
    <row r="683" spans="2:22" hidden="1">
      <c r="B683" t="s">
        <v>555</v>
      </c>
      <c r="C683" t="s">
        <v>296</v>
      </c>
      <c r="E683" s="10" t="s">
        <v>552</v>
      </c>
      <c r="F683" s="12" t="s">
        <v>620</v>
      </c>
      <c r="I683" t="s">
        <v>357</v>
      </c>
      <c r="L683" s="5" t="s">
        <v>553</v>
      </c>
      <c r="M683" t="s">
        <v>550</v>
      </c>
      <c r="N683" t="s">
        <v>551</v>
      </c>
      <c r="O683" t="s">
        <v>26</v>
      </c>
      <c r="P683" t="s">
        <v>27</v>
      </c>
      <c r="S683" s="9">
        <v>30.4</v>
      </c>
      <c r="T683" s="9"/>
      <c r="U683" s="9"/>
      <c r="V683" s="8" t="s">
        <v>554</v>
      </c>
    </row>
    <row r="684" spans="2:22" hidden="1">
      <c r="B684" t="s">
        <v>672</v>
      </c>
      <c r="C684" t="s">
        <v>122</v>
      </c>
      <c r="E684" s="12">
        <v>1998</v>
      </c>
      <c r="F684" s="12" t="s">
        <v>620</v>
      </c>
      <c r="H684" t="s">
        <v>673</v>
      </c>
      <c r="I684" t="s">
        <v>124</v>
      </c>
      <c r="K684" t="s">
        <v>196</v>
      </c>
      <c r="L684">
        <v>1</v>
      </c>
      <c r="O684" t="s">
        <v>538</v>
      </c>
      <c r="P684" t="s">
        <v>27</v>
      </c>
      <c r="R684" s="12"/>
      <c r="S684" s="28">
        <v>46</v>
      </c>
      <c r="T684" s="25"/>
      <c r="U684" s="23"/>
      <c r="V684" s="8" t="s">
        <v>671</v>
      </c>
    </row>
    <row r="685" spans="2:22" hidden="1">
      <c r="B685" t="s">
        <v>672</v>
      </c>
      <c r="C685" t="s">
        <v>122</v>
      </c>
      <c r="E685" s="12">
        <v>1998</v>
      </c>
      <c r="F685" s="12" t="s">
        <v>620</v>
      </c>
      <c r="H685" t="s">
        <v>674</v>
      </c>
      <c r="I685" t="s">
        <v>132</v>
      </c>
      <c r="K685" t="s">
        <v>196</v>
      </c>
      <c r="L685">
        <v>1</v>
      </c>
      <c r="O685" t="s">
        <v>538</v>
      </c>
      <c r="P685" t="s">
        <v>27</v>
      </c>
      <c r="R685" s="12"/>
      <c r="S685" s="28">
        <v>35</v>
      </c>
      <c r="T685" s="25"/>
      <c r="U685" s="23"/>
      <c r="V685" s="8" t="s">
        <v>671</v>
      </c>
    </row>
    <row r="686" spans="2:22" hidden="1">
      <c r="B686" t="s">
        <v>672</v>
      </c>
      <c r="C686" t="s">
        <v>122</v>
      </c>
      <c r="E686" s="12">
        <v>1999</v>
      </c>
      <c r="F686" s="12" t="s">
        <v>620</v>
      </c>
      <c r="H686" t="s">
        <v>673</v>
      </c>
      <c r="I686" t="s">
        <v>124</v>
      </c>
      <c r="K686" t="s">
        <v>196</v>
      </c>
      <c r="L686">
        <v>1</v>
      </c>
      <c r="O686" t="s">
        <v>538</v>
      </c>
      <c r="P686" t="s">
        <v>27</v>
      </c>
      <c r="R686" s="12"/>
      <c r="S686" s="28">
        <v>44.2</v>
      </c>
      <c r="T686" s="25"/>
      <c r="U686" s="23"/>
      <c r="V686" s="8" t="s">
        <v>671</v>
      </c>
    </row>
    <row r="687" spans="2:22" hidden="1">
      <c r="B687" t="s">
        <v>672</v>
      </c>
      <c r="C687" t="s">
        <v>122</v>
      </c>
      <c r="E687" s="12">
        <v>1999</v>
      </c>
      <c r="F687" s="12" t="s">
        <v>620</v>
      </c>
      <c r="H687" t="s">
        <v>674</v>
      </c>
      <c r="I687" t="s">
        <v>132</v>
      </c>
      <c r="K687" t="s">
        <v>196</v>
      </c>
      <c r="L687">
        <v>1</v>
      </c>
      <c r="O687" t="s">
        <v>538</v>
      </c>
      <c r="P687" t="s">
        <v>27</v>
      </c>
      <c r="R687" s="12"/>
      <c r="S687" s="28">
        <v>30</v>
      </c>
      <c r="T687" s="25"/>
      <c r="U687" s="23"/>
      <c r="V687" s="8" t="s">
        <v>671</v>
      </c>
    </row>
    <row r="688" spans="2:22" hidden="1">
      <c r="B688" t="s">
        <v>672</v>
      </c>
      <c r="C688" t="s">
        <v>122</v>
      </c>
      <c r="E688" s="12">
        <v>2002</v>
      </c>
      <c r="F688" s="12" t="s">
        <v>620</v>
      </c>
      <c r="H688" t="s">
        <v>673</v>
      </c>
      <c r="I688" t="s">
        <v>124</v>
      </c>
      <c r="K688" t="s">
        <v>196</v>
      </c>
      <c r="L688">
        <v>1</v>
      </c>
      <c r="O688" t="s">
        <v>538</v>
      </c>
      <c r="P688" t="s">
        <v>27</v>
      </c>
      <c r="R688" s="12"/>
      <c r="S688" s="9">
        <v>36.5</v>
      </c>
      <c r="T688" s="25"/>
      <c r="U688" s="23"/>
      <c r="V688" s="8" t="s">
        <v>671</v>
      </c>
    </row>
    <row r="689" spans="2:22" hidden="1">
      <c r="B689" t="s">
        <v>672</v>
      </c>
      <c r="C689" t="s">
        <v>122</v>
      </c>
      <c r="E689" s="12">
        <v>2002</v>
      </c>
      <c r="F689" s="12" t="s">
        <v>620</v>
      </c>
      <c r="H689" t="s">
        <v>674</v>
      </c>
      <c r="I689" t="s">
        <v>132</v>
      </c>
      <c r="K689" t="s">
        <v>196</v>
      </c>
      <c r="L689">
        <v>1</v>
      </c>
      <c r="O689" t="s">
        <v>538</v>
      </c>
      <c r="P689" t="s">
        <v>27</v>
      </c>
      <c r="R689" s="12"/>
      <c r="S689" s="28">
        <v>5</v>
      </c>
      <c r="T689" s="25"/>
      <c r="U689" s="23"/>
      <c r="V689" s="8" t="s">
        <v>671</v>
      </c>
    </row>
    <row r="690" spans="2:22" hidden="1">
      <c r="B690" t="s">
        <v>672</v>
      </c>
      <c r="C690" t="s">
        <v>135</v>
      </c>
      <c r="E690" s="12">
        <v>1998</v>
      </c>
      <c r="F690" s="12" t="s">
        <v>620</v>
      </c>
      <c r="H690" t="s">
        <v>675</v>
      </c>
      <c r="I690" t="s">
        <v>137</v>
      </c>
      <c r="K690" t="s">
        <v>198</v>
      </c>
      <c r="L690">
        <v>8</v>
      </c>
      <c r="O690" t="s">
        <v>538</v>
      </c>
      <c r="P690" t="s">
        <v>27</v>
      </c>
      <c r="R690" s="12"/>
      <c r="S690" s="7">
        <v>30.8</v>
      </c>
      <c r="T690" s="25"/>
      <c r="U690" s="23"/>
      <c r="V690" s="8" t="s">
        <v>671</v>
      </c>
    </row>
    <row r="691" spans="2:22" hidden="1">
      <c r="B691" t="s">
        <v>672</v>
      </c>
      <c r="C691" t="s">
        <v>135</v>
      </c>
      <c r="E691" s="12">
        <v>1999</v>
      </c>
      <c r="F691" s="12" t="s">
        <v>620</v>
      </c>
      <c r="H691" t="s">
        <v>675</v>
      </c>
      <c r="I691" t="s">
        <v>137</v>
      </c>
      <c r="K691" t="s">
        <v>198</v>
      </c>
      <c r="L691">
        <v>8</v>
      </c>
      <c r="O691" t="s">
        <v>538</v>
      </c>
      <c r="P691" t="s">
        <v>27</v>
      </c>
      <c r="R691" s="12"/>
      <c r="S691" s="7">
        <v>40.700000000000003</v>
      </c>
      <c r="T691" s="25"/>
      <c r="U691" s="23"/>
      <c r="V691" s="8" t="s">
        <v>671</v>
      </c>
    </row>
    <row r="692" spans="2:22" hidden="1">
      <c r="B692" t="s">
        <v>672</v>
      </c>
      <c r="C692" t="s">
        <v>135</v>
      </c>
      <c r="E692" s="12">
        <v>1999</v>
      </c>
      <c r="F692" s="12" t="s">
        <v>620</v>
      </c>
      <c r="H692" t="s">
        <v>675</v>
      </c>
      <c r="I692" t="s">
        <v>142</v>
      </c>
      <c r="K692" t="s">
        <v>198</v>
      </c>
      <c r="L692">
        <v>10</v>
      </c>
      <c r="O692" t="s">
        <v>538</v>
      </c>
      <c r="P692" t="s">
        <v>27</v>
      </c>
      <c r="R692" s="12"/>
      <c r="S692" s="7">
        <v>42.3</v>
      </c>
      <c r="T692" s="25"/>
      <c r="U692" s="23"/>
      <c r="V692" s="8" t="s">
        <v>671</v>
      </c>
    </row>
    <row r="693" spans="2:22" hidden="1">
      <c r="B693" t="s">
        <v>672</v>
      </c>
      <c r="C693" t="s">
        <v>135</v>
      </c>
      <c r="E693" s="12">
        <v>2000</v>
      </c>
      <c r="F693" s="12" t="s">
        <v>620</v>
      </c>
      <c r="H693" t="s">
        <v>675</v>
      </c>
      <c r="I693" t="s">
        <v>137</v>
      </c>
      <c r="K693" t="s">
        <v>198</v>
      </c>
      <c r="L693">
        <v>8</v>
      </c>
      <c r="O693" t="s">
        <v>538</v>
      </c>
      <c r="P693" t="s">
        <v>27</v>
      </c>
      <c r="R693" s="12"/>
      <c r="S693" s="7">
        <v>41.9</v>
      </c>
      <c r="T693" s="25"/>
      <c r="U693" s="23"/>
      <c r="V693" s="8" t="s">
        <v>671</v>
      </c>
    </row>
    <row r="694" spans="2:22" hidden="1">
      <c r="B694" t="s">
        <v>672</v>
      </c>
      <c r="C694" t="s">
        <v>135</v>
      </c>
      <c r="E694" s="12">
        <v>2002</v>
      </c>
      <c r="F694" s="12" t="s">
        <v>620</v>
      </c>
      <c r="H694" t="s">
        <v>675</v>
      </c>
      <c r="I694" t="s">
        <v>137</v>
      </c>
      <c r="K694" t="s">
        <v>198</v>
      </c>
      <c r="L694">
        <v>8</v>
      </c>
      <c r="O694" t="s">
        <v>538</v>
      </c>
      <c r="P694" t="s">
        <v>27</v>
      </c>
      <c r="R694" s="12"/>
      <c r="S694" s="7">
        <v>42</v>
      </c>
      <c r="T694" s="25"/>
      <c r="U694" s="23"/>
      <c r="V694" s="8" t="s">
        <v>671</v>
      </c>
    </row>
    <row r="695" spans="2:22" hidden="1">
      <c r="B695" t="s">
        <v>672</v>
      </c>
      <c r="C695" t="s">
        <v>676</v>
      </c>
      <c r="E695" s="12">
        <v>1998</v>
      </c>
      <c r="F695" s="12" t="s">
        <v>620</v>
      </c>
      <c r="H695" t="s">
        <v>677</v>
      </c>
      <c r="I695" t="s">
        <v>678</v>
      </c>
      <c r="K695" t="s">
        <v>196</v>
      </c>
      <c r="L695">
        <v>-0.5</v>
      </c>
      <c r="O695" t="s">
        <v>538</v>
      </c>
      <c r="P695" t="s">
        <v>27</v>
      </c>
      <c r="R695" s="12"/>
      <c r="S695" s="7">
        <v>6.3</v>
      </c>
      <c r="T695" s="25"/>
      <c r="U695" s="23"/>
      <c r="V695" s="8" t="s">
        <v>671</v>
      </c>
    </row>
    <row r="696" spans="2:22" hidden="1">
      <c r="B696" t="s">
        <v>672</v>
      </c>
      <c r="C696" t="s">
        <v>676</v>
      </c>
      <c r="E696" s="12">
        <v>1998</v>
      </c>
      <c r="F696" s="12" t="s">
        <v>620</v>
      </c>
      <c r="H696" t="s">
        <v>211</v>
      </c>
      <c r="I696" t="s">
        <v>678</v>
      </c>
      <c r="K696" t="s">
        <v>196</v>
      </c>
      <c r="L696">
        <v>-6</v>
      </c>
      <c r="O696" t="s">
        <v>538</v>
      </c>
      <c r="P696" t="s">
        <v>27</v>
      </c>
      <c r="R696" s="12"/>
      <c r="S696" s="7">
        <v>15</v>
      </c>
      <c r="T696" s="25"/>
      <c r="U696" s="23"/>
      <c r="V696" s="8" t="s">
        <v>671</v>
      </c>
    </row>
    <row r="697" spans="2:22" hidden="1">
      <c r="B697" t="s">
        <v>672</v>
      </c>
      <c r="C697" t="s">
        <v>676</v>
      </c>
      <c r="E697" s="12">
        <v>1999</v>
      </c>
      <c r="F697" s="12" t="s">
        <v>620</v>
      </c>
      <c r="H697" t="s">
        <v>677</v>
      </c>
      <c r="I697" t="s">
        <v>678</v>
      </c>
      <c r="K697" t="s">
        <v>196</v>
      </c>
      <c r="L697">
        <v>-0.5</v>
      </c>
      <c r="O697" t="s">
        <v>538</v>
      </c>
      <c r="P697" t="s">
        <v>27</v>
      </c>
      <c r="R697" s="12"/>
      <c r="S697" s="7">
        <v>4.5999999999999996</v>
      </c>
      <c r="T697" s="25"/>
      <c r="U697" s="23"/>
      <c r="V697" s="8" t="s">
        <v>671</v>
      </c>
    </row>
    <row r="698" spans="2:22" hidden="1">
      <c r="B698" t="s">
        <v>672</v>
      </c>
      <c r="C698" t="s">
        <v>676</v>
      </c>
      <c r="E698" s="12">
        <v>1999</v>
      </c>
      <c r="F698" s="12" t="s">
        <v>620</v>
      </c>
      <c r="H698" t="s">
        <v>211</v>
      </c>
      <c r="I698" t="s">
        <v>678</v>
      </c>
      <c r="K698" t="s">
        <v>196</v>
      </c>
      <c r="L698">
        <v>-6</v>
      </c>
      <c r="O698" t="s">
        <v>538</v>
      </c>
      <c r="P698" t="s">
        <v>27</v>
      </c>
      <c r="R698" s="12"/>
      <c r="S698" s="7">
        <v>28</v>
      </c>
      <c r="T698" s="25"/>
      <c r="U698" s="23"/>
      <c r="V698" s="8" t="s">
        <v>671</v>
      </c>
    </row>
    <row r="699" spans="2:22" hidden="1">
      <c r="B699" t="s">
        <v>672</v>
      </c>
      <c r="C699" t="s">
        <v>676</v>
      </c>
      <c r="E699" s="12">
        <v>2000</v>
      </c>
      <c r="F699" s="12" t="s">
        <v>620</v>
      </c>
      <c r="H699" t="s">
        <v>677</v>
      </c>
      <c r="I699" t="s">
        <v>678</v>
      </c>
      <c r="K699" t="s">
        <v>196</v>
      </c>
      <c r="L699">
        <v>-0.5</v>
      </c>
      <c r="O699" t="s">
        <v>538</v>
      </c>
      <c r="P699" t="s">
        <v>27</v>
      </c>
      <c r="R699" s="12"/>
      <c r="S699" s="7">
        <v>16.100000000000001</v>
      </c>
      <c r="T699" s="25"/>
      <c r="U699" s="23"/>
      <c r="V699" s="8" t="s">
        <v>671</v>
      </c>
    </row>
    <row r="700" spans="2:22" hidden="1">
      <c r="B700" t="s">
        <v>672</v>
      </c>
      <c r="C700" t="s">
        <v>676</v>
      </c>
      <c r="E700" s="12">
        <v>2000</v>
      </c>
      <c r="F700" s="12" t="s">
        <v>620</v>
      </c>
      <c r="H700" t="s">
        <v>211</v>
      </c>
      <c r="I700" t="s">
        <v>678</v>
      </c>
      <c r="K700" t="s">
        <v>196</v>
      </c>
      <c r="L700">
        <v>-6</v>
      </c>
      <c r="O700" t="s">
        <v>538</v>
      </c>
      <c r="P700" t="s">
        <v>27</v>
      </c>
      <c r="R700" s="12"/>
      <c r="S700" s="7">
        <v>44.1</v>
      </c>
      <c r="T700" s="25"/>
      <c r="U700" s="23"/>
      <c r="V700" s="8" t="s">
        <v>671</v>
      </c>
    </row>
    <row r="701" spans="2:22" hidden="1">
      <c r="B701" t="s">
        <v>672</v>
      </c>
      <c r="C701" t="s">
        <v>676</v>
      </c>
      <c r="E701" s="12">
        <v>2001</v>
      </c>
      <c r="F701" s="12" t="s">
        <v>620</v>
      </c>
      <c r="H701" t="s">
        <v>677</v>
      </c>
      <c r="I701" t="s">
        <v>678</v>
      </c>
      <c r="K701" t="s">
        <v>196</v>
      </c>
      <c r="L701">
        <v>-0.5</v>
      </c>
      <c r="O701" t="s">
        <v>538</v>
      </c>
      <c r="P701" t="s">
        <v>27</v>
      </c>
      <c r="R701" s="12"/>
      <c r="S701" s="7">
        <v>15</v>
      </c>
      <c r="T701" s="25"/>
      <c r="U701" s="23"/>
      <c r="V701" s="8" t="s">
        <v>671</v>
      </c>
    </row>
    <row r="702" spans="2:22" hidden="1">
      <c r="B702" t="s">
        <v>672</v>
      </c>
      <c r="C702" t="s">
        <v>676</v>
      </c>
      <c r="E702" s="12">
        <v>2001</v>
      </c>
      <c r="F702" s="12" t="s">
        <v>620</v>
      </c>
      <c r="H702" t="s">
        <v>211</v>
      </c>
      <c r="I702" t="s">
        <v>678</v>
      </c>
      <c r="K702" t="s">
        <v>196</v>
      </c>
      <c r="L702">
        <v>-6</v>
      </c>
      <c r="O702" t="s">
        <v>538</v>
      </c>
      <c r="P702" t="s">
        <v>27</v>
      </c>
      <c r="R702" s="12"/>
      <c r="S702" s="7">
        <v>53.7</v>
      </c>
      <c r="T702" s="25"/>
      <c r="U702" s="23"/>
      <c r="V702" s="8" t="s">
        <v>671</v>
      </c>
    </row>
    <row r="703" spans="2:22" hidden="1">
      <c r="B703" t="s">
        <v>672</v>
      </c>
      <c r="C703" t="s">
        <v>676</v>
      </c>
      <c r="E703" s="12">
        <v>1998</v>
      </c>
      <c r="F703" s="12" t="s">
        <v>620</v>
      </c>
      <c r="H703" t="s">
        <v>679</v>
      </c>
      <c r="I703" t="s">
        <v>680</v>
      </c>
      <c r="K703" t="s">
        <v>198</v>
      </c>
      <c r="L703">
        <v>-0.5</v>
      </c>
      <c r="O703" t="s">
        <v>538</v>
      </c>
      <c r="P703" t="s">
        <v>27</v>
      </c>
      <c r="R703" s="12"/>
      <c r="S703" s="7">
        <v>11.9</v>
      </c>
      <c r="T703" s="25"/>
      <c r="U703" s="23"/>
      <c r="V703" s="8" t="s">
        <v>671</v>
      </c>
    </row>
    <row r="704" spans="2:22" hidden="1">
      <c r="B704" t="s">
        <v>672</v>
      </c>
      <c r="C704" t="s">
        <v>676</v>
      </c>
      <c r="E704" s="12">
        <v>1999</v>
      </c>
      <c r="F704" s="12" t="s">
        <v>620</v>
      </c>
      <c r="H704" t="s">
        <v>679</v>
      </c>
      <c r="I704" t="s">
        <v>680</v>
      </c>
      <c r="K704" t="s">
        <v>198</v>
      </c>
      <c r="L704">
        <v>-0.5</v>
      </c>
      <c r="O704" t="s">
        <v>538</v>
      </c>
      <c r="P704" t="s">
        <v>27</v>
      </c>
      <c r="R704" s="12"/>
      <c r="S704" s="9">
        <v>6.2</v>
      </c>
      <c r="T704" s="25"/>
      <c r="U704" s="23"/>
      <c r="V704" s="8" t="s">
        <v>671</v>
      </c>
    </row>
    <row r="705" spans="2:22" hidden="1">
      <c r="B705" t="s">
        <v>672</v>
      </c>
      <c r="C705" t="s">
        <v>676</v>
      </c>
      <c r="E705" s="12">
        <v>1999</v>
      </c>
      <c r="F705" s="12" t="s">
        <v>620</v>
      </c>
      <c r="H705" t="s">
        <v>679</v>
      </c>
      <c r="I705" t="s">
        <v>680</v>
      </c>
      <c r="K705" t="s">
        <v>198</v>
      </c>
      <c r="L705">
        <v>-6</v>
      </c>
      <c r="O705" t="s">
        <v>538</v>
      </c>
      <c r="P705" t="s">
        <v>27</v>
      </c>
      <c r="R705" s="12"/>
      <c r="S705" s="9">
        <v>21.6</v>
      </c>
      <c r="T705" s="25"/>
      <c r="U705" s="23"/>
      <c r="V705" s="8" t="s">
        <v>671</v>
      </c>
    </row>
    <row r="706" spans="2:22" hidden="1">
      <c r="B706" t="s">
        <v>672</v>
      </c>
      <c r="C706" t="s">
        <v>676</v>
      </c>
      <c r="E706" s="12">
        <v>2000</v>
      </c>
      <c r="F706" s="12" t="s">
        <v>620</v>
      </c>
      <c r="H706" t="s">
        <v>679</v>
      </c>
      <c r="I706" t="s">
        <v>680</v>
      </c>
      <c r="K706" t="s">
        <v>198</v>
      </c>
      <c r="L706">
        <v>-0.5</v>
      </c>
      <c r="O706" t="s">
        <v>538</v>
      </c>
      <c r="P706" t="s">
        <v>27</v>
      </c>
      <c r="R706" s="12"/>
      <c r="S706" s="9">
        <v>15.3</v>
      </c>
      <c r="T706" s="25"/>
      <c r="U706" s="23"/>
      <c r="V706" s="8" t="s">
        <v>671</v>
      </c>
    </row>
    <row r="707" spans="2:22" hidden="1">
      <c r="B707" t="s">
        <v>672</v>
      </c>
      <c r="C707" t="s">
        <v>676</v>
      </c>
      <c r="E707" s="12">
        <v>2000</v>
      </c>
      <c r="F707" s="12" t="s">
        <v>620</v>
      </c>
      <c r="H707" t="s">
        <v>679</v>
      </c>
      <c r="I707" t="s">
        <v>680</v>
      </c>
      <c r="K707" t="s">
        <v>198</v>
      </c>
      <c r="L707">
        <v>-6</v>
      </c>
      <c r="O707" t="s">
        <v>538</v>
      </c>
      <c r="P707" t="s">
        <v>27</v>
      </c>
      <c r="R707" s="12"/>
      <c r="S707" s="9">
        <v>16.2</v>
      </c>
      <c r="T707" s="25"/>
      <c r="U707" s="23"/>
      <c r="V707" s="8" t="s">
        <v>671</v>
      </c>
    </row>
    <row r="708" spans="2:22" hidden="1">
      <c r="B708" t="s">
        <v>672</v>
      </c>
      <c r="C708" t="s">
        <v>676</v>
      </c>
      <c r="E708" s="12">
        <v>2001</v>
      </c>
      <c r="F708" s="12" t="s">
        <v>620</v>
      </c>
      <c r="H708" t="s">
        <v>679</v>
      </c>
      <c r="I708" t="s">
        <v>680</v>
      </c>
      <c r="K708" t="s">
        <v>198</v>
      </c>
      <c r="L708">
        <v>-0.5</v>
      </c>
      <c r="O708" t="s">
        <v>538</v>
      </c>
      <c r="P708" t="s">
        <v>27</v>
      </c>
      <c r="R708" s="12"/>
      <c r="S708" s="9">
        <v>15.9</v>
      </c>
      <c r="T708" s="25"/>
      <c r="U708" s="23"/>
      <c r="V708" s="8" t="s">
        <v>671</v>
      </c>
    </row>
    <row r="709" spans="2:22" hidden="1">
      <c r="B709" t="s">
        <v>672</v>
      </c>
      <c r="C709" t="s">
        <v>676</v>
      </c>
      <c r="E709" s="12">
        <v>2001</v>
      </c>
      <c r="F709" s="12" t="s">
        <v>620</v>
      </c>
      <c r="H709" t="s">
        <v>679</v>
      </c>
      <c r="I709" t="s">
        <v>680</v>
      </c>
      <c r="K709" t="s">
        <v>198</v>
      </c>
      <c r="L709">
        <v>-6</v>
      </c>
      <c r="O709" t="s">
        <v>538</v>
      </c>
      <c r="P709" t="s">
        <v>27</v>
      </c>
      <c r="R709" s="12"/>
      <c r="S709" s="9">
        <v>22.3</v>
      </c>
      <c r="T709" s="25"/>
      <c r="U709" s="23"/>
      <c r="V709" s="8" t="s">
        <v>671</v>
      </c>
    </row>
    <row r="710" spans="2:22" hidden="1">
      <c r="B710" t="s">
        <v>672</v>
      </c>
      <c r="C710" t="s">
        <v>676</v>
      </c>
      <c r="E710" s="12">
        <v>1999</v>
      </c>
      <c r="F710" s="12" t="s">
        <v>620</v>
      </c>
      <c r="H710" t="s">
        <v>681</v>
      </c>
      <c r="I710" t="s">
        <v>682</v>
      </c>
      <c r="K710" t="s">
        <v>196</v>
      </c>
      <c r="L710">
        <v>-6</v>
      </c>
      <c r="O710" t="s">
        <v>538</v>
      </c>
      <c r="P710" t="s">
        <v>27</v>
      </c>
      <c r="R710" s="12"/>
      <c r="S710" s="9">
        <v>34.299999999999997</v>
      </c>
      <c r="T710" s="25"/>
      <c r="U710" s="23"/>
      <c r="V710" s="8" t="s">
        <v>671</v>
      </c>
    </row>
    <row r="711" spans="2:22" hidden="1">
      <c r="B711" t="s">
        <v>672</v>
      </c>
      <c r="C711" t="s">
        <v>676</v>
      </c>
      <c r="D711" t="s">
        <v>748</v>
      </c>
      <c r="E711" s="12">
        <v>1999</v>
      </c>
      <c r="F711" s="12" t="s">
        <v>620</v>
      </c>
      <c r="G711" s="12" t="s">
        <v>732</v>
      </c>
      <c r="H711" t="s">
        <v>681</v>
      </c>
      <c r="I711" t="s">
        <v>682</v>
      </c>
      <c r="K711" t="s">
        <v>198</v>
      </c>
      <c r="L711">
        <v>-6</v>
      </c>
      <c r="O711" t="s">
        <v>996</v>
      </c>
      <c r="P711" t="s">
        <v>27</v>
      </c>
      <c r="R711" s="12"/>
      <c r="S711" s="9">
        <v>72.400000000000006</v>
      </c>
      <c r="T711" s="25"/>
      <c r="U711" s="23"/>
      <c r="V711" s="8" t="s">
        <v>671</v>
      </c>
    </row>
    <row r="712" spans="2:22" hidden="1">
      <c r="B712" t="s">
        <v>672</v>
      </c>
      <c r="C712" t="s">
        <v>676</v>
      </c>
      <c r="E712" s="12">
        <v>2000</v>
      </c>
      <c r="F712" s="12" t="s">
        <v>620</v>
      </c>
      <c r="H712" t="s">
        <v>681</v>
      </c>
      <c r="I712" t="s">
        <v>682</v>
      </c>
      <c r="K712" t="s">
        <v>196</v>
      </c>
      <c r="L712">
        <v>-6</v>
      </c>
      <c r="O712" t="s">
        <v>538</v>
      </c>
      <c r="P712" t="s">
        <v>27</v>
      </c>
      <c r="R712" s="12"/>
      <c r="S712" s="9">
        <v>46.7</v>
      </c>
      <c r="T712" s="25"/>
      <c r="U712" s="23"/>
      <c r="V712" s="8" t="s">
        <v>671</v>
      </c>
    </row>
    <row r="713" spans="2:22" hidden="1">
      <c r="B713" t="s">
        <v>672</v>
      </c>
      <c r="C713" t="s">
        <v>676</v>
      </c>
      <c r="E713" s="12">
        <v>2000</v>
      </c>
      <c r="F713" s="12" t="s">
        <v>620</v>
      </c>
      <c r="H713" t="s">
        <v>681</v>
      </c>
      <c r="I713" t="s">
        <v>682</v>
      </c>
      <c r="K713" t="s">
        <v>198</v>
      </c>
      <c r="L713">
        <v>-6</v>
      </c>
      <c r="O713" t="s">
        <v>538</v>
      </c>
      <c r="P713" t="s">
        <v>27</v>
      </c>
      <c r="R713" s="12"/>
      <c r="S713" s="9">
        <v>65.3</v>
      </c>
      <c r="T713" s="25"/>
      <c r="U713" s="23"/>
      <c r="V713" s="8" t="s">
        <v>671</v>
      </c>
    </row>
    <row r="714" spans="2:22" hidden="1">
      <c r="B714" t="s">
        <v>672</v>
      </c>
      <c r="C714" t="s">
        <v>220</v>
      </c>
      <c r="E714" s="12">
        <v>1998</v>
      </c>
      <c r="F714" s="12" t="s">
        <v>620</v>
      </c>
      <c r="I714" t="s">
        <v>683</v>
      </c>
      <c r="K714" t="s">
        <v>196</v>
      </c>
      <c r="L714">
        <v>-0.5</v>
      </c>
      <c r="O714" t="s">
        <v>538</v>
      </c>
      <c r="P714" t="s">
        <v>27</v>
      </c>
      <c r="R714" s="12"/>
      <c r="S714" s="9">
        <v>18</v>
      </c>
      <c r="T714" s="25"/>
      <c r="U714" s="23"/>
      <c r="V714" s="8" t="s">
        <v>671</v>
      </c>
    </row>
    <row r="715" spans="2:22" hidden="1">
      <c r="B715" t="s">
        <v>672</v>
      </c>
      <c r="C715" t="s">
        <v>220</v>
      </c>
      <c r="E715" s="12">
        <v>1998</v>
      </c>
      <c r="F715" s="12" t="s">
        <v>620</v>
      </c>
      <c r="I715" t="s">
        <v>683</v>
      </c>
      <c r="K715" t="s">
        <v>198</v>
      </c>
      <c r="L715">
        <v>-12</v>
      </c>
      <c r="O715" t="s">
        <v>538</v>
      </c>
      <c r="P715" t="s">
        <v>27</v>
      </c>
      <c r="R715" s="12"/>
      <c r="S715" s="9">
        <v>38</v>
      </c>
      <c r="T715" s="25"/>
      <c r="U715" s="23"/>
      <c r="V715" s="8" t="s">
        <v>671</v>
      </c>
    </row>
    <row r="716" spans="2:22" s="40" customFormat="1" hidden="1">
      <c r="B716" s="40" t="s">
        <v>672</v>
      </c>
      <c r="C716" s="40" t="s">
        <v>220</v>
      </c>
      <c r="D716" s="40" t="s">
        <v>749</v>
      </c>
      <c r="E716" s="39">
        <v>1999</v>
      </c>
      <c r="F716" s="39" t="s">
        <v>620</v>
      </c>
      <c r="G716" s="39"/>
      <c r="I716" s="40" t="s">
        <v>683</v>
      </c>
      <c r="K716" s="40" t="s">
        <v>196</v>
      </c>
      <c r="L716" s="40">
        <v>-0.5</v>
      </c>
      <c r="O716" s="40" t="s">
        <v>538</v>
      </c>
      <c r="P716" s="40" t="s">
        <v>27</v>
      </c>
      <c r="R716" s="39"/>
      <c r="S716" s="41">
        <v>40</v>
      </c>
      <c r="T716" s="42"/>
      <c r="U716" s="43"/>
      <c r="V716" s="44" t="s">
        <v>983</v>
      </c>
    </row>
    <row r="717" spans="2:22" s="40" customFormat="1" hidden="1">
      <c r="B717" s="40" t="s">
        <v>672</v>
      </c>
      <c r="C717" s="40" t="s">
        <v>220</v>
      </c>
      <c r="D717" s="40" t="s">
        <v>749</v>
      </c>
      <c r="E717" s="39">
        <v>1999</v>
      </c>
      <c r="F717" s="39" t="s">
        <v>620</v>
      </c>
      <c r="G717" s="39"/>
      <c r="I717" s="40" t="s">
        <v>683</v>
      </c>
      <c r="K717" s="40" t="s">
        <v>198</v>
      </c>
      <c r="L717" s="40">
        <v>-12</v>
      </c>
      <c r="O717" s="40" t="s">
        <v>538</v>
      </c>
      <c r="P717" s="40" t="s">
        <v>27</v>
      </c>
      <c r="R717" s="39"/>
      <c r="S717" s="41">
        <v>40</v>
      </c>
      <c r="T717" s="42"/>
      <c r="U717" s="43"/>
      <c r="V717" s="44" t="s">
        <v>983</v>
      </c>
    </row>
    <row r="718" spans="2:22" hidden="1">
      <c r="B718" t="s">
        <v>672</v>
      </c>
      <c r="C718" t="s">
        <v>220</v>
      </c>
      <c r="E718" s="12">
        <v>2000</v>
      </c>
      <c r="F718" s="12" t="s">
        <v>620</v>
      </c>
      <c r="I718" t="s">
        <v>683</v>
      </c>
      <c r="K718" t="s">
        <v>196</v>
      </c>
      <c r="L718">
        <v>-0.5</v>
      </c>
      <c r="O718" t="s">
        <v>538</v>
      </c>
      <c r="P718" t="s">
        <v>27</v>
      </c>
      <c r="R718" s="12"/>
      <c r="S718" s="9">
        <v>39.200000000000003</v>
      </c>
      <c r="T718" s="25"/>
      <c r="U718" s="23"/>
      <c r="V718" s="8" t="s">
        <v>671</v>
      </c>
    </row>
    <row r="719" spans="2:22" hidden="1">
      <c r="B719" t="s">
        <v>672</v>
      </c>
      <c r="C719" t="s">
        <v>220</v>
      </c>
      <c r="E719" s="12">
        <v>2000</v>
      </c>
      <c r="F719" s="12" t="s">
        <v>620</v>
      </c>
      <c r="I719" t="s">
        <v>683</v>
      </c>
      <c r="K719" t="s">
        <v>198</v>
      </c>
      <c r="L719">
        <v>-12</v>
      </c>
      <c r="O719" t="s">
        <v>538</v>
      </c>
      <c r="P719" t="s">
        <v>27</v>
      </c>
      <c r="R719" s="12"/>
      <c r="S719" s="9">
        <v>48.6</v>
      </c>
      <c r="T719" s="25"/>
      <c r="U719" s="23"/>
      <c r="V719" s="8" t="s">
        <v>671</v>
      </c>
    </row>
    <row r="720" spans="2:22" hidden="1">
      <c r="B720" t="s">
        <v>672</v>
      </c>
      <c r="C720" t="s">
        <v>220</v>
      </c>
      <c r="E720" s="12">
        <v>2001</v>
      </c>
      <c r="F720" s="12" t="s">
        <v>620</v>
      </c>
      <c r="I720" t="s">
        <v>683</v>
      </c>
      <c r="K720" t="s">
        <v>196</v>
      </c>
      <c r="L720">
        <v>-0.5</v>
      </c>
      <c r="O720" t="s">
        <v>538</v>
      </c>
      <c r="P720" t="s">
        <v>27</v>
      </c>
      <c r="R720" s="12"/>
      <c r="S720" s="9">
        <v>39.1</v>
      </c>
      <c r="T720" s="25"/>
      <c r="U720" s="23"/>
      <c r="V720" s="8" t="s">
        <v>671</v>
      </c>
    </row>
    <row r="721" spans="2:22" hidden="1">
      <c r="B721" t="s">
        <v>672</v>
      </c>
      <c r="C721" t="s">
        <v>220</v>
      </c>
      <c r="E721" s="12">
        <v>2001</v>
      </c>
      <c r="F721" s="12" t="s">
        <v>620</v>
      </c>
      <c r="I721" t="s">
        <v>683</v>
      </c>
      <c r="K721" t="s">
        <v>198</v>
      </c>
      <c r="L721">
        <v>-12</v>
      </c>
      <c r="O721" t="s">
        <v>538</v>
      </c>
      <c r="P721" t="s">
        <v>27</v>
      </c>
      <c r="R721" s="12"/>
      <c r="S721" s="9">
        <v>45.2</v>
      </c>
      <c r="T721" s="25"/>
      <c r="U721" s="23"/>
      <c r="V721" s="8" t="s">
        <v>671</v>
      </c>
    </row>
    <row r="722" spans="2:22" hidden="1">
      <c r="B722" t="s">
        <v>672</v>
      </c>
      <c r="C722" t="s">
        <v>220</v>
      </c>
      <c r="E722" s="12">
        <v>2002</v>
      </c>
      <c r="F722" s="12" t="s">
        <v>620</v>
      </c>
      <c r="I722" t="s">
        <v>683</v>
      </c>
      <c r="K722" t="s">
        <v>196</v>
      </c>
      <c r="L722">
        <v>-0.5</v>
      </c>
      <c r="O722" t="s">
        <v>538</v>
      </c>
      <c r="P722" t="s">
        <v>27</v>
      </c>
      <c r="R722" s="12"/>
      <c r="S722" s="9">
        <v>37.1</v>
      </c>
      <c r="T722" s="25"/>
      <c r="U722" s="23"/>
      <c r="V722" s="8" t="s">
        <v>671</v>
      </c>
    </row>
    <row r="723" spans="2:22" hidden="1">
      <c r="B723" t="s">
        <v>672</v>
      </c>
      <c r="C723" t="s">
        <v>220</v>
      </c>
      <c r="E723" s="12">
        <v>2002</v>
      </c>
      <c r="F723" s="12" t="s">
        <v>620</v>
      </c>
      <c r="I723" t="s">
        <v>683</v>
      </c>
      <c r="K723" t="s">
        <v>198</v>
      </c>
      <c r="L723">
        <v>-12</v>
      </c>
      <c r="O723" t="s">
        <v>538</v>
      </c>
      <c r="P723" t="s">
        <v>27</v>
      </c>
      <c r="R723" s="12"/>
      <c r="S723" s="9">
        <v>37</v>
      </c>
      <c r="T723" s="25"/>
      <c r="U723" s="23"/>
      <c r="V723" s="8" t="s">
        <v>671</v>
      </c>
    </row>
    <row r="724" spans="2:22" hidden="1">
      <c r="B724" t="s">
        <v>672</v>
      </c>
      <c r="C724" t="s">
        <v>220</v>
      </c>
      <c r="E724" s="12">
        <v>1998</v>
      </c>
      <c r="F724" s="12" t="s">
        <v>620</v>
      </c>
      <c r="I724" t="s">
        <v>684</v>
      </c>
      <c r="K724" t="s">
        <v>196</v>
      </c>
      <c r="L724">
        <v>-0.5</v>
      </c>
      <c r="O724" t="s">
        <v>538</v>
      </c>
      <c r="P724" t="s">
        <v>27</v>
      </c>
      <c r="R724" s="12"/>
      <c r="S724" s="9">
        <v>31</v>
      </c>
      <c r="T724" s="25"/>
      <c r="U724" s="23"/>
      <c r="V724" s="8" t="s">
        <v>671</v>
      </c>
    </row>
    <row r="725" spans="2:22" hidden="1">
      <c r="B725" t="s">
        <v>672</v>
      </c>
      <c r="C725" t="s">
        <v>220</v>
      </c>
      <c r="E725" s="12">
        <v>1998</v>
      </c>
      <c r="F725" s="12" t="s">
        <v>620</v>
      </c>
      <c r="I725" t="s">
        <v>684</v>
      </c>
      <c r="K725" t="s">
        <v>198</v>
      </c>
      <c r="L725">
        <v>-12</v>
      </c>
      <c r="O725" t="s">
        <v>538</v>
      </c>
      <c r="P725" t="s">
        <v>27</v>
      </c>
      <c r="R725" s="12"/>
      <c r="S725" s="9">
        <v>57</v>
      </c>
      <c r="T725" s="25"/>
      <c r="U725" s="23"/>
      <c r="V725" s="8" t="s">
        <v>671</v>
      </c>
    </row>
    <row r="726" spans="2:22" s="40" customFormat="1" hidden="1">
      <c r="B726" s="40" t="s">
        <v>672</v>
      </c>
      <c r="C726" s="40" t="s">
        <v>220</v>
      </c>
      <c r="D726" s="40" t="s">
        <v>749</v>
      </c>
      <c r="E726" s="39">
        <v>1999</v>
      </c>
      <c r="F726" s="39" t="s">
        <v>620</v>
      </c>
      <c r="G726" s="39"/>
      <c r="I726" s="40" t="s">
        <v>684</v>
      </c>
      <c r="K726" s="40" t="s">
        <v>196</v>
      </c>
      <c r="L726" s="40">
        <v>-0.5</v>
      </c>
      <c r="O726" s="40" t="s">
        <v>538</v>
      </c>
      <c r="P726" s="40" t="s">
        <v>27</v>
      </c>
      <c r="R726" s="39"/>
      <c r="S726" s="41">
        <v>30</v>
      </c>
      <c r="T726" s="42"/>
      <c r="U726" s="43"/>
      <c r="V726" s="44" t="s">
        <v>983</v>
      </c>
    </row>
    <row r="727" spans="2:22" s="40" customFormat="1" hidden="1">
      <c r="B727" s="40" t="s">
        <v>672</v>
      </c>
      <c r="C727" s="40" t="s">
        <v>220</v>
      </c>
      <c r="D727" s="40" t="s">
        <v>749</v>
      </c>
      <c r="E727" s="39">
        <v>1999</v>
      </c>
      <c r="F727" s="39" t="s">
        <v>620</v>
      </c>
      <c r="G727" s="39"/>
      <c r="I727" s="40" t="s">
        <v>684</v>
      </c>
      <c r="K727" s="40" t="s">
        <v>198</v>
      </c>
      <c r="L727" s="40">
        <v>-12</v>
      </c>
      <c r="O727" s="40" t="s">
        <v>538</v>
      </c>
      <c r="P727" s="40" t="s">
        <v>27</v>
      </c>
      <c r="R727" s="39"/>
      <c r="S727" s="41">
        <v>50</v>
      </c>
      <c r="T727" s="42"/>
      <c r="U727" s="43"/>
      <c r="V727" s="44" t="s">
        <v>983</v>
      </c>
    </row>
    <row r="728" spans="2:22" hidden="1">
      <c r="B728" t="s">
        <v>672</v>
      </c>
      <c r="C728" t="s">
        <v>220</v>
      </c>
      <c r="E728" s="12">
        <v>2000</v>
      </c>
      <c r="F728" s="12" t="s">
        <v>620</v>
      </c>
      <c r="I728" t="s">
        <v>684</v>
      </c>
      <c r="K728" t="s">
        <v>196</v>
      </c>
      <c r="L728">
        <v>-0.5</v>
      </c>
      <c r="O728" t="s">
        <v>538</v>
      </c>
      <c r="P728" t="s">
        <v>27</v>
      </c>
      <c r="R728" s="12"/>
      <c r="S728" s="9">
        <v>23.4</v>
      </c>
      <c r="T728" s="25"/>
      <c r="U728" s="23"/>
      <c r="V728" s="8" t="s">
        <v>671</v>
      </c>
    </row>
    <row r="729" spans="2:22" hidden="1">
      <c r="B729" t="s">
        <v>672</v>
      </c>
      <c r="C729" t="s">
        <v>220</v>
      </c>
      <c r="E729" s="12">
        <v>2000</v>
      </c>
      <c r="F729" s="12" t="s">
        <v>620</v>
      </c>
      <c r="I729" t="s">
        <v>684</v>
      </c>
      <c r="K729" t="s">
        <v>198</v>
      </c>
      <c r="L729">
        <v>-12</v>
      </c>
      <c r="O729" t="s">
        <v>538</v>
      </c>
      <c r="P729" t="s">
        <v>27</v>
      </c>
      <c r="R729" s="12"/>
      <c r="S729" s="9">
        <v>39.4</v>
      </c>
      <c r="T729" s="25"/>
      <c r="U729" s="23"/>
      <c r="V729" s="8" t="s">
        <v>671</v>
      </c>
    </row>
    <row r="730" spans="2:22" hidden="1">
      <c r="B730" t="s">
        <v>672</v>
      </c>
      <c r="C730" t="s">
        <v>220</v>
      </c>
      <c r="E730" s="12">
        <v>2001</v>
      </c>
      <c r="F730" s="12" t="s">
        <v>620</v>
      </c>
      <c r="I730" t="s">
        <v>684</v>
      </c>
      <c r="K730" t="s">
        <v>196</v>
      </c>
      <c r="L730">
        <v>-0.5</v>
      </c>
      <c r="O730" t="s">
        <v>538</v>
      </c>
      <c r="P730" t="s">
        <v>27</v>
      </c>
      <c r="R730" s="12"/>
      <c r="S730" s="9">
        <v>36.6</v>
      </c>
      <c r="T730" s="25"/>
      <c r="U730" s="23"/>
      <c r="V730" s="8" t="s">
        <v>671</v>
      </c>
    </row>
    <row r="731" spans="2:22" hidden="1">
      <c r="B731" t="s">
        <v>672</v>
      </c>
      <c r="C731" t="s">
        <v>220</v>
      </c>
      <c r="E731" s="12">
        <v>2001</v>
      </c>
      <c r="F731" s="12" t="s">
        <v>620</v>
      </c>
      <c r="I731" t="s">
        <v>684</v>
      </c>
      <c r="K731" t="s">
        <v>198</v>
      </c>
      <c r="L731">
        <v>-12</v>
      </c>
      <c r="O731" t="s">
        <v>538</v>
      </c>
      <c r="P731" t="s">
        <v>27</v>
      </c>
      <c r="R731" s="12"/>
      <c r="S731" s="9">
        <v>42.9</v>
      </c>
      <c r="T731" s="25"/>
      <c r="U731" s="23"/>
      <c r="V731" s="8" t="s">
        <v>671</v>
      </c>
    </row>
    <row r="732" spans="2:22" hidden="1">
      <c r="B732" t="s">
        <v>672</v>
      </c>
      <c r="C732" t="s">
        <v>220</v>
      </c>
      <c r="E732" s="12">
        <v>2002</v>
      </c>
      <c r="F732" s="12" t="s">
        <v>620</v>
      </c>
      <c r="I732" t="s">
        <v>684</v>
      </c>
      <c r="K732" t="s">
        <v>196</v>
      </c>
      <c r="L732">
        <v>-0.5</v>
      </c>
      <c r="O732" t="s">
        <v>538</v>
      </c>
      <c r="P732" t="s">
        <v>27</v>
      </c>
      <c r="R732" s="12"/>
      <c r="S732" s="9">
        <v>35.700000000000003</v>
      </c>
      <c r="T732" s="23"/>
      <c r="U732" s="23"/>
      <c r="V732" s="8" t="s">
        <v>671</v>
      </c>
    </row>
    <row r="733" spans="2:22" hidden="1">
      <c r="B733" t="s">
        <v>672</v>
      </c>
      <c r="C733" t="s">
        <v>220</v>
      </c>
      <c r="E733" s="12">
        <v>2002</v>
      </c>
      <c r="F733" s="12" t="s">
        <v>620</v>
      </c>
      <c r="I733" t="s">
        <v>684</v>
      </c>
      <c r="K733" t="s">
        <v>198</v>
      </c>
      <c r="L733">
        <v>-12</v>
      </c>
      <c r="O733" t="s">
        <v>538</v>
      </c>
      <c r="P733" t="s">
        <v>27</v>
      </c>
      <c r="R733" s="12"/>
      <c r="S733" s="9">
        <v>38.700000000000003</v>
      </c>
      <c r="T733" s="23"/>
      <c r="U733" s="23"/>
      <c r="V733" s="8" t="s">
        <v>671</v>
      </c>
    </row>
    <row r="734" spans="2:22" hidden="1">
      <c r="B734" t="s">
        <v>672</v>
      </c>
      <c r="C734" t="s">
        <v>220</v>
      </c>
      <c r="D734" t="s">
        <v>749</v>
      </c>
      <c r="E734" s="12">
        <v>1999</v>
      </c>
      <c r="F734" s="12" t="s">
        <v>620</v>
      </c>
      <c r="I734" t="s">
        <v>685</v>
      </c>
      <c r="K734" t="s">
        <v>196</v>
      </c>
      <c r="L734">
        <v>-0.5</v>
      </c>
      <c r="O734" t="s">
        <v>996</v>
      </c>
      <c r="P734" t="s">
        <v>27</v>
      </c>
      <c r="R734" s="12"/>
      <c r="S734" s="9">
        <v>53.5</v>
      </c>
      <c r="T734" s="23"/>
      <c r="U734" s="23"/>
      <c r="V734" s="8" t="s">
        <v>671</v>
      </c>
    </row>
    <row r="735" spans="2:22" hidden="1">
      <c r="B735" t="s">
        <v>672</v>
      </c>
      <c r="C735" t="s">
        <v>220</v>
      </c>
      <c r="D735" t="s">
        <v>749</v>
      </c>
      <c r="E735" s="12">
        <v>1999</v>
      </c>
      <c r="F735" s="12" t="s">
        <v>620</v>
      </c>
      <c r="I735" t="s">
        <v>685</v>
      </c>
      <c r="K735" t="s">
        <v>198</v>
      </c>
      <c r="L735">
        <v>8</v>
      </c>
      <c r="O735" t="s">
        <v>996</v>
      </c>
      <c r="P735" t="s">
        <v>27</v>
      </c>
      <c r="R735" s="12"/>
      <c r="S735" s="9">
        <v>63.6</v>
      </c>
      <c r="T735" s="23"/>
      <c r="U735" s="23"/>
      <c r="V735" s="8" t="s">
        <v>671</v>
      </c>
    </row>
    <row r="736" spans="2:22" hidden="1">
      <c r="B736" t="s">
        <v>672</v>
      </c>
      <c r="C736" t="s">
        <v>220</v>
      </c>
      <c r="E736" s="12">
        <v>2000</v>
      </c>
      <c r="F736" s="12" t="s">
        <v>620</v>
      </c>
      <c r="I736" t="s">
        <v>685</v>
      </c>
      <c r="K736" t="s">
        <v>196</v>
      </c>
      <c r="L736">
        <v>-0.5</v>
      </c>
      <c r="O736" t="s">
        <v>538</v>
      </c>
      <c r="P736" t="s">
        <v>27</v>
      </c>
      <c r="R736" s="12"/>
      <c r="S736" s="9">
        <v>53.4</v>
      </c>
      <c r="T736" s="23"/>
      <c r="U736" s="23"/>
      <c r="V736" s="8" t="s">
        <v>671</v>
      </c>
    </row>
    <row r="737" spans="2:22" hidden="1">
      <c r="B737" t="s">
        <v>672</v>
      </c>
      <c r="C737" t="s">
        <v>220</v>
      </c>
      <c r="E737" s="12">
        <v>2000</v>
      </c>
      <c r="F737" s="12" t="s">
        <v>620</v>
      </c>
      <c r="I737" t="s">
        <v>685</v>
      </c>
      <c r="K737" t="s">
        <v>198</v>
      </c>
      <c r="L737">
        <v>-0.8</v>
      </c>
      <c r="O737" t="s">
        <v>538</v>
      </c>
      <c r="P737" t="s">
        <v>27</v>
      </c>
      <c r="R737" s="12"/>
      <c r="S737" s="9">
        <v>73.5</v>
      </c>
      <c r="T737" s="23"/>
      <c r="U737" s="23"/>
      <c r="V737" s="8" t="s">
        <v>671</v>
      </c>
    </row>
    <row r="738" spans="2:22" hidden="1">
      <c r="B738" t="s">
        <v>672</v>
      </c>
      <c r="C738" t="s">
        <v>220</v>
      </c>
      <c r="E738" s="12">
        <v>2001</v>
      </c>
      <c r="F738" s="12" t="s">
        <v>620</v>
      </c>
      <c r="I738" t="s">
        <v>685</v>
      </c>
      <c r="K738" t="s">
        <v>196</v>
      </c>
      <c r="L738">
        <v>-0.5</v>
      </c>
      <c r="O738" t="s">
        <v>538</v>
      </c>
      <c r="P738" t="s">
        <v>27</v>
      </c>
      <c r="R738" s="12"/>
      <c r="S738" s="9">
        <v>62.6</v>
      </c>
      <c r="T738" s="23"/>
      <c r="U738" s="23"/>
      <c r="V738" s="8" t="s">
        <v>671</v>
      </c>
    </row>
    <row r="739" spans="2:22" hidden="1">
      <c r="B739" t="s">
        <v>672</v>
      </c>
      <c r="C739" t="s">
        <v>220</v>
      </c>
      <c r="E739" s="12">
        <v>2001</v>
      </c>
      <c r="F739" s="12" t="s">
        <v>620</v>
      </c>
      <c r="I739" t="s">
        <v>685</v>
      </c>
      <c r="K739" t="s">
        <v>198</v>
      </c>
      <c r="L739">
        <v>-0.8</v>
      </c>
      <c r="O739" t="s">
        <v>538</v>
      </c>
      <c r="P739" t="s">
        <v>27</v>
      </c>
      <c r="R739" s="12"/>
      <c r="S739" s="9">
        <v>77.099999999999994</v>
      </c>
      <c r="T739" s="23"/>
      <c r="U739" s="23"/>
      <c r="V739" s="8" t="s">
        <v>671</v>
      </c>
    </row>
    <row r="740" spans="2:22" hidden="1">
      <c r="B740" t="s">
        <v>672</v>
      </c>
      <c r="C740" t="s">
        <v>220</v>
      </c>
      <c r="E740" s="12">
        <v>2002</v>
      </c>
      <c r="F740" s="12" t="s">
        <v>620</v>
      </c>
      <c r="I740" t="s">
        <v>685</v>
      </c>
      <c r="K740" t="s">
        <v>196</v>
      </c>
      <c r="L740">
        <v>-0.5</v>
      </c>
      <c r="O740" t="s">
        <v>538</v>
      </c>
      <c r="P740" t="s">
        <v>27</v>
      </c>
      <c r="R740" s="12"/>
      <c r="S740" s="9">
        <v>44.2</v>
      </c>
      <c r="T740" s="23"/>
      <c r="U740" s="23"/>
      <c r="V740" s="8" t="s">
        <v>671</v>
      </c>
    </row>
    <row r="741" spans="2:22" hidden="1">
      <c r="B741" t="s">
        <v>672</v>
      </c>
      <c r="C741" t="s">
        <v>220</v>
      </c>
      <c r="E741" s="12">
        <v>2002</v>
      </c>
      <c r="F741" s="12" t="s">
        <v>620</v>
      </c>
      <c r="I741" t="s">
        <v>685</v>
      </c>
      <c r="K741" t="s">
        <v>198</v>
      </c>
      <c r="L741">
        <v>-0.8</v>
      </c>
      <c r="O741" t="s">
        <v>538</v>
      </c>
      <c r="P741" t="s">
        <v>27</v>
      </c>
      <c r="R741" s="12"/>
      <c r="S741" s="9">
        <v>74.400000000000006</v>
      </c>
      <c r="T741" s="23"/>
      <c r="U741" s="23"/>
      <c r="V741" s="8" t="s">
        <v>671</v>
      </c>
    </row>
    <row r="742" spans="2:22" hidden="1">
      <c r="B742" t="s">
        <v>705</v>
      </c>
      <c r="C742" t="s">
        <v>135</v>
      </c>
      <c r="E742" s="12">
        <v>1999</v>
      </c>
      <c r="F742" s="12" t="s">
        <v>620</v>
      </c>
      <c r="I742" t="s">
        <v>686</v>
      </c>
      <c r="L742">
        <v>2.8</v>
      </c>
      <c r="M742" t="s">
        <v>687</v>
      </c>
      <c r="N742" t="s">
        <v>688</v>
      </c>
      <c r="O742" t="s">
        <v>45</v>
      </c>
      <c r="R742" s="12"/>
      <c r="S742" s="9">
        <v>28.2</v>
      </c>
      <c r="T742" s="23"/>
      <c r="U742" s="23">
        <v>5.9</v>
      </c>
      <c r="V742" s="8" t="s">
        <v>704</v>
      </c>
    </row>
    <row r="743" spans="2:22" hidden="1">
      <c r="B743" t="s">
        <v>705</v>
      </c>
      <c r="C743" t="s">
        <v>135</v>
      </c>
      <c r="E743" s="12">
        <v>1999</v>
      </c>
      <c r="F743" s="12" t="s">
        <v>620</v>
      </c>
      <c r="I743" t="s">
        <v>686</v>
      </c>
      <c r="L743">
        <v>2.8</v>
      </c>
      <c r="M743" t="s">
        <v>687</v>
      </c>
      <c r="N743" t="s">
        <v>688</v>
      </c>
      <c r="O743" t="s">
        <v>47</v>
      </c>
      <c r="R743" s="12"/>
      <c r="S743" s="9">
        <v>21.5</v>
      </c>
      <c r="T743" s="23"/>
      <c r="U743" s="23">
        <v>6.2</v>
      </c>
      <c r="V743" s="8" t="s">
        <v>704</v>
      </c>
    </row>
    <row r="744" spans="2:22" hidden="1">
      <c r="B744" t="s">
        <v>705</v>
      </c>
      <c r="C744" t="s">
        <v>135</v>
      </c>
      <c r="E744" s="12">
        <v>1999</v>
      </c>
      <c r="F744" s="12" t="s">
        <v>620</v>
      </c>
      <c r="I744" t="s">
        <v>686</v>
      </c>
      <c r="L744">
        <v>2.8</v>
      </c>
      <c r="M744" t="s">
        <v>687</v>
      </c>
      <c r="N744" t="s">
        <v>688</v>
      </c>
      <c r="O744" t="s">
        <v>706</v>
      </c>
      <c r="R744" s="12"/>
      <c r="S744" s="9">
        <v>4</v>
      </c>
      <c r="T744" s="23"/>
      <c r="U744" s="23">
        <v>4</v>
      </c>
      <c r="V744" s="8" t="s">
        <v>704</v>
      </c>
    </row>
    <row r="745" spans="2:22" hidden="1">
      <c r="B745" t="s">
        <v>705</v>
      </c>
      <c r="C745" t="s">
        <v>135</v>
      </c>
      <c r="E745" s="12">
        <v>1999</v>
      </c>
      <c r="F745" s="12" t="s">
        <v>620</v>
      </c>
      <c r="I745" t="s">
        <v>686</v>
      </c>
      <c r="L745">
        <v>2.8</v>
      </c>
      <c r="M745" t="s">
        <v>687</v>
      </c>
      <c r="N745" t="s">
        <v>688</v>
      </c>
      <c r="O745" t="s">
        <v>707</v>
      </c>
      <c r="R745" s="12"/>
      <c r="S745" s="9">
        <v>0.9</v>
      </c>
      <c r="T745" s="23"/>
      <c r="U745" s="23">
        <v>0.9</v>
      </c>
      <c r="V745" s="8" t="s">
        <v>704</v>
      </c>
    </row>
    <row r="746" spans="2:22" hidden="1">
      <c r="B746" t="s">
        <v>705</v>
      </c>
      <c r="C746" t="s">
        <v>135</v>
      </c>
      <c r="E746" s="12">
        <v>1999</v>
      </c>
      <c r="F746" s="12" t="s">
        <v>620</v>
      </c>
      <c r="I746" t="s">
        <v>689</v>
      </c>
      <c r="L746">
        <v>5.8</v>
      </c>
      <c r="M746" t="s">
        <v>690</v>
      </c>
      <c r="N746" t="s">
        <v>691</v>
      </c>
      <c r="O746" t="s">
        <v>45</v>
      </c>
      <c r="R746" s="12"/>
      <c r="S746" s="9">
        <v>11.5</v>
      </c>
      <c r="T746" s="23"/>
      <c r="U746" s="23">
        <v>1.2</v>
      </c>
      <c r="V746" s="8" t="s">
        <v>704</v>
      </c>
    </row>
    <row r="747" spans="2:22" hidden="1">
      <c r="B747" t="s">
        <v>705</v>
      </c>
      <c r="C747" t="s">
        <v>135</v>
      </c>
      <c r="E747" s="12">
        <v>1999</v>
      </c>
      <c r="F747" s="12" t="s">
        <v>620</v>
      </c>
      <c r="I747" t="s">
        <v>689</v>
      </c>
      <c r="L747">
        <v>5.8</v>
      </c>
      <c r="M747" t="s">
        <v>690</v>
      </c>
      <c r="N747" t="s">
        <v>691</v>
      </c>
      <c r="O747" t="s">
        <v>708</v>
      </c>
      <c r="R747" s="12"/>
      <c r="S747" s="9">
        <v>10.7</v>
      </c>
      <c r="T747" s="23"/>
      <c r="U747" s="23">
        <v>2</v>
      </c>
      <c r="V747" s="8" t="s">
        <v>704</v>
      </c>
    </row>
    <row r="748" spans="2:22" hidden="1">
      <c r="B748" t="s">
        <v>705</v>
      </c>
      <c r="C748" t="s">
        <v>135</v>
      </c>
      <c r="E748" s="12">
        <v>1999</v>
      </c>
      <c r="F748" s="12" t="s">
        <v>620</v>
      </c>
      <c r="I748" t="s">
        <v>689</v>
      </c>
      <c r="L748">
        <v>5.8</v>
      </c>
      <c r="M748" t="s">
        <v>690</v>
      </c>
      <c r="N748" t="s">
        <v>691</v>
      </c>
      <c r="O748" t="s">
        <v>709</v>
      </c>
      <c r="R748" s="12"/>
      <c r="S748" s="9">
        <v>5.3</v>
      </c>
      <c r="T748" s="23"/>
      <c r="U748" s="23">
        <v>3.1</v>
      </c>
      <c r="V748" s="8" t="s">
        <v>704</v>
      </c>
    </row>
    <row r="749" spans="2:22" hidden="1">
      <c r="B749" t="s">
        <v>705</v>
      </c>
      <c r="C749" t="s">
        <v>135</v>
      </c>
      <c r="E749" s="12">
        <v>1999</v>
      </c>
      <c r="F749" s="12" t="s">
        <v>620</v>
      </c>
      <c r="I749" t="s">
        <v>689</v>
      </c>
      <c r="L749">
        <v>5.8</v>
      </c>
      <c r="M749" t="s">
        <v>690</v>
      </c>
      <c r="N749" t="s">
        <v>691</v>
      </c>
      <c r="O749" t="s">
        <v>710</v>
      </c>
      <c r="R749" s="12"/>
      <c r="S749" s="9">
        <v>1.3</v>
      </c>
      <c r="T749" s="23"/>
      <c r="U749" s="23">
        <v>0.8</v>
      </c>
      <c r="V749" s="8" t="s">
        <v>704</v>
      </c>
    </row>
    <row r="750" spans="2:22" hidden="1">
      <c r="B750" t="s">
        <v>705</v>
      </c>
      <c r="C750" t="s">
        <v>135</v>
      </c>
      <c r="E750" s="12">
        <v>1999</v>
      </c>
      <c r="F750" s="12" t="s">
        <v>620</v>
      </c>
      <c r="I750" t="s">
        <v>689</v>
      </c>
      <c r="L750">
        <v>5.8</v>
      </c>
      <c r="M750" t="s">
        <v>690</v>
      </c>
      <c r="N750" t="s">
        <v>691</v>
      </c>
      <c r="O750" t="s">
        <v>711</v>
      </c>
      <c r="R750" s="12"/>
      <c r="S750" s="9">
        <v>1.3</v>
      </c>
      <c r="T750" s="23"/>
      <c r="U750" s="23">
        <v>0.8</v>
      </c>
      <c r="V750" s="8" t="s">
        <v>704</v>
      </c>
    </row>
    <row r="751" spans="2:22" hidden="1">
      <c r="B751" t="s">
        <v>705</v>
      </c>
      <c r="C751" t="s">
        <v>135</v>
      </c>
      <c r="E751" s="12">
        <v>1999</v>
      </c>
      <c r="F751" s="12" t="s">
        <v>620</v>
      </c>
      <c r="I751" t="s">
        <v>692</v>
      </c>
      <c r="L751">
        <v>4</v>
      </c>
      <c r="M751" t="s">
        <v>693</v>
      </c>
      <c r="N751" t="s">
        <v>694</v>
      </c>
      <c r="O751" t="s">
        <v>45</v>
      </c>
      <c r="R751" s="12"/>
      <c r="S751" s="9">
        <v>26.2</v>
      </c>
      <c r="T751" s="23"/>
      <c r="U751" s="23">
        <v>10.5</v>
      </c>
      <c r="V751" s="8" t="s">
        <v>704</v>
      </c>
    </row>
    <row r="752" spans="2:22" hidden="1">
      <c r="B752" t="s">
        <v>705</v>
      </c>
      <c r="C752" t="s">
        <v>135</v>
      </c>
      <c r="E752" s="12">
        <v>1999</v>
      </c>
      <c r="F752" s="12" t="s">
        <v>620</v>
      </c>
      <c r="I752" t="s">
        <v>692</v>
      </c>
      <c r="L752">
        <v>4</v>
      </c>
      <c r="M752" t="s">
        <v>693</v>
      </c>
      <c r="N752" t="s">
        <v>694</v>
      </c>
      <c r="O752" t="s">
        <v>706</v>
      </c>
      <c r="R752" s="12"/>
      <c r="S752" s="9">
        <v>3.5</v>
      </c>
      <c r="T752" s="23"/>
      <c r="U752" s="23">
        <v>2.2000000000000002</v>
      </c>
      <c r="V752" s="8" t="s">
        <v>704</v>
      </c>
    </row>
    <row r="753" spans="2:22" hidden="1">
      <c r="B753" t="s">
        <v>705</v>
      </c>
      <c r="C753" t="s">
        <v>135</v>
      </c>
      <c r="E753" s="12">
        <v>1999</v>
      </c>
      <c r="F753" s="12" t="s">
        <v>620</v>
      </c>
      <c r="I753" t="s">
        <v>692</v>
      </c>
      <c r="L753">
        <v>4</v>
      </c>
      <c r="M753" t="s">
        <v>693</v>
      </c>
      <c r="N753" t="s">
        <v>694</v>
      </c>
      <c r="O753" t="s">
        <v>711</v>
      </c>
      <c r="R753" s="12"/>
      <c r="S753" s="9">
        <v>1.8</v>
      </c>
      <c r="T753" s="23"/>
      <c r="U753" s="23">
        <v>1.2</v>
      </c>
      <c r="V753" s="8" t="s">
        <v>704</v>
      </c>
    </row>
    <row r="754" spans="2:22" hidden="1">
      <c r="B754" t="s">
        <v>705</v>
      </c>
      <c r="C754" t="s">
        <v>135</v>
      </c>
      <c r="E754" s="12">
        <v>1999</v>
      </c>
      <c r="F754" s="12" t="s">
        <v>620</v>
      </c>
      <c r="I754" t="s">
        <v>692</v>
      </c>
      <c r="L754">
        <v>4</v>
      </c>
      <c r="M754" t="s">
        <v>693</v>
      </c>
      <c r="N754" t="s">
        <v>694</v>
      </c>
      <c r="O754" t="s">
        <v>712</v>
      </c>
      <c r="R754" s="12"/>
      <c r="S754" s="9">
        <v>1.8</v>
      </c>
      <c r="T754" s="23"/>
      <c r="U754" s="23">
        <v>0.4</v>
      </c>
      <c r="V754" s="8" t="s">
        <v>704</v>
      </c>
    </row>
    <row r="755" spans="2:22" hidden="1">
      <c r="B755" t="s">
        <v>705</v>
      </c>
      <c r="C755" t="s">
        <v>135</v>
      </c>
      <c r="E755" s="12">
        <v>1999</v>
      </c>
      <c r="F755" s="12" t="s">
        <v>620</v>
      </c>
      <c r="I755" t="s">
        <v>692</v>
      </c>
      <c r="L755">
        <v>4</v>
      </c>
      <c r="M755" t="s">
        <v>693</v>
      </c>
      <c r="N755" t="s">
        <v>694</v>
      </c>
      <c r="O755" t="s">
        <v>707</v>
      </c>
      <c r="R755" s="12"/>
      <c r="S755" s="9">
        <v>1.8</v>
      </c>
      <c r="T755" s="23"/>
      <c r="U755" s="23">
        <v>1.2</v>
      </c>
      <c r="V755" s="8" t="s">
        <v>704</v>
      </c>
    </row>
    <row r="756" spans="2:22" hidden="1">
      <c r="B756" t="s">
        <v>705</v>
      </c>
      <c r="C756" t="s">
        <v>135</v>
      </c>
      <c r="E756" s="12">
        <v>1999</v>
      </c>
      <c r="F756" s="12" t="s">
        <v>620</v>
      </c>
      <c r="I756" t="s">
        <v>695</v>
      </c>
      <c r="L756">
        <v>2.9</v>
      </c>
      <c r="M756" t="s">
        <v>696</v>
      </c>
      <c r="N756" t="s">
        <v>697</v>
      </c>
      <c r="O756" t="s">
        <v>47</v>
      </c>
      <c r="R756" s="12"/>
      <c r="S756" s="9">
        <v>26.2</v>
      </c>
      <c r="T756" s="23"/>
      <c r="U756" s="23">
        <v>8</v>
      </c>
      <c r="V756" s="8" t="s">
        <v>704</v>
      </c>
    </row>
    <row r="757" spans="2:22" hidden="1">
      <c r="B757" t="s">
        <v>705</v>
      </c>
      <c r="C757" t="s">
        <v>135</v>
      </c>
      <c r="E757" s="12">
        <v>1999</v>
      </c>
      <c r="F757" s="12" t="s">
        <v>620</v>
      </c>
      <c r="I757" t="s">
        <v>695</v>
      </c>
      <c r="L757">
        <v>2.9</v>
      </c>
      <c r="M757" t="s">
        <v>696</v>
      </c>
      <c r="N757" t="s">
        <v>697</v>
      </c>
      <c r="O757" t="s">
        <v>45</v>
      </c>
      <c r="R757" s="12"/>
      <c r="S757" s="9">
        <v>25.8</v>
      </c>
      <c r="T757" s="23"/>
      <c r="U757" s="23">
        <v>11.3</v>
      </c>
      <c r="V757" s="8" t="s">
        <v>704</v>
      </c>
    </row>
    <row r="758" spans="2:22" hidden="1">
      <c r="B758" t="s">
        <v>705</v>
      </c>
      <c r="C758" t="s">
        <v>135</v>
      </c>
      <c r="E758" s="12">
        <v>1999</v>
      </c>
      <c r="F758" s="12" t="s">
        <v>620</v>
      </c>
      <c r="I758" t="s">
        <v>695</v>
      </c>
      <c r="L758">
        <v>2.9</v>
      </c>
      <c r="M758" t="s">
        <v>696</v>
      </c>
      <c r="N758" t="s">
        <v>697</v>
      </c>
      <c r="O758" t="s">
        <v>711</v>
      </c>
      <c r="R758" s="12"/>
      <c r="S758" s="9">
        <v>1.3</v>
      </c>
      <c r="T758" s="23"/>
      <c r="U758" s="23">
        <v>1.33</v>
      </c>
      <c r="V758" s="8" t="s">
        <v>704</v>
      </c>
    </row>
    <row r="759" spans="2:22" hidden="1">
      <c r="B759" t="s">
        <v>705</v>
      </c>
      <c r="C759" t="s">
        <v>135</v>
      </c>
      <c r="E759" s="12">
        <v>1999</v>
      </c>
      <c r="F759" s="12" t="s">
        <v>620</v>
      </c>
      <c r="I759" t="s">
        <v>695</v>
      </c>
      <c r="L759">
        <v>2.9</v>
      </c>
      <c r="M759" t="s">
        <v>696</v>
      </c>
      <c r="N759" t="s">
        <v>697</v>
      </c>
      <c r="O759" t="s">
        <v>713</v>
      </c>
      <c r="R759" s="12"/>
      <c r="S759" s="9">
        <v>0.4</v>
      </c>
      <c r="T759" s="23"/>
      <c r="U759" s="23">
        <v>0.4</v>
      </c>
      <c r="V759" s="8" t="s">
        <v>704</v>
      </c>
    </row>
    <row r="760" spans="2:22" hidden="1">
      <c r="B760" t="s">
        <v>705</v>
      </c>
      <c r="C760" t="s">
        <v>135</v>
      </c>
      <c r="E760" s="12">
        <v>1999</v>
      </c>
      <c r="F760" s="12" t="s">
        <v>620</v>
      </c>
      <c r="I760" t="s">
        <v>695</v>
      </c>
      <c r="L760">
        <v>2.9</v>
      </c>
      <c r="M760" t="s">
        <v>696</v>
      </c>
      <c r="N760" t="s">
        <v>697</v>
      </c>
      <c r="O760" t="s">
        <v>714</v>
      </c>
      <c r="R760" s="12"/>
      <c r="S760" s="9">
        <v>0.4</v>
      </c>
      <c r="T760" s="23"/>
      <c r="U760" s="23">
        <v>0.4</v>
      </c>
      <c r="V760" s="8" t="s">
        <v>704</v>
      </c>
    </row>
    <row r="761" spans="2:22" hidden="1">
      <c r="B761" t="s">
        <v>705</v>
      </c>
      <c r="C761" t="s">
        <v>135</v>
      </c>
      <c r="E761" s="12">
        <v>1999</v>
      </c>
      <c r="F761" s="12" t="s">
        <v>620</v>
      </c>
      <c r="I761" t="s">
        <v>698</v>
      </c>
      <c r="L761">
        <v>4.3</v>
      </c>
      <c r="M761" t="s">
        <v>699</v>
      </c>
      <c r="N761" t="s">
        <v>700</v>
      </c>
      <c r="O761" t="s">
        <v>45</v>
      </c>
      <c r="R761" s="12"/>
      <c r="S761" s="9">
        <v>20.399999999999999</v>
      </c>
      <c r="T761" s="23"/>
      <c r="U761" s="23">
        <v>6.7</v>
      </c>
      <c r="V761" s="8" t="s">
        <v>704</v>
      </c>
    </row>
    <row r="762" spans="2:22" hidden="1">
      <c r="B762" t="s">
        <v>705</v>
      </c>
      <c r="C762" t="s">
        <v>135</v>
      </c>
      <c r="E762" s="12">
        <v>1999</v>
      </c>
      <c r="F762" s="12" t="s">
        <v>620</v>
      </c>
      <c r="I762" t="s">
        <v>698</v>
      </c>
      <c r="L762">
        <v>4.3</v>
      </c>
      <c r="M762" t="s">
        <v>699</v>
      </c>
      <c r="N762" t="s">
        <v>700</v>
      </c>
      <c r="O762" t="s">
        <v>47</v>
      </c>
      <c r="R762" s="12"/>
      <c r="S762" s="9">
        <v>4.4000000000000004</v>
      </c>
      <c r="T762" s="23"/>
      <c r="U762" s="23">
        <v>1.8</v>
      </c>
      <c r="V762" s="8" t="s">
        <v>704</v>
      </c>
    </row>
    <row r="763" spans="2:22" hidden="1">
      <c r="B763" t="s">
        <v>705</v>
      </c>
      <c r="C763" t="s">
        <v>135</v>
      </c>
      <c r="E763" s="12">
        <v>1999</v>
      </c>
      <c r="F763" s="12" t="s">
        <v>620</v>
      </c>
      <c r="I763" t="s">
        <v>698</v>
      </c>
      <c r="L763">
        <v>4.3</v>
      </c>
      <c r="M763" t="s">
        <v>699</v>
      </c>
      <c r="N763" t="s">
        <v>700</v>
      </c>
      <c r="O763" t="s">
        <v>713</v>
      </c>
      <c r="R763" s="12"/>
      <c r="S763" s="9">
        <v>1.3</v>
      </c>
      <c r="T763" s="23"/>
      <c r="U763" s="23">
        <v>1.3</v>
      </c>
      <c r="V763" s="8" t="s">
        <v>704</v>
      </c>
    </row>
    <row r="764" spans="2:22" hidden="1">
      <c r="B764" t="s">
        <v>705</v>
      </c>
      <c r="C764" t="s">
        <v>135</v>
      </c>
      <c r="E764" s="12">
        <v>1999</v>
      </c>
      <c r="F764" s="12" t="s">
        <v>620</v>
      </c>
      <c r="I764" t="s">
        <v>698</v>
      </c>
      <c r="L764">
        <v>4.3</v>
      </c>
      <c r="M764" t="s">
        <v>699</v>
      </c>
      <c r="N764" t="s">
        <v>700</v>
      </c>
      <c r="O764" t="s">
        <v>709</v>
      </c>
      <c r="R764" s="12"/>
      <c r="S764" s="9">
        <v>1.3</v>
      </c>
      <c r="T764" s="23"/>
      <c r="U764" s="23">
        <v>0.8</v>
      </c>
      <c r="V764" s="8" t="s">
        <v>704</v>
      </c>
    </row>
    <row r="765" spans="2:22" hidden="1">
      <c r="B765" t="s">
        <v>705</v>
      </c>
      <c r="C765" t="s">
        <v>135</v>
      </c>
      <c r="E765" s="12">
        <v>1999</v>
      </c>
      <c r="F765" s="12" t="s">
        <v>620</v>
      </c>
      <c r="I765" t="s">
        <v>701</v>
      </c>
      <c r="L765">
        <v>4</v>
      </c>
      <c r="M765" t="s">
        <v>702</v>
      </c>
      <c r="N765" t="s">
        <v>703</v>
      </c>
      <c r="O765" t="s">
        <v>47</v>
      </c>
      <c r="R765" s="12"/>
      <c r="S765" s="9">
        <v>29.3</v>
      </c>
      <c r="T765" s="23"/>
      <c r="U765" s="23">
        <v>25.4</v>
      </c>
      <c r="V765" s="8" t="s">
        <v>704</v>
      </c>
    </row>
    <row r="766" spans="2:22" hidden="1">
      <c r="B766" t="s">
        <v>705</v>
      </c>
      <c r="C766" t="s">
        <v>135</v>
      </c>
      <c r="E766" s="12">
        <v>1999</v>
      </c>
      <c r="F766" s="12" t="s">
        <v>620</v>
      </c>
      <c r="I766" t="s">
        <v>701</v>
      </c>
      <c r="L766">
        <v>4</v>
      </c>
      <c r="M766" t="s">
        <v>702</v>
      </c>
      <c r="N766" t="s">
        <v>703</v>
      </c>
      <c r="O766" t="s">
        <v>45</v>
      </c>
      <c r="R766" s="12"/>
      <c r="S766" s="9">
        <v>19.100000000000001</v>
      </c>
      <c r="T766" s="23"/>
      <c r="U766" s="23">
        <v>16.5</v>
      </c>
      <c r="V766" s="8" t="s">
        <v>704</v>
      </c>
    </row>
    <row r="767" spans="2:22" hidden="1">
      <c r="B767" t="s">
        <v>705</v>
      </c>
      <c r="C767" t="s">
        <v>135</v>
      </c>
      <c r="E767" s="12">
        <v>1999</v>
      </c>
      <c r="F767" s="12" t="s">
        <v>620</v>
      </c>
      <c r="I767" t="s">
        <v>701</v>
      </c>
      <c r="L767">
        <v>4</v>
      </c>
      <c r="M767" t="s">
        <v>702</v>
      </c>
      <c r="N767" t="s">
        <v>703</v>
      </c>
      <c r="O767" t="s">
        <v>709</v>
      </c>
      <c r="R767" s="12"/>
      <c r="S767" s="9">
        <v>1.8</v>
      </c>
      <c r="T767" s="23"/>
      <c r="U767" s="23">
        <v>0.4</v>
      </c>
      <c r="V767" s="8" t="s">
        <v>704</v>
      </c>
    </row>
    <row r="768" spans="2:22" hidden="1">
      <c r="B768" t="s">
        <v>705</v>
      </c>
      <c r="C768" t="s">
        <v>135</v>
      </c>
      <c r="E768" s="12">
        <v>1999</v>
      </c>
      <c r="F768" s="12" t="s">
        <v>620</v>
      </c>
      <c r="I768" t="s">
        <v>701</v>
      </c>
      <c r="L768">
        <v>4</v>
      </c>
      <c r="M768" t="s">
        <v>702</v>
      </c>
      <c r="N768" t="s">
        <v>703</v>
      </c>
      <c r="O768" t="s">
        <v>715</v>
      </c>
      <c r="R768" s="12"/>
      <c r="S768" s="9">
        <v>0.4</v>
      </c>
      <c r="T768" s="23"/>
      <c r="U768" s="23">
        <v>0.4</v>
      </c>
      <c r="V768" s="8" t="s">
        <v>704</v>
      </c>
    </row>
    <row r="769" spans="2:22" hidden="1">
      <c r="B769" t="s">
        <v>717</v>
      </c>
      <c r="C769" t="s">
        <v>40</v>
      </c>
      <c r="D769" t="s">
        <v>745</v>
      </c>
      <c r="E769" s="12">
        <v>1997</v>
      </c>
      <c r="F769" s="12" t="s">
        <v>622</v>
      </c>
      <c r="G769" s="12" t="s">
        <v>732</v>
      </c>
      <c r="I769" t="s">
        <v>462</v>
      </c>
      <c r="L769"/>
      <c r="O769" t="s">
        <v>26</v>
      </c>
      <c r="P769" t="s">
        <v>27</v>
      </c>
      <c r="R769" s="12"/>
      <c r="S769" s="9">
        <v>44.31</v>
      </c>
      <c r="T769" s="23"/>
      <c r="U769" s="23"/>
      <c r="V769" s="8" t="s">
        <v>716</v>
      </c>
    </row>
    <row r="770" spans="2:22" hidden="1">
      <c r="B770" t="s">
        <v>717</v>
      </c>
      <c r="C770" t="s">
        <v>40</v>
      </c>
      <c r="D770" t="s">
        <v>745</v>
      </c>
      <c r="E770" s="12">
        <v>1997</v>
      </c>
      <c r="F770" s="12" t="s">
        <v>622</v>
      </c>
      <c r="G770" s="12" t="s">
        <v>732</v>
      </c>
      <c r="I770" t="s">
        <v>472</v>
      </c>
      <c r="L770"/>
      <c r="O770" t="s">
        <v>26</v>
      </c>
      <c r="P770" t="s">
        <v>27</v>
      </c>
      <c r="R770" s="12"/>
      <c r="S770" s="9">
        <v>50.11</v>
      </c>
      <c r="T770" s="23"/>
      <c r="U770" s="23"/>
      <c r="V770" s="8" t="s">
        <v>716</v>
      </c>
    </row>
    <row r="771" spans="2:22" hidden="1">
      <c r="B771" t="s">
        <v>717</v>
      </c>
      <c r="C771" t="s">
        <v>40</v>
      </c>
      <c r="D771" t="s">
        <v>745</v>
      </c>
      <c r="E771" s="12">
        <v>1997</v>
      </c>
      <c r="F771" s="12" t="s">
        <v>622</v>
      </c>
      <c r="G771" s="12" t="s">
        <v>732</v>
      </c>
      <c r="I771" t="s">
        <v>51</v>
      </c>
      <c r="L771"/>
      <c r="O771" t="s">
        <v>26</v>
      </c>
      <c r="P771" t="s">
        <v>27</v>
      </c>
      <c r="R771" s="12"/>
      <c r="S771" s="9">
        <v>53.11</v>
      </c>
      <c r="T771" s="23"/>
      <c r="U771" s="23"/>
      <c r="V771" s="8" t="s">
        <v>716</v>
      </c>
    </row>
    <row r="772" spans="2:22" hidden="1">
      <c r="B772" t="s">
        <v>717</v>
      </c>
      <c r="C772" t="s">
        <v>40</v>
      </c>
      <c r="D772" t="s">
        <v>745</v>
      </c>
      <c r="E772" s="12">
        <v>1997</v>
      </c>
      <c r="F772" s="12" t="s">
        <v>622</v>
      </c>
      <c r="G772" s="12" t="s">
        <v>732</v>
      </c>
      <c r="I772" t="s">
        <v>52</v>
      </c>
      <c r="L772"/>
      <c r="O772" t="s">
        <v>26</v>
      </c>
      <c r="P772" t="s">
        <v>27</v>
      </c>
      <c r="R772" s="12"/>
      <c r="S772" s="9">
        <v>51.85</v>
      </c>
      <c r="T772" s="23"/>
      <c r="U772" s="23"/>
      <c r="V772" s="8" t="s">
        <v>716</v>
      </c>
    </row>
    <row r="773" spans="2:22" hidden="1">
      <c r="B773" t="s">
        <v>717</v>
      </c>
      <c r="C773" t="s">
        <v>40</v>
      </c>
      <c r="D773" t="s">
        <v>745</v>
      </c>
      <c r="E773" s="12">
        <v>1997</v>
      </c>
      <c r="F773" s="12" t="s">
        <v>622</v>
      </c>
      <c r="G773" s="12" t="s">
        <v>732</v>
      </c>
      <c r="I773" t="s">
        <v>421</v>
      </c>
      <c r="L773"/>
      <c r="O773" t="s">
        <v>26</v>
      </c>
      <c r="P773" t="s">
        <v>27</v>
      </c>
      <c r="R773" s="12"/>
      <c r="S773" s="9">
        <v>29.73</v>
      </c>
      <c r="T773" s="23"/>
      <c r="U773" s="23"/>
      <c r="V773" s="8" t="s">
        <v>716</v>
      </c>
    </row>
    <row r="774" spans="2:22" hidden="1">
      <c r="B774" t="s">
        <v>717</v>
      </c>
      <c r="C774" t="s">
        <v>40</v>
      </c>
      <c r="E774" s="12">
        <v>1997</v>
      </c>
      <c r="F774" s="12" t="s">
        <v>622</v>
      </c>
      <c r="G774" s="12" t="s">
        <v>743</v>
      </c>
      <c r="I774" t="s">
        <v>463</v>
      </c>
      <c r="L774"/>
      <c r="O774" t="s">
        <v>26</v>
      </c>
      <c r="P774" t="s">
        <v>27</v>
      </c>
      <c r="R774" s="12"/>
      <c r="S774" s="9">
        <v>13.95</v>
      </c>
      <c r="T774" s="23"/>
      <c r="U774" s="23"/>
      <c r="V774" s="8" t="s">
        <v>716</v>
      </c>
    </row>
    <row r="775" spans="2:22" hidden="1">
      <c r="B775" t="s">
        <v>717</v>
      </c>
      <c r="C775" t="s">
        <v>40</v>
      </c>
      <c r="E775" s="12">
        <v>1998</v>
      </c>
      <c r="F775" s="12" t="s">
        <v>620</v>
      </c>
      <c r="I775" t="s">
        <v>462</v>
      </c>
      <c r="L775"/>
      <c r="O775" t="s">
        <v>26</v>
      </c>
      <c r="P775" t="s">
        <v>27</v>
      </c>
      <c r="R775" s="12"/>
      <c r="S775" s="9">
        <v>25</v>
      </c>
      <c r="T775" s="23"/>
      <c r="U775" s="23"/>
      <c r="V775" s="8" t="s">
        <v>716</v>
      </c>
    </row>
    <row r="776" spans="2:22" hidden="1">
      <c r="B776" t="s">
        <v>717</v>
      </c>
      <c r="C776" t="s">
        <v>40</v>
      </c>
      <c r="E776" s="12">
        <v>1998</v>
      </c>
      <c r="F776" s="12" t="s">
        <v>620</v>
      </c>
      <c r="I776" t="s">
        <v>472</v>
      </c>
      <c r="L776"/>
      <c r="O776" t="s">
        <v>26</v>
      </c>
      <c r="P776" t="s">
        <v>27</v>
      </c>
      <c r="R776" s="12"/>
      <c r="S776" s="9">
        <v>33</v>
      </c>
      <c r="T776" s="23"/>
      <c r="U776" s="23"/>
      <c r="V776" s="8" t="s">
        <v>716</v>
      </c>
    </row>
    <row r="777" spans="2:22" hidden="1">
      <c r="B777" t="s">
        <v>717</v>
      </c>
      <c r="C777" t="s">
        <v>40</v>
      </c>
      <c r="E777" s="12">
        <v>1998</v>
      </c>
      <c r="F777" s="12" t="s">
        <v>620</v>
      </c>
      <c r="I777" t="s">
        <v>51</v>
      </c>
      <c r="L777"/>
      <c r="O777" t="s">
        <v>26</v>
      </c>
      <c r="P777" t="s">
        <v>27</v>
      </c>
      <c r="R777" s="12"/>
      <c r="S777" s="9">
        <v>45</v>
      </c>
      <c r="T777" s="23"/>
      <c r="U777" s="23"/>
      <c r="V777" s="8" t="s">
        <v>716</v>
      </c>
    </row>
    <row r="778" spans="2:22" hidden="1">
      <c r="B778" t="s">
        <v>717</v>
      </c>
      <c r="C778" t="s">
        <v>40</v>
      </c>
      <c r="E778" s="12">
        <v>1998</v>
      </c>
      <c r="F778" s="12" t="s">
        <v>620</v>
      </c>
      <c r="I778" t="s">
        <v>52</v>
      </c>
      <c r="L778"/>
      <c r="O778" t="s">
        <v>26</v>
      </c>
      <c r="P778" t="s">
        <v>27</v>
      </c>
      <c r="R778" s="12"/>
      <c r="S778" s="9">
        <v>42</v>
      </c>
      <c r="T778" s="23"/>
      <c r="U778" s="23"/>
      <c r="V778" s="8" t="s">
        <v>716</v>
      </c>
    </row>
    <row r="779" spans="2:22" hidden="1">
      <c r="B779" t="s">
        <v>717</v>
      </c>
      <c r="C779" t="s">
        <v>40</v>
      </c>
      <c r="E779" s="12">
        <v>1998</v>
      </c>
      <c r="F779" s="12" t="s">
        <v>620</v>
      </c>
      <c r="I779" t="s">
        <v>421</v>
      </c>
      <c r="L779"/>
      <c r="O779" t="s">
        <v>26</v>
      </c>
      <c r="P779" t="s">
        <v>27</v>
      </c>
      <c r="R779" s="12"/>
      <c r="S779" s="9">
        <v>15</v>
      </c>
      <c r="T779" s="23"/>
      <c r="U779" s="23"/>
      <c r="V779" s="8" t="s">
        <v>716</v>
      </c>
    </row>
    <row r="780" spans="2:22" hidden="1">
      <c r="B780" t="s">
        <v>719</v>
      </c>
      <c r="C780" t="s">
        <v>122</v>
      </c>
      <c r="E780" s="12">
        <v>1999</v>
      </c>
      <c r="F780" s="12" t="s">
        <v>620</v>
      </c>
      <c r="G780"/>
      <c r="H780" t="s">
        <v>720</v>
      </c>
      <c r="L780"/>
      <c r="N780" t="s">
        <v>538</v>
      </c>
      <c r="Q780" s="12"/>
      <c r="S780" s="9">
        <v>40</v>
      </c>
      <c r="T780" s="23"/>
      <c r="V780" s="8" t="s">
        <v>718</v>
      </c>
    </row>
    <row r="781" spans="2:22" hidden="1">
      <c r="B781" t="s">
        <v>719</v>
      </c>
      <c r="C781" t="s">
        <v>122</v>
      </c>
      <c r="E781" s="12">
        <v>1999</v>
      </c>
      <c r="F781" s="12" t="s">
        <v>620</v>
      </c>
      <c r="G781"/>
      <c r="H781" t="s">
        <v>720</v>
      </c>
      <c r="L781"/>
      <c r="N781" t="s">
        <v>64</v>
      </c>
      <c r="Q781" s="12"/>
      <c r="S781" s="9">
        <v>15</v>
      </c>
      <c r="T781" s="23"/>
      <c r="V781" s="8" t="s">
        <v>718</v>
      </c>
    </row>
    <row r="782" spans="2:22" hidden="1">
      <c r="B782" t="s">
        <v>719</v>
      </c>
      <c r="C782" t="s">
        <v>122</v>
      </c>
      <c r="D782" t="s">
        <v>773</v>
      </c>
      <c r="E782" s="12">
        <v>1999</v>
      </c>
      <c r="F782" s="12" t="s">
        <v>620</v>
      </c>
      <c r="G782"/>
      <c r="H782" t="s">
        <v>720</v>
      </c>
      <c r="L782"/>
      <c r="N782" t="s">
        <v>733</v>
      </c>
      <c r="Q782" s="12"/>
      <c r="S782" s="9">
        <v>32</v>
      </c>
      <c r="T782" s="23"/>
      <c r="V782" s="8" t="s">
        <v>718</v>
      </c>
    </row>
    <row r="783" spans="2:22" hidden="1">
      <c r="B783" t="s">
        <v>719</v>
      </c>
      <c r="C783" t="s">
        <v>122</v>
      </c>
      <c r="E783" s="12">
        <v>1999</v>
      </c>
      <c r="F783" s="12" t="s">
        <v>620</v>
      </c>
      <c r="G783" t="s">
        <v>740</v>
      </c>
      <c r="H783" t="s">
        <v>132</v>
      </c>
      <c r="L783"/>
      <c r="O783" t="s">
        <v>538</v>
      </c>
      <c r="Q783" s="12"/>
      <c r="S783" s="9">
        <v>36</v>
      </c>
      <c r="T783" s="23"/>
      <c r="V783" s="8" t="s">
        <v>718</v>
      </c>
    </row>
    <row r="784" spans="2:22" hidden="1">
      <c r="B784" t="s">
        <v>719</v>
      </c>
      <c r="C784" t="s">
        <v>122</v>
      </c>
      <c r="E784" s="12">
        <v>1999</v>
      </c>
      <c r="F784" s="12" t="s">
        <v>620</v>
      </c>
      <c r="G784" t="s">
        <v>741</v>
      </c>
      <c r="H784" t="s">
        <v>132</v>
      </c>
      <c r="L784"/>
      <c r="O784" t="s">
        <v>64</v>
      </c>
      <c r="Q784" s="12"/>
      <c r="S784" s="9">
        <v>18</v>
      </c>
      <c r="T784" s="23"/>
      <c r="V784" s="8" t="s">
        <v>718</v>
      </c>
    </row>
    <row r="785" spans="2:22" hidden="1">
      <c r="B785" t="s">
        <v>719</v>
      </c>
      <c r="C785" t="s">
        <v>122</v>
      </c>
      <c r="D785" t="s">
        <v>748</v>
      </c>
      <c r="E785" s="12">
        <v>1999</v>
      </c>
      <c r="F785" s="12" t="s">
        <v>620</v>
      </c>
      <c r="G785" t="s">
        <v>732</v>
      </c>
      <c r="H785" t="s">
        <v>132</v>
      </c>
      <c r="L785"/>
      <c r="O785" t="s">
        <v>771</v>
      </c>
      <c r="P785" t="s">
        <v>27</v>
      </c>
      <c r="Q785" s="12"/>
      <c r="S785" s="9">
        <v>54</v>
      </c>
      <c r="T785" s="23"/>
      <c r="V785" s="8" t="s">
        <v>718</v>
      </c>
    </row>
    <row r="786" spans="2:22" hidden="1">
      <c r="B786" t="s">
        <v>719</v>
      </c>
      <c r="C786" t="s">
        <v>122</v>
      </c>
      <c r="E786" s="12">
        <v>1999</v>
      </c>
      <c r="F786" s="12" t="s">
        <v>620</v>
      </c>
      <c r="G786" t="s">
        <v>721</v>
      </c>
      <c r="H786" t="s">
        <v>132</v>
      </c>
      <c r="L786"/>
      <c r="N786" t="s">
        <v>733</v>
      </c>
      <c r="Q786" s="12"/>
      <c r="S786" s="9">
        <v>47</v>
      </c>
      <c r="T786" s="23"/>
      <c r="V786" s="8" t="s">
        <v>718</v>
      </c>
    </row>
    <row r="787" spans="2:22" hidden="1">
      <c r="B787" t="s">
        <v>719</v>
      </c>
      <c r="C787" t="s">
        <v>122</v>
      </c>
      <c r="D787" t="s">
        <v>748</v>
      </c>
      <c r="E787" s="12">
        <v>1998</v>
      </c>
      <c r="F787" s="12" t="s">
        <v>670</v>
      </c>
      <c r="G787" s="31"/>
      <c r="H787" t="s">
        <v>124</v>
      </c>
      <c r="L787"/>
      <c r="N787" t="s">
        <v>538</v>
      </c>
      <c r="Q787" s="12"/>
      <c r="S787" s="9">
        <v>47</v>
      </c>
      <c r="T787" s="23"/>
      <c r="V787" s="8" t="s">
        <v>718</v>
      </c>
    </row>
    <row r="788" spans="2:22" hidden="1">
      <c r="B788" t="s">
        <v>719</v>
      </c>
      <c r="C788" t="s">
        <v>135</v>
      </c>
      <c r="E788" s="12">
        <v>1999</v>
      </c>
      <c r="F788" s="12" t="s">
        <v>620</v>
      </c>
      <c r="G788" s="32" t="s">
        <v>740</v>
      </c>
      <c r="H788" t="s">
        <v>376</v>
      </c>
      <c r="I788" t="s">
        <v>137</v>
      </c>
      <c r="L788"/>
      <c r="O788" t="s">
        <v>538</v>
      </c>
      <c r="Q788" s="12"/>
      <c r="S788" s="9">
        <v>40.700000000000003</v>
      </c>
      <c r="T788" s="23"/>
      <c r="V788" s="8" t="s">
        <v>718</v>
      </c>
    </row>
    <row r="789" spans="2:22" hidden="1">
      <c r="B789" t="s">
        <v>719</v>
      </c>
      <c r="C789" t="s">
        <v>135</v>
      </c>
      <c r="E789" s="12">
        <v>1999</v>
      </c>
      <c r="F789" s="12" t="s">
        <v>620</v>
      </c>
      <c r="G789" s="32" t="s">
        <v>741</v>
      </c>
      <c r="H789" t="s">
        <v>376</v>
      </c>
      <c r="I789" t="s">
        <v>137</v>
      </c>
      <c r="L789"/>
      <c r="O789" t="s">
        <v>64</v>
      </c>
      <c r="Q789" s="12"/>
      <c r="S789" s="9">
        <v>14</v>
      </c>
      <c r="T789" s="23"/>
      <c r="V789" s="8" t="s">
        <v>718</v>
      </c>
    </row>
    <row r="790" spans="2:22" hidden="1">
      <c r="B790" t="s">
        <v>719</v>
      </c>
      <c r="C790" t="s">
        <v>135</v>
      </c>
      <c r="D790" t="s">
        <v>772</v>
      </c>
      <c r="E790" s="12">
        <v>1999</v>
      </c>
      <c r="F790" s="12" t="s">
        <v>620</v>
      </c>
      <c r="G790" s="32" t="s">
        <v>732</v>
      </c>
      <c r="H790" t="s">
        <v>376</v>
      </c>
      <c r="I790" t="s">
        <v>137</v>
      </c>
      <c r="L790"/>
      <c r="O790" t="s">
        <v>771</v>
      </c>
      <c r="P790" t="s">
        <v>27</v>
      </c>
      <c r="Q790" s="12"/>
      <c r="S790" s="9">
        <v>54.8</v>
      </c>
      <c r="T790" s="23"/>
      <c r="V790" s="8" t="s">
        <v>718</v>
      </c>
    </row>
    <row r="791" spans="2:22" hidden="1">
      <c r="B791" t="s">
        <v>719</v>
      </c>
      <c r="C791" t="s">
        <v>135</v>
      </c>
      <c r="E791" s="12">
        <v>1999</v>
      </c>
      <c r="F791" s="12" t="s">
        <v>620</v>
      </c>
      <c r="H791" t="s">
        <v>376</v>
      </c>
      <c r="I791" t="s">
        <v>137</v>
      </c>
      <c r="L791"/>
      <c r="N791" t="s">
        <v>734</v>
      </c>
      <c r="Q791" s="12"/>
      <c r="S791" s="9">
        <v>40.799999999999997</v>
      </c>
      <c r="T791" s="23"/>
      <c r="V791" s="8" t="s">
        <v>718</v>
      </c>
    </row>
    <row r="792" spans="2:22" hidden="1">
      <c r="B792" t="s">
        <v>719</v>
      </c>
      <c r="C792" t="s">
        <v>676</v>
      </c>
      <c r="D792" t="s">
        <v>748</v>
      </c>
      <c r="E792" s="12">
        <v>1999</v>
      </c>
      <c r="F792" s="12" t="s">
        <v>620</v>
      </c>
      <c r="G792" t="s">
        <v>732</v>
      </c>
      <c r="H792" t="s">
        <v>678</v>
      </c>
      <c r="J792" t="s">
        <v>196</v>
      </c>
      <c r="L792"/>
      <c r="N792" t="s">
        <v>538</v>
      </c>
      <c r="O792" t="s">
        <v>999</v>
      </c>
      <c r="P792" t="s">
        <v>27</v>
      </c>
      <c r="Q792" s="12"/>
      <c r="S792" s="9">
        <v>94.6</v>
      </c>
      <c r="T792" s="23"/>
      <c r="V792" s="8" t="s">
        <v>718</v>
      </c>
    </row>
    <row r="793" spans="2:22" hidden="1">
      <c r="B793" t="s">
        <v>719</v>
      </c>
      <c r="C793" t="s">
        <v>676</v>
      </c>
      <c r="E793" s="12">
        <v>1998</v>
      </c>
      <c r="F793" s="12" t="s">
        <v>670</v>
      </c>
      <c r="G793"/>
      <c r="H793" t="s">
        <v>680</v>
      </c>
      <c r="J793" t="s">
        <v>196</v>
      </c>
      <c r="L793"/>
      <c r="N793" t="s">
        <v>538</v>
      </c>
      <c r="Q793" s="12"/>
      <c r="S793" s="9">
        <v>6.4</v>
      </c>
      <c r="T793" s="23"/>
      <c r="V793" s="8" t="s">
        <v>718</v>
      </c>
    </row>
    <row r="794" spans="2:22" hidden="1">
      <c r="B794" t="s">
        <v>719</v>
      </c>
      <c r="C794" t="s">
        <v>676</v>
      </c>
      <c r="E794" s="12">
        <v>1999</v>
      </c>
      <c r="F794" s="12" t="s">
        <v>620</v>
      </c>
      <c r="G794"/>
      <c r="H794" t="s">
        <v>680</v>
      </c>
      <c r="J794" t="s">
        <v>196</v>
      </c>
      <c r="L794"/>
      <c r="N794" t="s">
        <v>538</v>
      </c>
      <c r="Q794" s="12"/>
      <c r="S794" s="9">
        <v>6.2</v>
      </c>
      <c r="T794" s="23"/>
      <c r="V794" s="8" t="s">
        <v>718</v>
      </c>
    </row>
    <row r="795" spans="2:22" hidden="1">
      <c r="B795" t="s">
        <v>719</v>
      </c>
      <c r="C795" t="s">
        <v>676</v>
      </c>
      <c r="D795" t="s">
        <v>748</v>
      </c>
      <c r="E795" s="12">
        <v>1999</v>
      </c>
      <c r="F795" s="12" t="s">
        <v>620</v>
      </c>
      <c r="G795" t="s">
        <v>732</v>
      </c>
      <c r="H795" t="s">
        <v>678</v>
      </c>
      <c r="J795" t="s">
        <v>722</v>
      </c>
      <c r="L795"/>
      <c r="N795" t="s">
        <v>538</v>
      </c>
      <c r="O795" t="s">
        <v>999</v>
      </c>
      <c r="P795" t="s">
        <v>27</v>
      </c>
      <c r="Q795" s="12"/>
      <c r="S795" s="9">
        <v>97.2</v>
      </c>
      <c r="T795" s="23"/>
      <c r="V795" s="8" t="s">
        <v>718</v>
      </c>
    </row>
    <row r="796" spans="2:22" hidden="1">
      <c r="B796" t="s">
        <v>719</v>
      </c>
      <c r="C796" t="s">
        <v>676</v>
      </c>
      <c r="E796" s="12">
        <v>1998</v>
      </c>
      <c r="F796" s="12" t="s">
        <v>670</v>
      </c>
      <c r="G796"/>
      <c r="H796" t="s">
        <v>680</v>
      </c>
      <c r="J796" t="s">
        <v>722</v>
      </c>
      <c r="L796"/>
      <c r="N796" t="s">
        <v>538</v>
      </c>
      <c r="Q796" s="12"/>
      <c r="S796" s="9">
        <v>11.1</v>
      </c>
      <c r="T796" s="23"/>
      <c r="V796" s="8" t="s">
        <v>718</v>
      </c>
    </row>
    <row r="797" spans="2:22" hidden="1">
      <c r="B797" t="s">
        <v>719</v>
      </c>
      <c r="C797" t="s">
        <v>676</v>
      </c>
      <c r="E797" s="12">
        <v>1999</v>
      </c>
      <c r="F797" s="12" t="s">
        <v>620</v>
      </c>
      <c r="G797"/>
      <c r="H797" t="s">
        <v>680</v>
      </c>
      <c r="J797" t="s">
        <v>722</v>
      </c>
      <c r="L797"/>
      <c r="N797" t="s">
        <v>538</v>
      </c>
      <c r="Q797" s="12"/>
      <c r="S797" s="9">
        <v>21</v>
      </c>
      <c r="T797" s="23"/>
      <c r="V797" s="8" t="s">
        <v>718</v>
      </c>
    </row>
    <row r="798" spans="2:22" hidden="1">
      <c r="B798" t="s">
        <v>719</v>
      </c>
      <c r="C798" t="s">
        <v>676</v>
      </c>
      <c r="D798" t="s">
        <v>748</v>
      </c>
      <c r="E798" s="12">
        <v>1999</v>
      </c>
      <c r="F798" s="12" t="s">
        <v>620</v>
      </c>
      <c r="G798" t="s">
        <v>732</v>
      </c>
      <c r="H798" t="s">
        <v>723</v>
      </c>
      <c r="K798" t="s">
        <v>826</v>
      </c>
      <c r="L798"/>
      <c r="N798" t="s">
        <v>538</v>
      </c>
      <c r="O798" t="s">
        <v>996</v>
      </c>
      <c r="P798" t="s">
        <v>27</v>
      </c>
      <c r="Q798" s="12"/>
      <c r="S798" s="9">
        <v>59.3</v>
      </c>
      <c r="T798" s="23"/>
      <c r="V798" s="8" t="s">
        <v>718</v>
      </c>
    </row>
    <row r="799" spans="2:22" hidden="1">
      <c r="B799" t="s">
        <v>719</v>
      </c>
      <c r="C799" t="s">
        <v>676</v>
      </c>
      <c r="E799" s="12">
        <v>1999</v>
      </c>
      <c r="F799" s="12" t="s">
        <v>620</v>
      </c>
      <c r="G799"/>
      <c r="H799" t="s">
        <v>723</v>
      </c>
      <c r="L799"/>
      <c r="N799" t="s">
        <v>538</v>
      </c>
      <c r="Q799" s="12"/>
      <c r="S799" s="9">
        <v>63.1</v>
      </c>
      <c r="T799" s="23"/>
      <c r="V799" s="8" t="s">
        <v>718</v>
      </c>
    </row>
    <row r="800" spans="2:22" hidden="1">
      <c r="B800" t="s">
        <v>769</v>
      </c>
      <c r="C800" t="s">
        <v>17</v>
      </c>
      <c r="D800" t="s">
        <v>745</v>
      </c>
      <c r="E800">
        <v>1988</v>
      </c>
      <c r="F800" s="12" t="s">
        <v>622</v>
      </c>
      <c r="G800" s="12" t="s">
        <v>731</v>
      </c>
      <c r="I800" t="s">
        <v>422</v>
      </c>
      <c r="J800" t="s">
        <v>422</v>
      </c>
      <c r="L800"/>
      <c r="O800" t="s">
        <v>768</v>
      </c>
      <c r="P800" t="s">
        <v>27</v>
      </c>
      <c r="Q800" s="12"/>
      <c r="R800" s="9"/>
      <c r="S800">
        <v>19</v>
      </c>
      <c r="T800" s="23"/>
      <c r="U800" s="8"/>
      <c r="V800" t="s">
        <v>769</v>
      </c>
    </row>
    <row r="801" spans="2:22" hidden="1">
      <c r="B801" t="s">
        <v>769</v>
      </c>
      <c r="C801" t="s">
        <v>17</v>
      </c>
      <c r="D801" t="s">
        <v>745</v>
      </c>
      <c r="E801">
        <v>1988</v>
      </c>
      <c r="F801" s="12" t="s">
        <v>622</v>
      </c>
      <c r="G801" s="12" t="s">
        <v>731</v>
      </c>
      <c r="I801" t="s">
        <v>422</v>
      </c>
      <c r="J801" t="s">
        <v>754</v>
      </c>
      <c r="L801"/>
      <c r="O801" t="s">
        <v>768</v>
      </c>
      <c r="P801" t="s">
        <v>27</v>
      </c>
      <c r="S801">
        <v>24.5</v>
      </c>
      <c r="T801"/>
      <c r="U801"/>
      <c r="V801" t="s">
        <v>769</v>
      </c>
    </row>
    <row r="802" spans="2:22" hidden="1">
      <c r="B802" t="s">
        <v>769</v>
      </c>
      <c r="C802" t="s">
        <v>17</v>
      </c>
      <c r="D802" t="s">
        <v>745</v>
      </c>
      <c r="E802">
        <v>1988</v>
      </c>
      <c r="F802" s="12" t="s">
        <v>622</v>
      </c>
      <c r="G802" s="12" t="s">
        <v>732</v>
      </c>
      <c r="I802" t="s">
        <v>267</v>
      </c>
      <c r="J802" t="s">
        <v>267</v>
      </c>
      <c r="L802"/>
      <c r="O802" t="s">
        <v>768</v>
      </c>
      <c r="P802" t="s">
        <v>27</v>
      </c>
      <c r="S802">
        <v>41.7</v>
      </c>
      <c r="T802"/>
      <c r="U802"/>
      <c r="V802" t="s">
        <v>769</v>
      </c>
    </row>
    <row r="803" spans="2:22" hidden="1">
      <c r="B803" t="s">
        <v>770</v>
      </c>
      <c r="C803" t="s">
        <v>17</v>
      </c>
      <c r="D803" t="s">
        <v>745</v>
      </c>
      <c r="E803">
        <v>1993</v>
      </c>
      <c r="F803" s="12" t="s">
        <v>622</v>
      </c>
      <c r="G803" s="12" t="s">
        <v>732</v>
      </c>
      <c r="I803" t="s">
        <v>267</v>
      </c>
      <c r="J803" t="s">
        <v>755</v>
      </c>
      <c r="L803"/>
      <c r="O803" t="s">
        <v>768</v>
      </c>
      <c r="P803" t="s">
        <v>27</v>
      </c>
      <c r="S803">
        <v>40.6</v>
      </c>
      <c r="T803"/>
      <c r="U803"/>
      <c r="V803" t="s">
        <v>770</v>
      </c>
    </row>
    <row r="804" spans="2:22" hidden="1">
      <c r="B804" t="s">
        <v>770</v>
      </c>
      <c r="C804" t="s">
        <v>17</v>
      </c>
      <c r="D804" t="s">
        <v>745</v>
      </c>
      <c r="E804">
        <v>1993</v>
      </c>
      <c r="F804" s="12" t="s">
        <v>622</v>
      </c>
      <c r="G804" s="12" t="s">
        <v>732</v>
      </c>
      <c r="I804" t="s">
        <v>267</v>
      </c>
      <c r="J804" t="s">
        <v>756</v>
      </c>
      <c r="L804"/>
      <c r="O804" t="s">
        <v>768</v>
      </c>
      <c r="P804" t="s">
        <v>27</v>
      </c>
      <c r="S804">
        <v>28.7</v>
      </c>
      <c r="T804"/>
      <c r="U804"/>
      <c r="V804" t="s">
        <v>770</v>
      </c>
    </row>
    <row r="805" spans="2:22" hidden="1">
      <c r="B805" t="s">
        <v>770</v>
      </c>
      <c r="C805" t="s">
        <v>17</v>
      </c>
      <c r="D805" t="s">
        <v>745</v>
      </c>
      <c r="E805">
        <v>1993</v>
      </c>
      <c r="F805" s="12" t="s">
        <v>622</v>
      </c>
      <c r="G805" s="12" t="s">
        <v>732</v>
      </c>
      <c r="I805" t="s">
        <v>267</v>
      </c>
      <c r="J805" t="s">
        <v>757</v>
      </c>
      <c r="L805"/>
      <c r="O805" t="s">
        <v>768</v>
      </c>
      <c r="P805" t="s">
        <v>27</v>
      </c>
      <c r="S805">
        <v>40</v>
      </c>
      <c r="T805"/>
      <c r="U805"/>
      <c r="V805" t="s">
        <v>770</v>
      </c>
    </row>
    <row r="806" spans="2:22" hidden="1">
      <c r="B806" t="s">
        <v>770</v>
      </c>
      <c r="C806" t="s">
        <v>17</v>
      </c>
      <c r="D806" t="s">
        <v>745</v>
      </c>
      <c r="E806">
        <v>1993</v>
      </c>
      <c r="F806" s="12" t="s">
        <v>622</v>
      </c>
      <c r="G806" s="12" t="s">
        <v>732</v>
      </c>
      <c r="I806" t="s">
        <v>267</v>
      </c>
      <c r="J806" t="s">
        <v>758</v>
      </c>
      <c r="L806"/>
      <c r="O806" t="s">
        <v>768</v>
      </c>
      <c r="P806" t="s">
        <v>27</v>
      </c>
      <c r="S806">
        <v>37.5</v>
      </c>
      <c r="T806"/>
      <c r="U806"/>
      <c r="V806" t="s">
        <v>770</v>
      </c>
    </row>
    <row r="807" spans="2:22" hidden="1">
      <c r="B807" t="s">
        <v>770</v>
      </c>
      <c r="C807" t="s">
        <v>17</v>
      </c>
      <c r="D807" t="s">
        <v>745</v>
      </c>
      <c r="E807">
        <v>1993</v>
      </c>
      <c r="F807" s="12" t="s">
        <v>622</v>
      </c>
      <c r="G807" s="12" t="s">
        <v>732</v>
      </c>
      <c r="I807" t="s">
        <v>267</v>
      </c>
      <c r="J807" t="s">
        <v>759</v>
      </c>
      <c r="L807"/>
      <c r="O807" t="s">
        <v>768</v>
      </c>
      <c r="P807" t="s">
        <v>27</v>
      </c>
      <c r="S807">
        <v>32</v>
      </c>
      <c r="T807"/>
      <c r="U807"/>
      <c r="V807" t="s">
        <v>770</v>
      </c>
    </row>
    <row r="808" spans="2:22" hidden="1">
      <c r="B808" t="s">
        <v>770</v>
      </c>
      <c r="C808" t="s">
        <v>17</v>
      </c>
      <c r="D808" t="s">
        <v>745</v>
      </c>
      <c r="E808">
        <v>1993</v>
      </c>
      <c r="F808" s="12" t="s">
        <v>622</v>
      </c>
      <c r="G808" s="12" t="s">
        <v>732</v>
      </c>
      <c r="I808" t="s">
        <v>267</v>
      </c>
      <c r="J808" t="s">
        <v>760</v>
      </c>
      <c r="L808"/>
      <c r="O808" t="s">
        <v>768</v>
      </c>
      <c r="P808" t="s">
        <v>27</v>
      </c>
      <c r="S808">
        <v>29.1</v>
      </c>
      <c r="T808"/>
      <c r="U808"/>
      <c r="V808" t="s">
        <v>770</v>
      </c>
    </row>
    <row r="809" spans="2:22" hidden="1">
      <c r="B809" t="s">
        <v>770</v>
      </c>
      <c r="C809" t="s">
        <v>17</v>
      </c>
      <c r="D809" t="s">
        <v>745</v>
      </c>
      <c r="E809">
        <v>1993</v>
      </c>
      <c r="F809" s="12" t="s">
        <v>622</v>
      </c>
      <c r="G809" s="12" t="s">
        <v>732</v>
      </c>
      <c r="I809" t="s">
        <v>267</v>
      </c>
      <c r="J809" t="s">
        <v>761</v>
      </c>
      <c r="L809"/>
      <c r="O809" t="s">
        <v>768</v>
      </c>
      <c r="P809" t="s">
        <v>27</v>
      </c>
      <c r="S809">
        <v>32.1</v>
      </c>
      <c r="T809"/>
      <c r="U809"/>
      <c r="V809" t="s">
        <v>770</v>
      </c>
    </row>
    <row r="810" spans="2:22" hidden="1">
      <c r="B810" t="s">
        <v>770</v>
      </c>
      <c r="C810" t="s">
        <v>17</v>
      </c>
      <c r="D810" t="s">
        <v>745</v>
      </c>
      <c r="E810">
        <v>1993</v>
      </c>
      <c r="F810" s="12" t="s">
        <v>622</v>
      </c>
      <c r="G810" s="12" t="s">
        <v>732</v>
      </c>
      <c r="I810" t="s">
        <v>267</v>
      </c>
      <c r="J810" t="s">
        <v>762</v>
      </c>
      <c r="L810"/>
      <c r="O810" t="s">
        <v>768</v>
      </c>
      <c r="P810" t="s">
        <v>27</v>
      </c>
      <c r="S810">
        <v>49.5</v>
      </c>
      <c r="T810"/>
      <c r="U810"/>
      <c r="V810" t="s">
        <v>770</v>
      </c>
    </row>
    <row r="811" spans="2:22" hidden="1">
      <c r="B811" t="s">
        <v>770</v>
      </c>
      <c r="C811" t="s">
        <v>17</v>
      </c>
      <c r="D811" t="s">
        <v>745</v>
      </c>
      <c r="E811">
        <v>1993</v>
      </c>
      <c r="F811" s="12" t="s">
        <v>622</v>
      </c>
      <c r="G811" s="12" t="s">
        <v>732</v>
      </c>
      <c r="I811" t="s">
        <v>267</v>
      </c>
      <c r="J811" t="s">
        <v>763</v>
      </c>
      <c r="L811"/>
      <c r="O811" t="s">
        <v>768</v>
      </c>
      <c r="P811" t="s">
        <v>27</v>
      </c>
      <c r="S811">
        <v>27.3</v>
      </c>
      <c r="T811"/>
      <c r="U811"/>
      <c r="V811" t="s">
        <v>770</v>
      </c>
    </row>
    <row r="812" spans="2:22" hidden="1">
      <c r="B812" t="s">
        <v>769</v>
      </c>
      <c r="C812" t="s">
        <v>17</v>
      </c>
      <c r="D812" t="s">
        <v>745</v>
      </c>
      <c r="E812">
        <v>1988</v>
      </c>
      <c r="F812" s="12" t="s">
        <v>622</v>
      </c>
      <c r="G812" s="12" t="s">
        <v>731</v>
      </c>
      <c r="I812" t="s">
        <v>764</v>
      </c>
      <c r="J812" t="s">
        <v>764</v>
      </c>
      <c r="L812"/>
      <c r="O812" t="s">
        <v>768</v>
      </c>
      <c r="P812" t="s">
        <v>27</v>
      </c>
      <c r="S812">
        <v>25.6</v>
      </c>
      <c r="T812"/>
      <c r="U812"/>
      <c r="V812" t="s">
        <v>769</v>
      </c>
    </row>
    <row r="813" spans="2:22" hidden="1">
      <c r="B813" t="s">
        <v>769</v>
      </c>
      <c r="C813" t="s">
        <v>17</v>
      </c>
      <c r="D813" t="s">
        <v>745</v>
      </c>
      <c r="E813">
        <v>1988</v>
      </c>
      <c r="F813" s="12" t="s">
        <v>622</v>
      </c>
      <c r="G813" s="12" t="s">
        <v>731</v>
      </c>
      <c r="I813" t="s">
        <v>419</v>
      </c>
      <c r="J813" t="s">
        <v>419</v>
      </c>
      <c r="L813"/>
      <c r="O813" t="s">
        <v>768</v>
      </c>
      <c r="P813" t="s">
        <v>27</v>
      </c>
      <c r="S813">
        <v>22.8</v>
      </c>
      <c r="T813"/>
      <c r="U813"/>
      <c r="V813" t="s">
        <v>769</v>
      </c>
    </row>
    <row r="814" spans="2:22" hidden="1">
      <c r="B814" t="s">
        <v>769</v>
      </c>
      <c r="C814" t="s">
        <v>17</v>
      </c>
      <c r="D814" t="s">
        <v>745</v>
      </c>
      <c r="E814">
        <v>1988</v>
      </c>
      <c r="F814" s="12" t="s">
        <v>622</v>
      </c>
      <c r="G814" s="12" t="s">
        <v>732</v>
      </c>
      <c r="I814" t="s">
        <v>18</v>
      </c>
      <c r="J814" t="s">
        <v>18</v>
      </c>
      <c r="L814"/>
      <c r="O814" t="s">
        <v>768</v>
      </c>
      <c r="P814" t="s">
        <v>27</v>
      </c>
      <c r="R814" s="12"/>
      <c r="S814">
        <v>31.1</v>
      </c>
      <c r="T814" s="23"/>
      <c r="U814" s="23"/>
      <c r="V814" t="s">
        <v>769</v>
      </c>
    </row>
    <row r="815" spans="2:22" hidden="1">
      <c r="B815" t="s">
        <v>770</v>
      </c>
      <c r="C815" t="s">
        <v>17</v>
      </c>
      <c r="D815" t="s">
        <v>745</v>
      </c>
      <c r="E815">
        <v>1994</v>
      </c>
      <c r="F815" s="12" t="s">
        <v>622</v>
      </c>
      <c r="G815" s="12" t="s">
        <v>732</v>
      </c>
      <c r="I815" t="s">
        <v>18</v>
      </c>
      <c r="J815" t="s">
        <v>765</v>
      </c>
      <c r="L815"/>
      <c r="O815" t="s">
        <v>768</v>
      </c>
      <c r="P815" t="s">
        <v>27</v>
      </c>
      <c r="R815" s="12"/>
      <c r="S815">
        <v>32</v>
      </c>
      <c r="T815" s="23"/>
      <c r="U815" s="23"/>
      <c r="V815" t="s">
        <v>770</v>
      </c>
    </row>
    <row r="816" spans="2:22" hidden="1">
      <c r="B816" t="s">
        <v>770</v>
      </c>
      <c r="C816" t="s">
        <v>17</v>
      </c>
      <c r="D816" t="s">
        <v>745</v>
      </c>
      <c r="E816">
        <v>1994</v>
      </c>
      <c r="F816" s="12" t="s">
        <v>622</v>
      </c>
      <c r="G816" s="12" t="s">
        <v>732</v>
      </c>
      <c r="I816" t="s">
        <v>18</v>
      </c>
      <c r="J816" t="s">
        <v>766</v>
      </c>
      <c r="L816"/>
      <c r="O816" t="s">
        <v>768</v>
      </c>
      <c r="P816" t="s">
        <v>27</v>
      </c>
      <c r="R816" s="12"/>
      <c r="S816">
        <v>50</v>
      </c>
      <c r="T816" s="23"/>
      <c r="U816" s="23"/>
      <c r="V816" t="s">
        <v>770</v>
      </c>
    </row>
    <row r="817" spans="2:23" hidden="1">
      <c r="B817" t="s">
        <v>770</v>
      </c>
      <c r="C817" t="s">
        <v>17</v>
      </c>
      <c r="D817" t="s">
        <v>745</v>
      </c>
      <c r="E817">
        <v>1994</v>
      </c>
      <c r="F817" s="12" t="s">
        <v>622</v>
      </c>
      <c r="G817" s="12" t="s">
        <v>732</v>
      </c>
      <c r="I817" t="s">
        <v>18</v>
      </c>
      <c r="J817" t="s">
        <v>767</v>
      </c>
      <c r="L817"/>
      <c r="O817" t="s">
        <v>768</v>
      </c>
      <c r="P817" t="s">
        <v>27</v>
      </c>
      <c r="R817" s="12"/>
      <c r="S817">
        <v>19.2</v>
      </c>
      <c r="T817" s="23"/>
      <c r="U817" s="23"/>
      <c r="V817" t="s">
        <v>770</v>
      </c>
    </row>
    <row r="818" spans="2:23" hidden="1">
      <c r="B818" t="s">
        <v>775</v>
      </c>
      <c r="C818" t="s">
        <v>296</v>
      </c>
      <c r="E818">
        <v>1993</v>
      </c>
      <c r="F818" s="12" t="s">
        <v>622</v>
      </c>
      <c r="G818"/>
      <c r="H818" t="s">
        <v>309</v>
      </c>
      <c r="I818" t="s">
        <v>776</v>
      </c>
      <c r="L818" s="5" t="s">
        <v>777</v>
      </c>
      <c r="O818" t="s">
        <v>768</v>
      </c>
      <c r="P818" t="s">
        <v>27</v>
      </c>
      <c r="S818" s="9">
        <v>13.3</v>
      </c>
      <c r="T818"/>
      <c r="U818"/>
      <c r="V818" s="8" t="s">
        <v>778</v>
      </c>
      <c r="W818" t="s">
        <v>794</v>
      </c>
    </row>
    <row r="819" spans="2:23" hidden="1">
      <c r="B819" t="s">
        <v>775</v>
      </c>
      <c r="C819" t="s">
        <v>296</v>
      </c>
      <c r="E819">
        <v>1994</v>
      </c>
      <c r="F819" s="12" t="s">
        <v>622</v>
      </c>
      <c r="G819"/>
      <c r="H819" t="s">
        <v>309</v>
      </c>
      <c r="I819" t="s">
        <v>776</v>
      </c>
      <c r="L819" s="5" t="s">
        <v>777</v>
      </c>
      <c r="O819" t="s">
        <v>768</v>
      </c>
      <c r="P819" t="s">
        <v>27</v>
      </c>
      <c r="S819" s="9">
        <v>13.5</v>
      </c>
      <c r="T819"/>
      <c r="U819"/>
      <c r="V819" s="8" t="s">
        <v>778</v>
      </c>
      <c r="W819" t="s">
        <v>794</v>
      </c>
    </row>
    <row r="820" spans="2:23" hidden="1">
      <c r="B820" t="s">
        <v>775</v>
      </c>
      <c r="C820" t="s">
        <v>296</v>
      </c>
      <c r="E820">
        <v>1995</v>
      </c>
      <c r="F820" s="12" t="s">
        <v>622</v>
      </c>
      <c r="G820"/>
      <c r="H820" t="s">
        <v>309</v>
      </c>
      <c r="I820" t="s">
        <v>776</v>
      </c>
      <c r="L820" s="5" t="s">
        <v>777</v>
      </c>
      <c r="O820" t="s">
        <v>768</v>
      </c>
      <c r="P820" t="s">
        <v>27</v>
      </c>
      <c r="S820" s="9">
        <v>14.7</v>
      </c>
      <c r="T820"/>
      <c r="U820"/>
      <c r="V820" t="s">
        <v>779</v>
      </c>
      <c r="W820" t="s">
        <v>794</v>
      </c>
    </row>
    <row r="821" spans="2:23" hidden="1">
      <c r="B821" t="s">
        <v>775</v>
      </c>
      <c r="C821" t="s">
        <v>296</v>
      </c>
      <c r="E821">
        <v>1996</v>
      </c>
      <c r="F821" s="12" t="s">
        <v>622</v>
      </c>
      <c r="G821"/>
      <c r="H821" t="s">
        <v>309</v>
      </c>
      <c r="I821" t="s">
        <v>776</v>
      </c>
      <c r="L821" s="5" t="s">
        <v>777</v>
      </c>
      <c r="O821" t="s">
        <v>768</v>
      </c>
      <c r="P821" t="s">
        <v>27</v>
      </c>
      <c r="S821" s="9">
        <v>13.4</v>
      </c>
      <c r="T821"/>
      <c r="U821"/>
      <c r="V821" t="s">
        <v>779</v>
      </c>
      <c r="W821" t="s">
        <v>794</v>
      </c>
    </row>
    <row r="822" spans="2:23" hidden="1">
      <c r="B822" t="s">
        <v>775</v>
      </c>
      <c r="C822" t="s">
        <v>296</v>
      </c>
      <c r="E822">
        <v>1997</v>
      </c>
      <c r="F822" s="12" t="s">
        <v>622</v>
      </c>
      <c r="G822"/>
      <c r="H822" t="s">
        <v>309</v>
      </c>
      <c r="I822" t="s">
        <v>776</v>
      </c>
      <c r="L822" s="5" t="s">
        <v>777</v>
      </c>
      <c r="O822" t="s">
        <v>768</v>
      </c>
      <c r="P822" t="s">
        <v>27</v>
      </c>
      <c r="S822" s="9">
        <v>14.5</v>
      </c>
      <c r="T822"/>
      <c r="U822"/>
      <c r="V822" t="s">
        <v>779</v>
      </c>
      <c r="W822" t="s">
        <v>794</v>
      </c>
    </row>
    <row r="823" spans="2:23" hidden="1">
      <c r="B823" t="s">
        <v>775</v>
      </c>
      <c r="C823" t="s">
        <v>296</v>
      </c>
      <c r="E823">
        <v>1998</v>
      </c>
      <c r="F823" s="12" t="s">
        <v>622</v>
      </c>
      <c r="G823"/>
      <c r="H823" t="s">
        <v>309</v>
      </c>
      <c r="I823" t="s">
        <v>776</v>
      </c>
      <c r="L823" s="5" t="s">
        <v>777</v>
      </c>
      <c r="O823" t="s">
        <v>768</v>
      </c>
      <c r="P823" t="s">
        <v>27</v>
      </c>
      <c r="S823" s="9">
        <v>14.8</v>
      </c>
      <c r="T823"/>
      <c r="U823"/>
      <c r="V823" t="s">
        <v>779</v>
      </c>
      <c r="W823" t="s">
        <v>794</v>
      </c>
    </row>
    <row r="824" spans="2:23" hidden="1">
      <c r="B824" t="s">
        <v>775</v>
      </c>
      <c r="C824" t="s">
        <v>296</v>
      </c>
      <c r="E824">
        <v>1999</v>
      </c>
      <c r="F824" s="12" t="s">
        <v>622</v>
      </c>
      <c r="G824"/>
      <c r="H824" t="s">
        <v>309</v>
      </c>
      <c r="I824" t="s">
        <v>776</v>
      </c>
      <c r="L824" s="5" t="s">
        <v>777</v>
      </c>
      <c r="O824" t="s">
        <v>768</v>
      </c>
      <c r="P824" t="s">
        <v>27</v>
      </c>
      <c r="S824" s="9">
        <v>15</v>
      </c>
      <c r="T824"/>
      <c r="U824"/>
      <c r="V824" t="s">
        <v>779</v>
      </c>
      <c r="W824" t="s">
        <v>794</v>
      </c>
    </row>
    <row r="825" spans="2:23" hidden="1">
      <c r="B825" t="s">
        <v>780</v>
      </c>
      <c r="C825" t="s">
        <v>296</v>
      </c>
      <c r="E825" t="s">
        <v>781</v>
      </c>
      <c r="F825" s="12" t="s">
        <v>782</v>
      </c>
      <c r="G825"/>
      <c r="H825" t="s">
        <v>309</v>
      </c>
      <c r="I825" t="s">
        <v>783</v>
      </c>
      <c r="L825"/>
      <c r="O825" t="s">
        <v>768</v>
      </c>
      <c r="P825" t="s">
        <v>27</v>
      </c>
      <c r="S825" s="34">
        <v>22.5</v>
      </c>
      <c r="T825">
        <v>14.7</v>
      </c>
      <c r="U825"/>
      <c r="V825" s="8" t="s">
        <v>784</v>
      </c>
      <c r="W825" t="s">
        <v>794</v>
      </c>
    </row>
    <row r="826" spans="2:23" hidden="1">
      <c r="B826" t="s">
        <v>785</v>
      </c>
      <c r="C826" t="s">
        <v>296</v>
      </c>
      <c r="E826" t="s">
        <v>786</v>
      </c>
      <c r="F826" s="12" t="s">
        <v>782</v>
      </c>
      <c r="G826"/>
      <c r="H826" t="s">
        <v>309</v>
      </c>
      <c r="I826" t="s">
        <v>787</v>
      </c>
      <c r="L826"/>
      <c r="O826" t="s">
        <v>768</v>
      </c>
      <c r="P826" t="s">
        <v>27</v>
      </c>
      <c r="S826" s="34"/>
      <c r="T826"/>
      <c r="U826"/>
      <c r="V826" s="8" t="s">
        <v>788</v>
      </c>
      <c r="W826" t="s">
        <v>794</v>
      </c>
    </row>
    <row r="827" spans="2:23" hidden="1">
      <c r="B827" t="s">
        <v>308</v>
      </c>
      <c r="C827" t="s">
        <v>296</v>
      </c>
      <c r="E827" t="s">
        <v>262</v>
      </c>
      <c r="F827" s="12" t="s">
        <v>622</v>
      </c>
      <c r="G827"/>
      <c r="H827" t="s">
        <v>309</v>
      </c>
      <c r="I827" t="s">
        <v>789</v>
      </c>
      <c r="L827"/>
      <c r="O827" t="s">
        <v>768</v>
      </c>
      <c r="P827" t="s">
        <v>27</v>
      </c>
      <c r="S827" s="34">
        <v>29</v>
      </c>
      <c r="T827"/>
      <c r="U827"/>
      <c r="V827" s="8" t="s">
        <v>314</v>
      </c>
      <c r="W827" t="s">
        <v>794</v>
      </c>
    </row>
    <row r="828" spans="2:23" hidden="1">
      <c r="B828" t="s">
        <v>308</v>
      </c>
      <c r="C828" t="s">
        <v>296</v>
      </c>
      <c r="D828" t="s">
        <v>747</v>
      </c>
      <c r="E828" t="s">
        <v>262</v>
      </c>
      <c r="F828" s="12" t="s">
        <v>622</v>
      </c>
      <c r="G828" s="12" t="s">
        <v>732</v>
      </c>
      <c r="H828" t="s">
        <v>309</v>
      </c>
      <c r="I828" t="s">
        <v>790</v>
      </c>
      <c r="L828"/>
      <c r="O828" t="s">
        <v>768</v>
      </c>
      <c r="P828" t="s">
        <v>27</v>
      </c>
      <c r="S828" s="34">
        <v>47.4</v>
      </c>
      <c r="T828"/>
      <c r="U828"/>
      <c r="V828" s="8" t="s">
        <v>314</v>
      </c>
      <c r="W828" t="s">
        <v>794</v>
      </c>
    </row>
    <row r="829" spans="2:23" hidden="1">
      <c r="B829" t="s">
        <v>308</v>
      </c>
      <c r="C829" t="s">
        <v>296</v>
      </c>
      <c r="D829" t="s">
        <v>747</v>
      </c>
      <c r="E829" t="s">
        <v>262</v>
      </c>
      <c r="F829" s="12" t="s">
        <v>622</v>
      </c>
      <c r="G829" s="12" t="s">
        <v>732</v>
      </c>
      <c r="H829" t="s">
        <v>309</v>
      </c>
      <c r="I829" t="s">
        <v>776</v>
      </c>
      <c r="L829"/>
      <c r="O829" t="s">
        <v>768</v>
      </c>
      <c r="P829" t="s">
        <v>27</v>
      </c>
      <c r="S829" s="34">
        <v>20.7</v>
      </c>
      <c r="T829"/>
      <c r="U829"/>
      <c r="V829" s="8" t="s">
        <v>314</v>
      </c>
      <c r="W829" t="s">
        <v>794</v>
      </c>
    </row>
    <row r="830" spans="2:23" hidden="1">
      <c r="B830" t="s">
        <v>308</v>
      </c>
      <c r="C830" t="s">
        <v>296</v>
      </c>
      <c r="E830" t="s">
        <v>262</v>
      </c>
      <c r="F830" s="12" t="s">
        <v>622</v>
      </c>
      <c r="G830"/>
      <c r="H830" t="s">
        <v>309</v>
      </c>
      <c r="I830" t="s">
        <v>791</v>
      </c>
      <c r="L830"/>
      <c r="O830" t="s">
        <v>768</v>
      </c>
      <c r="P830" t="s">
        <v>27</v>
      </c>
      <c r="S830" s="34">
        <v>43</v>
      </c>
      <c r="T830"/>
      <c r="U830"/>
      <c r="V830" s="8" t="s">
        <v>314</v>
      </c>
      <c r="W830" t="s">
        <v>794</v>
      </c>
    </row>
    <row r="831" spans="2:23" hidden="1">
      <c r="B831" t="s">
        <v>308</v>
      </c>
      <c r="C831" t="s">
        <v>296</v>
      </c>
      <c r="D831" t="s">
        <v>747</v>
      </c>
      <c r="E831" t="s">
        <v>262</v>
      </c>
      <c r="F831" s="12" t="s">
        <v>622</v>
      </c>
      <c r="G831" s="12" t="s">
        <v>732</v>
      </c>
      <c r="H831" t="s">
        <v>309</v>
      </c>
      <c r="I831" t="s">
        <v>792</v>
      </c>
      <c r="L831"/>
      <c r="O831" t="s">
        <v>768</v>
      </c>
      <c r="P831" t="s">
        <v>27</v>
      </c>
      <c r="S831" s="34">
        <v>22.7</v>
      </c>
      <c r="T831"/>
      <c r="U831"/>
      <c r="V831" s="8" t="s">
        <v>314</v>
      </c>
      <c r="W831" t="s">
        <v>794</v>
      </c>
    </row>
    <row r="832" spans="2:23" hidden="1">
      <c r="B832" t="s">
        <v>308</v>
      </c>
      <c r="C832" t="s">
        <v>296</v>
      </c>
      <c r="D832" t="s">
        <v>747</v>
      </c>
      <c r="E832" t="s">
        <v>262</v>
      </c>
      <c r="F832" s="12" t="s">
        <v>622</v>
      </c>
      <c r="G832" s="12" t="s">
        <v>732</v>
      </c>
      <c r="H832" t="s">
        <v>309</v>
      </c>
      <c r="I832" t="s">
        <v>793</v>
      </c>
      <c r="L832"/>
      <c r="O832" t="s">
        <v>768</v>
      </c>
      <c r="P832" t="s">
        <v>27</v>
      </c>
      <c r="S832" s="34">
        <v>16.8</v>
      </c>
      <c r="T832"/>
      <c r="U832"/>
      <c r="V832" s="8" t="s">
        <v>314</v>
      </c>
      <c r="W832" t="s">
        <v>794</v>
      </c>
    </row>
    <row r="833" spans="2:23" hidden="1">
      <c r="B833" t="s">
        <v>470</v>
      </c>
      <c r="C833" t="s">
        <v>40</v>
      </c>
      <c r="D833" t="s">
        <v>745</v>
      </c>
      <c r="E833">
        <v>1995</v>
      </c>
      <c r="F833" t="s">
        <v>622</v>
      </c>
      <c r="G833" s="38" t="s">
        <v>732</v>
      </c>
      <c r="H833" t="s">
        <v>471</v>
      </c>
      <c r="I833" t="s">
        <v>796</v>
      </c>
      <c r="L833"/>
      <c r="O833" t="s">
        <v>26</v>
      </c>
      <c r="P833" t="s">
        <v>27</v>
      </c>
      <c r="R833">
        <v>1</v>
      </c>
      <c r="S833">
        <v>32.4</v>
      </c>
      <c r="T833"/>
      <c r="U833"/>
      <c r="V833" t="s">
        <v>797</v>
      </c>
      <c r="W833" t="s">
        <v>798</v>
      </c>
    </row>
    <row r="834" spans="2:23" hidden="1">
      <c r="B834" t="s">
        <v>470</v>
      </c>
      <c r="C834" t="s">
        <v>40</v>
      </c>
      <c r="D834" t="s">
        <v>745</v>
      </c>
      <c r="E834">
        <v>1995</v>
      </c>
      <c r="F834" t="s">
        <v>622</v>
      </c>
      <c r="G834" s="38" t="s">
        <v>732</v>
      </c>
      <c r="H834" t="s">
        <v>471</v>
      </c>
      <c r="I834" t="s">
        <v>799</v>
      </c>
      <c r="L834"/>
      <c r="O834" t="s">
        <v>26</v>
      </c>
      <c r="P834" t="s">
        <v>27</v>
      </c>
      <c r="S834">
        <v>52.8</v>
      </c>
      <c r="T834"/>
      <c r="U834"/>
      <c r="V834" t="s">
        <v>797</v>
      </c>
      <c r="W834" t="s">
        <v>798</v>
      </c>
    </row>
    <row r="835" spans="2:23" hidden="1">
      <c r="B835" t="s">
        <v>470</v>
      </c>
      <c r="C835" t="s">
        <v>40</v>
      </c>
      <c r="D835" t="s">
        <v>745</v>
      </c>
      <c r="E835">
        <v>1996</v>
      </c>
      <c r="F835" t="s">
        <v>622</v>
      </c>
      <c r="G835"/>
      <c r="H835" t="s">
        <v>458</v>
      </c>
      <c r="I835" t="s">
        <v>458</v>
      </c>
      <c r="L835"/>
      <c r="O835" t="s">
        <v>26</v>
      </c>
      <c r="P835" t="s">
        <v>27</v>
      </c>
      <c r="S835">
        <v>33.799999999999997</v>
      </c>
      <c r="T835"/>
      <c r="U835"/>
      <c r="V835" t="s">
        <v>797</v>
      </c>
      <c r="W835" t="s">
        <v>798</v>
      </c>
    </row>
    <row r="836" spans="2:23" hidden="1">
      <c r="B836" t="s">
        <v>470</v>
      </c>
      <c r="C836" t="s">
        <v>40</v>
      </c>
      <c r="D836" t="s">
        <v>745</v>
      </c>
      <c r="E836">
        <v>1996</v>
      </c>
      <c r="F836" t="s">
        <v>622</v>
      </c>
      <c r="G836"/>
      <c r="H836" t="s">
        <v>473</v>
      </c>
      <c r="I836" t="s">
        <v>472</v>
      </c>
      <c r="L836"/>
      <c r="O836" t="s">
        <v>26</v>
      </c>
      <c r="P836" t="s">
        <v>27</v>
      </c>
      <c r="S836">
        <v>44.7</v>
      </c>
      <c r="T836"/>
      <c r="U836"/>
      <c r="V836" t="s">
        <v>797</v>
      </c>
      <c r="W836" t="s">
        <v>798</v>
      </c>
    </row>
    <row r="837" spans="2:23" hidden="1">
      <c r="B837" t="s">
        <v>470</v>
      </c>
      <c r="C837" t="s">
        <v>40</v>
      </c>
      <c r="D837" t="s">
        <v>745</v>
      </c>
      <c r="E837">
        <v>1996</v>
      </c>
      <c r="F837" t="s">
        <v>622</v>
      </c>
      <c r="G837"/>
      <c r="H837" t="s">
        <v>473</v>
      </c>
      <c r="I837" t="s">
        <v>462</v>
      </c>
      <c r="L837"/>
      <c r="O837" t="s">
        <v>26</v>
      </c>
      <c r="P837" t="s">
        <v>27</v>
      </c>
      <c r="S837">
        <v>52.3</v>
      </c>
      <c r="T837"/>
      <c r="U837"/>
      <c r="V837" t="s">
        <v>797</v>
      </c>
      <c r="W837" t="s">
        <v>798</v>
      </c>
    </row>
    <row r="838" spans="2:23" hidden="1">
      <c r="B838" t="s">
        <v>470</v>
      </c>
      <c r="C838" t="s">
        <v>40</v>
      </c>
      <c r="D838" t="s">
        <v>745</v>
      </c>
      <c r="E838">
        <v>1996</v>
      </c>
      <c r="F838" t="s">
        <v>622</v>
      </c>
      <c r="G838"/>
      <c r="H838" t="s">
        <v>473</v>
      </c>
      <c r="I838" t="s">
        <v>52</v>
      </c>
      <c r="L838"/>
      <c r="O838" t="s">
        <v>26</v>
      </c>
      <c r="P838" t="s">
        <v>27</v>
      </c>
      <c r="S838">
        <v>62.7</v>
      </c>
      <c r="T838"/>
      <c r="U838"/>
      <c r="V838" t="s">
        <v>797</v>
      </c>
      <c r="W838" t="s">
        <v>798</v>
      </c>
    </row>
    <row r="839" spans="2:23" hidden="1">
      <c r="B839" t="s">
        <v>481</v>
      </c>
      <c r="C839" t="s">
        <v>40</v>
      </c>
      <c r="D839" t="s">
        <v>746</v>
      </c>
      <c r="E839">
        <v>1997</v>
      </c>
      <c r="F839" t="s">
        <v>622</v>
      </c>
      <c r="G839" s="38" t="s">
        <v>732</v>
      </c>
      <c r="H839" t="s">
        <v>800</v>
      </c>
      <c r="I839" t="s">
        <v>803</v>
      </c>
      <c r="L839"/>
      <c r="M839">
        <v>-8.0306300000000004</v>
      </c>
      <c r="N839">
        <v>39.353009999999998</v>
      </c>
      <c r="O839" t="s">
        <v>26</v>
      </c>
      <c r="P839" t="s">
        <v>27</v>
      </c>
      <c r="S839">
        <v>70</v>
      </c>
      <c r="T839"/>
      <c r="U839"/>
      <c r="V839" t="s">
        <v>802</v>
      </c>
      <c r="W839" t="s">
        <v>798</v>
      </c>
    </row>
    <row r="840" spans="2:23" hidden="1">
      <c r="B840" t="s">
        <v>481</v>
      </c>
      <c r="C840" t="s">
        <v>40</v>
      </c>
      <c r="D840" t="s">
        <v>746</v>
      </c>
      <c r="E840">
        <v>1997</v>
      </c>
      <c r="F840" t="s">
        <v>622</v>
      </c>
      <c r="G840" s="38" t="s">
        <v>732</v>
      </c>
      <c r="H840" t="s">
        <v>800</v>
      </c>
      <c r="I840" t="s">
        <v>804</v>
      </c>
      <c r="L840"/>
      <c r="M840">
        <v>-7.5851800000000003</v>
      </c>
      <c r="N840">
        <v>39.48518</v>
      </c>
      <c r="O840" t="s">
        <v>26</v>
      </c>
      <c r="P840" t="s">
        <v>27</v>
      </c>
      <c r="S840">
        <v>70</v>
      </c>
      <c r="T840"/>
      <c r="U840"/>
      <c r="V840" t="s">
        <v>802</v>
      </c>
      <c r="W840" t="s">
        <v>798</v>
      </c>
    </row>
    <row r="841" spans="2:23" hidden="1">
      <c r="B841" t="s">
        <v>481</v>
      </c>
      <c r="C841" t="s">
        <v>40</v>
      </c>
      <c r="D841" t="s">
        <v>746</v>
      </c>
      <c r="E841">
        <v>1997</v>
      </c>
      <c r="F841" t="s">
        <v>622</v>
      </c>
      <c r="G841" s="38" t="s">
        <v>732</v>
      </c>
      <c r="H841" t="s">
        <v>483</v>
      </c>
      <c r="I841" t="s">
        <v>805</v>
      </c>
      <c r="L841"/>
      <c r="M841">
        <v>-10.19162</v>
      </c>
      <c r="N841">
        <v>40.21349</v>
      </c>
      <c r="O841" t="s">
        <v>26</v>
      </c>
      <c r="P841" t="s">
        <v>27</v>
      </c>
      <c r="S841">
        <v>60</v>
      </c>
      <c r="T841"/>
      <c r="U841"/>
      <c r="V841" t="s">
        <v>802</v>
      </c>
      <c r="W841" t="s">
        <v>798</v>
      </c>
    </row>
    <row r="842" spans="2:23" hidden="1">
      <c r="B842" t="s">
        <v>481</v>
      </c>
      <c r="C842" t="s">
        <v>40</v>
      </c>
      <c r="D842" t="s">
        <v>746</v>
      </c>
      <c r="E842">
        <v>1997</v>
      </c>
      <c r="F842" t="s">
        <v>622</v>
      </c>
      <c r="G842" s="38" t="s">
        <v>732</v>
      </c>
      <c r="H842" t="s">
        <v>483</v>
      </c>
      <c r="I842" t="s">
        <v>484</v>
      </c>
      <c r="L842"/>
      <c r="M842">
        <v>-10.185370000000001</v>
      </c>
      <c r="N842">
        <v>40.220799999999997</v>
      </c>
      <c r="O842" t="s">
        <v>26</v>
      </c>
      <c r="P842" t="s">
        <v>27</v>
      </c>
      <c r="S842">
        <v>60</v>
      </c>
      <c r="T842"/>
      <c r="U842"/>
      <c r="V842" t="s">
        <v>802</v>
      </c>
      <c r="W842" t="s">
        <v>798</v>
      </c>
    </row>
    <row r="843" spans="2:23" hidden="1">
      <c r="B843" t="s">
        <v>481</v>
      </c>
      <c r="C843" t="s">
        <v>40</v>
      </c>
      <c r="D843" t="s">
        <v>745</v>
      </c>
      <c r="E843">
        <v>1997</v>
      </c>
      <c r="F843" t="s">
        <v>622</v>
      </c>
      <c r="G843" s="38" t="s">
        <v>732</v>
      </c>
      <c r="H843" t="s">
        <v>322</v>
      </c>
      <c r="I843" t="s">
        <v>485</v>
      </c>
      <c r="L843"/>
      <c r="M843">
        <v>-5.1512700000000002</v>
      </c>
      <c r="N843">
        <v>39.350659999999998</v>
      </c>
      <c r="O843" t="s">
        <v>26</v>
      </c>
      <c r="P843" t="s">
        <v>27</v>
      </c>
      <c r="S843">
        <v>30</v>
      </c>
      <c r="T843"/>
      <c r="U843"/>
      <c r="V843" t="s">
        <v>802</v>
      </c>
      <c r="W843" t="s">
        <v>798</v>
      </c>
    </row>
    <row r="844" spans="2:23" hidden="1">
      <c r="B844" t="s">
        <v>481</v>
      </c>
      <c r="C844" t="s">
        <v>40</v>
      </c>
      <c r="D844" t="s">
        <v>745</v>
      </c>
      <c r="E844">
        <v>1997</v>
      </c>
      <c r="F844" t="s">
        <v>622</v>
      </c>
      <c r="G844" s="38" t="s">
        <v>732</v>
      </c>
      <c r="H844" t="s">
        <v>322</v>
      </c>
      <c r="I844" t="s">
        <v>486</v>
      </c>
      <c r="L844"/>
      <c r="M844">
        <v>-5.1413700000000002</v>
      </c>
      <c r="N844">
        <v>39.353960000000001</v>
      </c>
      <c r="O844" t="s">
        <v>26</v>
      </c>
      <c r="P844" t="s">
        <v>27</v>
      </c>
      <c r="S844">
        <v>74</v>
      </c>
      <c r="T844"/>
      <c r="U844"/>
      <c r="V844" t="s">
        <v>802</v>
      </c>
      <c r="W844" t="s">
        <v>798</v>
      </c>
    </row>
    <row r="845" spans="2:23" hidden="1">
      <c r="B845" t="s">
        <v>481</v>
      </c>
      <c r="C845" t="s">
        <v>40</v>
      </c>
      <c r="D845" t="s">
        <v>745</v>
      </c>
      <c r="E845">
        <v>1997</v>
      </c>
      <c r="F845" t="s">
        <v>622</v>
      </c>
      <c r="G845" s="38" t="s">
        <v>732</v>
      </c>
      <c r="H845" t="s">
        <v>322</v>
      </c>
      <c r="I845" t="s">
        <v>487</v>
      </c>
      <c r="L845"/>
      <c r="M845">
        <v>-5.1401199999999996</v>
      </c>
      <c r="N845">
        <v>39.354529999999997</v>
      </c>
      <c r="O845" t="s">
        <v>26</v>
      </c>
      <c r="P845" t="s">
        <v>27</v>
      </c>
      <c r="S845">
        <v>57</v>
      </c>
      <c r="T845"/>
      <c r="U845"/>
      <c r="V845" t="s">
        <v>802</v>
      </c>
      <c r="W845" t="s">
        <v>798</v>
      </c>
    </row>
    <row r="846" spans="2:23" hidden="1">
      <c r="B846" t="s">
        <v>481</v>
      </c>
      <c r="C846" t="s">
        <v>40</v>
      </c>
      <c r="D846" t="s">
        <v>746</v>
      </c>
      <c r="E846">
        <v>1997</v>
      </c>
      <c r="F846" t="s">
        <v>622</v>
      </c>
      <c r="G846" t="s">
        <v>732</v>
      </c>
      <c r="H846" t="s">
        <v>488</v>
      </c>
      <c r="I846" t="s">
        <v>489</v>
      </c>
      <c r="L846"/>
      <c r="M846">
        <v>-8.4218700000000002</v>
      </c>
      <c r="N846">
        <v>39.2622</v>
      </c>
      <c r="O846" t="s">
        <v>26</v>
      </c>
      <c r="P846" t="s">
        <v>27</v>
      </c>
      <c r="S846">
        <v>35</v>
      </c>
      <c r="T846"/>
      <c r="U846"/>
      <c r="V846" t="s">
        <v>802</v>
      </c>
      <c r="W846" t="s">
        <v>798</v>
      </c>
    </row>
    <row r="847" spans="2:23" hidden="1">
      <c r="B847" t="s">
        <v>481</v>
      </c>
      <c r="C847" t="s">
        <v>40</v>
      </c>
      <c r="D847" t="s">
        <v>746</v>
      </c>
      <c r="E847">
        <v>1997</v>
      </c>
      <c r="F847" t="s">
        <v>622</v>
      </c>
      <c r="G847"/>
      <c r="H847" t="s">
        <v>488</v>
      </c>
      <c r="I847" t="s">
        <v>490</v>
      </c>
      <c r="L847"/>
      <c r="M847">
        <v>-8.3805899999999998</v>
      </c>
      <c r="N847">
        <v>39.261510000000001</v>
      </c>
      <c r="O847" t="s">
        <v>26</v>
      </c>
      <c r="P847" t="s">
        <v>27</v>
      </c>
      <c r="S847">
        <v>30</v>
      </c>
      <c r="T847"/>
      <c r="U847"/>
      <c r="V847" t="s">
        <v>802</v>
      </c>
      <c r="W847" t="s">
        <v>798</v>
      </c>
    </row>
    <row r="848" spans="2:23" hidden="1">
      <c r="B848" t="s">
        <v>481</v>
      </c>
      <c r="C848" t="s">
        <v>40</v>
      </c>
      <c r="D848" t="s">
        <v>745</v>
      </c>
      <c r="E848">
        <v>1997</v>
      </c>
      <c r="F848" t="s">
        <v>622</v>
      </c>
      <c r="G848" s="38" t="s">
        <v>732</v>
      </c>
      <c r="H848" t="s">
        <v>458</v>
      </c>
      <c r="I848" t="s">
        <v>491</v>
      </c>
      <c r="L848"/>
      <c r="M848">
        <v>-5.1856999999999998</v>
      </c>
      <c r="N848">
        <v>39.044440000000002</v>
      </c>
      <c r="O848" t="s">
        <v>26</v>
      </c>
      <c r="P848" t="s">
        <v>27</v>
      </c>
      <c r="S848">
        <v>50</v>
      </c>
      <c r="T848"/>
      <c r="U848"/>
      <c r="V848" t="s">
        <v>802</v>
      </c>
      <c r="W848" t="s">
        <v>798</v>
      </c>
    </row>
    <row r="849" spans="1:23" hidden="1">
      <c r="B849" t="s">
        <v>481</v>
      </c>
      <c r="C849" t="s">
        <v>40</v>
      </c>
      <c r="D849" t="s">
        <v>745</v>
      </c>
      <c r="E849">
        <v>1997</v>
      </c>
      <c r="F849" t="s">
        <v>622</v>
      </c>
      <c r="G849" s="38" t="s">
        <v>732</v>
      </c>
      <c r="H849" t="s">
        <v>458</v>
      </c>
      <c r="I849" t="s">
        <v>461</v>
      </c>
      <c r="L849"/>
      <c r="M849">
        <v>-5.1830800000000004</v>
      </c>
      <c r="N849">
        <v>39.035290000000003</v>
      </c>
      <c r="O849" t="s">
        <v>26</v>
      </c>
      <c r="P849" t="s">
        <v>27</v>
      </c>
      <c r="S849">
        <v>45</v>
      </c>
      <c r="T849"/>
      <c r="U849"/>
      <c r="V849" t="s">
        <v>802</v>
      </c>
      <c r="W849" t="s">
        <v>798</v>
      </c>
    </row>
    <row r="850" spans="1:23" hidden="1">
      <c r="B850" t="s">
        <v>481</v>
      </c>
      <c r="C850" t="s">
        <v>40</v>
      </c>
      <c r="D850" t="s">
        <v>745</v>
      </c>
      <c r="E850">
        <v>1997</v>
      </c>
      <c r="F850" t="s">
        <v>622</v>
      </c>
      <c r="G850" s="38" t="s">
        <v>732</v>
      </c>
      <c r="H850" t="s">
        <v>458</v>
      </c>
      <c r="I850" t="s">
        <v>459</v>
      </c>
      <c r="L850"/>
      <c r="M850">
        <v>-5.1735699999999998</v>
      </c>
      <c r="N850">
        <v>39.054609999999997</v>
      </c>
      <c r="O850" t="s">
        <v>26</v>
      </c>
      <c r="P850" t="s">
        <v>27</v>
      </c>
      <c r="S850">
        <v>67</v>
      </c>
      <c r="T850"/>
      <c r="U850"/>
      <c r="V850" t="s">
        <v>802</v>
      </c>
      <c r="W850" t="s">
        <v>798</v>
      </c>
    </row>
    <row r="851" spans="1:23" hidden="1">
      <c r="B851" t="s">
        <v>481</v>
      </c>
      <c r="C851" t="s">
        <v>40</v>
      </c>
      <c r="D851" t="s">
        <v>745</v>
      </c>
      <c r="E851">
        <v>1997</v>
      </c>
      <c r="F851" t="s">
        <v>622</v>
      </c>
      <c r="G851" s="38" t="s">
        <v>732</v>
      </c>
      <c r="H851" t="s">
        <v>458</v>
      </c>
      <c r="I851" t="s">
        <v>460</v>
      </c>
      <c r="L851"/>
      <c r="M851">
        <v>-5.1712999999999996</v>
      </c>
      <c r="N851">
        <v>39.043039999999998</v>
      </c>
      <c r="O851" t="s">
        <v>26</v>
      </c>
      <c r="P851" t="s">
        <v>27</v>
      </c>
      <c r="S851">
        <v>50</v>
      </c>
      <c r="T851"/>
      <c r="U851"/>
      <c r="V851" t="s">
        <v>802</v>
      </c>
      <c r="W851" t="s">
        <v>798</v>
      </c>
    </row>
    <row r="852" spans="1:23" hidden="1">
      <c r="B852" t="s">
        <v>806</v>
      </c>
      <c r="C852" t="s">
        <v>40</v>
      </c>
      <c r="D852" t="s">
        <v>745</v>
      </c>
      <c r="E852">
        <v>1997</v>
      </c>
      <c r="F852" t="s">
        <v>622</v>
      </c>
      <c r="G852" s="38" t="s">
        <v>732</v>
      </c>
      <c r="H852" t="s">
        <v>807</v>
      </c>
      <c r="I852" t="s">
        <v>808</v>
      </c>
      <c r="L852"/>
      <c r="O852" t="s">
        <v>26</v>
      </c>
      <c r="P852" t="s">
        <v>27</v>
      </c>
      <c r="S852">
        <v>78.2</v>
      </c>
      <c r="T852"/>
      <c r="U852"/>
      <c r="V852" t="s">
        <v>809</v>
      </c>
      <c r="W852" t="s">
        <v>798</v>
      </c>
    </row>
    <row r="853" spans="1:23" hidden="1">
      <c r="B853" t="s">
        <v>806</v>
      </c>
      <c r="C853" t="s">
        <v>40</v>
      </c>
      <c r="D853" t="s">
        <v>745</v>
      </c>
      <c r="E853">
        <v>1997</v>
      </c>
      <c r="F853" t="s">
        <v>622</v>
      </c>
      <c r="G853"/>
      <c r="H853" t="s">
        <v>810</v>
      </c>
      <c r="I853" t="s">
        <v>811</v>
      </c>
      <c r="L853"/>
      <c r="O853" t="s">
        <v>26</v>
      </c>
      <c r="P853" t="s">
        <v>27</v>
      </c>
      <c r="S853">
        <v>8</v>
      </c>
      <c r="T853"/>
      <c r="U853"/>
      <c r="V853" t="s">
        <v>809</v>
      </c>
      <c r="W853" t="s">
        <v>798</v>
      </c>
    </row>
    <row r="854" spans="1:23" hidden="1">
      <c r="B854" t="s">
        <v>806</v>
      </c>
      <c r="C854" t="s">
        <v>40</v>
      </c>
      <c r="D854" t="s">
        <v>745</v>
      </c>
      <c r="E854">
        <v>1997</v>
      </c>
      <c r="F854" t="s">
        <v>622</v>
      </c>
      <c r="G854"/>
      <c r="H854" t="s">
        <v>810</v>
      </c>
      <c r="I854" t="s">
        <v>812</v>
      </c>
      <c r="L854"/>
      <c r="O854" t="s">
        <v>26</v>
      </c>
      <c r="P854" t="s">
        <v>27</v>
      </c>
      <c r="S854">
        <v>18.3</v>
      </c>
      <c r="T854"/>
      <c r="U854"/>
      <c r="V854" t="s">
        <v>809</v>
      </c>
      <c r="W854" t="s">
        <v>798</v>
      </c>
    </row>
    <row r="855" spans="1:23" hidden="1">
      <c r="B855" t="s">
        <v>806</v>
      </c>
      <c r="C855" t="s">
        <v>40</v>
      </c>
      <c r="D855" t="s">
        <v>745</v>
      </c>
      <c r="E855">
        <v>1997</v>
      </c>
      <c r="F855" t="s">
        <v>622</v>
      </c>
      <c r="G855"/>
      <c r="H855" t="s">
        <v>810</v>
      </c>
      <c r="I855" t="s">
        <v>813</v>
      </c>
      <c r="L855"/>
      <c r="O855" t="s">
        <v>26</v>
      </c>
      <c r="P855" t="s">
        <v>27</v>
      </c>
      <c r="S855">
        <v>20</v>
      </c>
      <c r="T855"/>
      <c r="U855"/>
      <c r="V855" t="s">
        <v>809</v>
      </c>
      <c r="W855" t="s">
        <v>798</v>
      </c>
    </row>
    <row r="856" spans="1:23" hidden="1">
      <c r="B856" t="s">
        <v>806</v>
      </c>
      <c r="C856" t="s">
        <v>40</v>
      </c>
      <c r="D856" t="s">
        <v>745</v>
      </c>
      <c r="E856">
        <v>1997</v>
      </c>
      <c r="F856" t="s">
        <v>622</v>
      </c>
      <c r="G856"/>
      <c r="H856" t="s">
        <v>458</v>
      </c>
      <c r="I856" t="s">
        <v>458</v>
      </c>
      <c r="L856"/>
      <c r="O856" t="s">
        <v>26</v>
      </c>
      <c r="P856" t="s">
        <v>27</v>
      </c>
      <c r="R856">
        <v>4</v>
      </c>
      <c r="S856">
        <v>67</v>
      </c>
      <c r="T856"/>
      <c r="U856"/>
      <c r="V856" t="s">
        <v>809</v>
      </c>
      <c r="W856" t="s">
        <v>798</v>
      </c>
    </row>
    <row r="857" spans="1:23" hidden="1">
      <c r="B857" t="s">
        <v>814</v>
      </c>
      <c r="C857" t="s">
        <v>40</v>
      </c>
      <c r="D857" t="s">
        <v>745</v>
      </c>
      <c r="E857">
        <v>1994</v>
      </c>
      <c r="F857" t="s">
        <v>622</v>
      </c>
      <c r="G857"/>
      <c r="H857" t="s">
        <v>322</v>
      </c>
      <c r="I857" t="s">
        <v>815</v>
      </c>
      <c r="L857"/>
      <c r="O857" t="s">
        <v>26</v>
      </c>
      <c r="P857" t="s">
        <v>27</v>
      </c>
      <c r="S857">
        <v>20</v>
      </c>
      <c r="T857"/>
      <c r="U857"/>
      <c r="V857" t="s">
        <v>816</v>
      </c>
      <c r="W857" t="s">
        <v>798</v>
      </c>
    </row>
    <row r="858" spans="1:23" hidden="1">
      <c r="B858" t="s">
        <v>814</v>
      </c>
      <c r="C858" t="s">
        <v>40</v>
      </c>
      <c r="D858" t="s">
        <v>746</v>
      </c>
      <c r="E858">
        <v>1991</v>
      </c>
      <c r="F858" t="s">
        <v>622</v>
      </c>
      <c r="G858" s="38" t="s">
        <v>732</v>
      </c>
      <c r="H858" t="s">
        <v>817</v>
      </c>
      <c r="I858" t="s">
        <v>801</v>
      </c>
      <c r="L858"/>
      <c r="O858" t="s">
        <v>26</v>
      </c>
      <c r="P858" t="s">
        <v>27</v>
      </c>
      <c r="S858">
        <v>80</v>
      </c>
      <c r="T858"/>
      <c r="U858"/>
      <c r="V858" t="s">
        <v>816</v>
      </c>
      <c r="W858" t="s">
        <v>798</v>
      </c>
    </row>
    <row r="859" spans="1:23" hidden="1">
      <c r="A859" s="31"/>
      <c r="B859" s="31" t="s">
        <v>820</v>
      </c>
      <c r="C859" s="31" t="s">
        <v>220</v>
      </c>
      <c r="D859" s="31" t="s">
        <v>749</v>
      </c>
      <c r="E859" s="31">
        <v>1985</v>
      </c>
      <c r="F859" s="32" t="s">
        <v>622</v>
      </c>
      <c r="G859" s="32"/>
      <c r="H859" s="31" t="s">
        <v>822</v>
      </c>
      <c r="I859" s="31" t="s">
        <v>257</v>
      </c>
      <c r="J859" s="31"/>
      <c r="K859" s="31" t="s">
        <v>196</v>
      </c>
      <c r="L859" s="31"/>
      <c r="M859" s="31" t="s">
        <v>823</v>
      </c>
      <c r="N859" s="31" t="s">
        <v>824</v>
      </c>
      <c r="O859" s="31" t="s">
        <v>559</v>
      </c>
      <c r="P859" s="31" t="s">
        <v>819</v>
      </c>
      <c r="Q859" s="31"/>
      <c r="R859" s="32"/>
      <c r="S859" s="31">
        <v>47</v>
      </c>
      <c r="T859" s="36"/>
      <c r="U859" s="36"/>
      <c r="V859" s="37" t="s">
        <v>828</v>
      </c>
      <c r="W859" s="31"/>
    </row>
    <row r="860" spans="1:23" hidden="1">
      <c r="A860" s="31"/>
      <c r="B860" s="31" t="s">
        <v>820</v>
      </c>
      <c r="C860" s="31" t="s">
        <v>220</v>
      </c>
      <c r="D860" s="31" t="s">
        <v>749</v>
      </c>
      <c r="E860" s="31">
        <v>1985</v>
      </c>
      <c r="F860" s="32" t="s">
        <v>622</v>
      </c>
      <c r="G860" s="32"/>
      <c r="H860" s="31" t="s">
        <v>822</v>
      </c>
      <c r="I860" s="31" t="s">
        <v>257</v>
      </c>
      <c r="J860" s="31"/>
      <c r="K860" s="31" t="s">
        <v>196</v>
      </c>
      <c r="L860" s="31"/>
      <c r="M860" s="31" t="s">
        <v>823</v>
      </c>
      <c r="N860" s="31" t="s">
        <v>824</v>
      </c>
      <c r="O860" s="31" t="s">
        <v>827</v>
      </c>
      <c r="P860" s="31" t="s">
        <v>27</v>
      </c>
      <c r="Q860" s="31"/>
      <c r="R860" s="32"/>
      <c r="S860" s="31">
        <v>15</v>
      </c>
      <c r="T860" s="36"/>
      <c r="U860" s="36"/>
      <c r="V860" s="37" t="s">
        <v>828</v>
      </c>
      <c r="W860" s="31"/>
    </row>
    <row r="861" spans="1:23" hidden="1">
      <c r="A861" s="31"/>
      <c r="B861" s="31" t="s">
        <v>820</v>
      </c>
      <c r="C861" s="31" t="s">
        <v>220</v>
      </c>
      <c r="D861" s="31" t="s">
        <v>749</v>
      </c>
      <c r="E861" s="31">
        <v>1985</v>
      </c>
      <c r="F861" s="32" t="s">
        <v>622</v>
      </c>
      <c r="G861" s="32"/>
      <c r="H861" s="31" t="s">
        <v>822</v>
      </c>
      <c r="I861" s="31" t="s">
        <v>257</v>
      </c>
      <c r="J861" s="31"/>
      <c r="K861" s="31" t="s">
        <v>196</v>
      </c>
      <c r="L861" s="31"/>
      <c r="M861" s="31" t="s">
        <v>823</v>
      </c>
      <c r="N861" s="31" t="s">
        <v>824</v>
      </c>
      <c r="O861" s="31" t="s">
        <v>255</v>
      </c>
      <c r="P861" s="31"/>
      <c r="Q861" s="31"/>
      <c r="R861" s="32"/>
      <c r="S861" s="31">
        <v>50</v>
      </c>
      <c r="T861" s="36"/>
      <c r="U861" s="36"/>
      <c r="V861" s="37" t="s">
        <v>828</v>
      </c>
      <c r="W861" s="31"/>
    </row>
    <row r="862" spans="1:23" hidden="1">
      <c r="A862" s="31" t="s">
        <v>982</v>
      </c>
      <c r="B862" s="31" t="s">
        <v>821</v>
      </c>
      <c r="C862" s="31" t="s">
        <v>220</v>
      </c>
      <c r="D862" s="31" t="s">
        <v>749</v>
      </c>
      <c r="E862" s="31">
        <v>1985</v>
      </c>
      <c r="F862" s="32" t="s">
        <v>622</v>
      </c>
      <c r="G862" s="32" t="s">
        <v>732</v>
      </c>
      <c r="H862" s="31" t="s">
        <v>822</v>
      </c>
      <c r="I862" s="31" t="s">
        <v>257</v>
      </c>
      <c r="J862" s="31"/>
      <c r="K862" s="31" t="s">
        <v>825</v>
      </c>
      <c r="L862" s="31"/>
      <c r="M862" s="31" t="s">
        <v>823</v>
      </c>
      <c r="N862" s="31" t="s">
        <v>824</v>
      </c>
      <c r="O862" s="31" t="s">
        <v>538</v>
      </c>
      <c r="P862" s="31" t="s">
        <v>27</v>
      </c>
      <c r="Q862" s="31"/>
      <c r="R862" s="32"/>
      <c r="S862" s="31">
        <v>50</v>
      </c>
      <c r="T862" s="36"/>
      <c r="U862" s="36"/>
      <c r="V862" s="37" t="s">
        <v>829</v>
      </c>
      <c r="W862" s="31"/>
    </row>
    <row r="863" spans="1:23" hidden="1">
      <c r="A863" s="31"/>
      <c r="B863" s="31" t="s">
        <v>821</v>
      </c>
      <c r="C863" s="31" t="s">
        <v>220</v>
      </c>
      <c r="D863" s="31" t="s">
        <v>749</v>
      </c>
      <c r="E863" s="31">
        <v>1985</v>
      </c>
      <c r="F863" s="32" t="s">
        <v>622</v>
      </c>
      <c r="G863" s="32"/>
      <c r="H863" s="31" t="s">
        <v>822</v>
      </c>
      <c r="I863" s="31" t="s">
        <v>257</v>
      </c>
      <c r="J863" s="31"/>
      <c r="K863" s="31" t="s">
        <v>825</v>
      </c>
      <c r="L863" s="31"/>
      <c r="M863" s="31" t="s">
        <v>823</v>
      </c>
      <c r="N863" s="31" t="s">
        <v>824</v>
      </c>
      <c r="O863" s="31" t="s">
        <v>190</v>
      </c>
      <c r="P863" s="31"/>
      <c r="Q863" s="31"/>
      <c r="R863" s="32"/>
      <c r="S863" s="31">
        <v>25</v>
      </c>
      <c r="T863" s="36"/>
      <c r="U863" s="36"/>
      <c r="V863" s="37" t="s">
        <v>829</v>
      </c>
      <c r="W863" s="31"/>
    </row>
    <row r="864" spans="1:23" hidden="1">
      <c r="A864" s="31"/>
      <c r="B864" s="31" t="s">
        <v>821</v>
      </c>
      <c r="C864" s="31" t="s">
        <v>220</v>
      </c>
      <c r="D864" s="31" t="s">
        <v>749</v>
      </c>
      <c r="E864" s="31">
        <v>1985</v>
      </c>
      <c r="F864" s="32" t="s">
        <v>622</v>
      </c>
      <c r="G864" s="32" t="s">
        <v>732</v>
      </c>
      <c r="H864" s="31" t="s">
        <v>822</v>
      </c>
      <c r="I864" s="31" t="s">
        <v>257</v>
      </c>
      <c r="J864" s="31"/>
      <c r="K864" s="31" t="s">
        <v>826</v>
      </c>
      <c r="L864" s="31"/>
      <c r="M864" s="31" t="s">
        <v>823</v>
      </c>
      <c r="N864" s="31" t="s">
        <v>824</v>
      </c>
      <c r="O864" s="31" t="s">
        <v>538</v>
      </c>
      <c r="P864" s="31" t="s">
        <v>27</v>
      </c>
      <c r="Q864" s="31"/>
      <c r="R864" s="32"/>
      <c r="S864" s="31">
        <v>60</v>
      </c>
      <c r="T864" s="36"/>
      <c r="U864" s="36"/>
      <c r="V864" s="37" t="s">
        <v>829</v>
      </c>
      <c r="W864" s="31"/>
    </row>
    <row r="865" spans="2:22" s="31" customFormat="1" hidden="1">
      <c r="B865" s="31" t="s">
        <v>830</v>
      </c>
      <c r="C865" s="31" t="s">
        <v>21</v>
      </c>
      <c r="E865" s="31">
        <v>1999</v>
      </c>
      <c r="H865" s="31" t="s">
        <v>335</v>
      </c>
      <c r="I865" s="31" t="s">
        <v>831</v>
      </c>
      <c r="J865" s="31" t="s">
        <v>832</v>
      </c>
      <c r="K865" s="31" t="s">
        <v>833</v>
      </c>
      <c r="L865" s="31" t="s">
        <v>833</v>
      </c>
      <c r="M865" s="31">
        <v>-23.776944440000001</v>
      </c>
      <c r="N865" s="31">
        <v>35.51055556</v>
      </c>
      <c r="P865" s="31" t="s">
        <v>27</v>
      </c>
      <c r="Q865" s="31" t="s">
        <v>833</v>
      </c>
      <c r="S865" s="31">
        <v>16</v>
      </c>
      <c r="T865" s="31">
        <v>4</v>
      </c>
      <c r="V865" s="31" t="s">
        <v>834</v>
      </c>
    </row>
    <row r="866" spans="2:22" s="31" customFormat="1" hidden="1">
      <c r="B866" s="31" t="s">
        <v>830</v>
      </c>
      <c r="C866" s="31" t="s">
        <v>21</v>
      </c>
      <c r="E866" s="31">
        <v>1999</v>
      </c>
      <c r="H866" s="31" t="s">
        <v>335</v>
      </c>
      <c r="I866" s="31" t="s">
        <v>831</v>
      </c>
      <c r="J866" s="31" t="s">
        <v>835</v>
      </c>
      <c r="K866" s="31" t="s">
        <v>833</v>
      </c>
      <c r="L866" s="31" t="s">
        <v>833</v>
      </c>
      <c r="M866" s="31">
        <v>-23.812222219999999</v>
      </c>
      <c r="N866" s="31">
        <v>35.541666669999998</v>
      </c>
      <c r="P866" s="31" t="s">
        <v>27</v>
      </c>
      <c r="Q866" s="31" t="s">
        <v>833</v>
      </c>
      <c r="S866" s="31">
        <v>11.9</v>
      </c>
      <c r="T866" s="31">
        <v>5.3</v>
      </c>
      <c r="V866" s="31" t="s">
        <v>834</v>
      </c>
    </row>
    <row r="867" spans="2:22" s="31" customFormat="1" hidden="1">
      <c r="B867" s="31" t="s">
        <v>830</v>
      </c>
      <c r="C867" s="31" t="s">
        <v>21</v>
      </c>
      <c r="E867" s="31">
        <v>1999</v>
      </c>
      <c r="H867" s="31" t="s">
        <v>335</v>
      </c>
      <c r="I867" s="31" t="s">
        <v>836</v>
      </c>
      <c r="J867" s="31" t="s">
        <v>837</v>
      </c>
      <c r="K867" s="31" t="s">
        <v>833</v>
      </c>
      <c r="L867" s="31" t="s">
        <v>833</v>
      </c>
      <c r="M867" s="31">
        <v>-21.52033333</v>
      </c>
      <c r="N867" s="31">
        <v>35.490666670000003</v>
      </c>
      <c r="P867" s="31" t="s">
        <v>27</v>
      </c>
      <c r="Q867" s="31" t="s">
        <v>833</v>
      </c>
      <c r="S867" s="31">
        <v>70</v>
      </c>
      <c r="T867" s="31">
        <v>30</v>
      </c>
      <c r="V867" s="31" t="s">
        <v>834</v>
      </c>
    </row>
    <row r="868" spans="2:22" s="31" customFormat="1" hidden="1">
      <c r="B868" s="31" t="s">
        <v>830</v>
      </c>
      <c r="C868" s="31" t="s">
        <v>21</v>
      </c>
      <c r="E868" s="31">
        <v>1999</v>
      </c>
      <c r="H868" s="31" t="s">
        <v>838</v>
      </c>
      <c r="I868" s="31" t="s">
        <v>839</v>
      </c>
      <c r="J868" s="31" t="s">
        <v>840</v>
      </c>
      <c r="K868" s="31" t="s">
        <v>833</v>
      </c>
      <c r="L868" s="31" t="s">
        <v>833</v>
      </c>
      <c r="M868" s="31">
        <v>-26.019649999999999</v>
      </c>
      <c r="N868" s="31">
        <v>32.902983329999998</v>
      </c>
      <c r="P868" s="31" t="s">
        <v>27</v>
      </c>
      <c r="Q868" s="31" t="s">
        <v>833</v>
      </c>
      <c r="S868" s="31">
        <v>60.5</v>
      </c>
      <c r="T868" s="31">
        <v>7.3</v>
      </c>
      <c r="V868" s="31" t="s">
        <v>834</v>
      </c>
    </row>
    <row r="869" spans="2:22" s="31" customFormat="1" hidden="1">
      <c r="B869" s="31" t="s">
        <v>830</v>
      </c>
      <c r="C869" s="31" t="s">
        <v>21</v>
      </c>
      <c r="E869" s="31">
        <v>1999</v>
      </c>
      <c r="H869" s="31" t="s">
        <v>838</v>
      </c>
      <c r="I869" s="31" t="s">
        <v>839</v>
      </c>
      <c r="J869" s="31" t="s">
        <v>841</v>
      </c>
      <c r="K869" s="31" t="s">
        <v>833</v>
      </c>
      <c r="L869" s="31" t="s">
        <v>833</v>
      </c>
      <c r="M869" s="31">
        <v>-26.073601759999999</v>
      </c>
      <c r="N869" s="31">
        <v>32.9527</v>
      </c>
      <c r="P869" s="31" t="s">
        <v>27</v>
      </c>
      <c r="Q869" s="31" t="s">
        <v>833</v>
      </c>
      <c r="S869" s="31">
        <v>70</v>
      </c>
      <c r="T869" s="31">
        <v>24</v>
      </c>
      <c r="V869" s="31" t="s">
        <v>834</v>
      </c>
    </row>
    <row r="870" spans="2:22" s="31" customFormat="1" hidden="1">
      <c r="B870" s="31" t="s">
        <v>830</v>
      </c>
      <c r="C870" s="31" t="s">
        <v>21</v>
      </c>
      <c r="E870" s="31">
        <v>1999</v>
      </c>
      <c r="H870" s="31" t="s">
        <v>842</v>
      </c>
      <c r="I870" s="31" t="s">
        <v>843</v>
      </c>
      <c r="J870" s="31" t="s">
        <v>844</v>
      </c>
      <c r="K870" s="31" t="s">
        <v>833</v>
      </c>
      <c r="L870" s="31" t="s">
        <v>833</v>
      </c>
      <c r="M870" s="31">
        <v>-15.048116670000001</v>
      </c>
      <c r="N870" s="31">
        <v>40.783566669999999</v>
      </c>
      <c r="P870" s="31" t="s">
        <v>27</v>
      </c>
      <c r="Q870" s="31" t="s">
        <v>833</v>
      </c>
      <c r="S870" s="31">
        <v>27.7</v>
      </c>
      <c r="T870" s="31">
        <v>25.5</v>
      </c>
      <c r="V870" s="31" t="s">
        <v>834</v>
      </c>
    </row>
    <row r="871" spans="2:22" s="31" customFormat="1" hidden="1">
      <c r="B871" s="31" t="s">
        <v>830</v>
      </c>
      <c r="C871" s="31" t="s">
        <v>21</v>
      </c>
      <c r="E871" s="31">
        <v>1999</v>
      </c>
      <c r="H871" s="31" t="s">
        <v>842</v>
      </c>
      <c r="I871" s="31" t="s">
        <v>843</v>
      </c>
      <c r="J871" s="31" t="s">
        <v>845</v>
      </c>
      <c r="K871" s="31" t="s">
        <v>833</v>
      </c>
      <c r="L871" s="31" t="s">
        <v>833</v>
      </c>
      <c r="M871" s="31">
        <v>-14.9762</v>
      </c>
      <c r="N871" s="31">
        <v>40.78981667</v>
      </c>
      <c r="P871" s="31" t="s">
        <v>27</v>
      </c>
      <c r="Q871" s="31" t="s">
        <v>833</v>
      </c>
      <c r="S871" s="31">
        <v>48</v>
      </c>
      <c r="T871" s="31">
        <v>37</v>
      </c>
      <c r="V871" s="31" t="s">
        <v>834</v>
      </c>
    </row>
    <row r="872" spans="2:22" s="31" customFormat="1" hidden="1">
      <c r="B872" s="31" t="s">
        <v>830</v>
      </c>
      <c r="C872" s="31" t="s">
        <v>21</v>
      </c>
      <c r="E872" s="31">
        <v>1999</v>
      </c>
      <c r="H872" s="31" t="s">
        <v>846</v>
      </c>
      <c r="I872" s="31" t="s">
        <v>322</v>
      </c>
      <c r="J872" s="31" t="s">
        <v>847</v>
      </c>
      <c r="K872" s="31" t="s">
        <v>833</v>
      </c>
      <c r="L872" s="31" t="s">
        <v>833</v>
      </c>
      <c r="M872" s="31">
        <v>-12.958966670000001</v>
      </c>
      <c r="N872" s="31">
        <v>40.55993333</v>
      </c>
      <c r="P872" s="31" t="s">
        <v>27</v>
      </c>
      <c r="Q872" s="31" t="s">
        <v>833</v>
      </c>
      <c r="S872" s="31">
        <v>69.7</v>
      </c>
      <c r="T872" s="31">
        <v>14.5</v>
      </c>
      <c r="V872" s="31" t="s">
        <v>834</v>
      </c>
    </row>
    <row r="873" spans="2:22" s="31" customFormat="1" hidden="1">
      <c r="B873" s="31" t="s">
        <v>830</v>
      </c>
      <c r="C873" s="31" t="s">
        <v>21</v>
      </c>
      <c r="E873" s="31">
        <v>1999</v>
      </c>
      <c r="H873" s="31" t="s">
        <v>848</v>
      </c>
      <c r="I873" s="31" t="s">
        <v>325</v>
      </c>
      <c r="J873" s="31" t="s">
        <v>849</v>
      </c>
      <c r="K873" s="31" t="s">
        <v>833</v>
      </c>
      <c r="L873" s="31" t="s">
        <v>833</v>
      </c>
      <c r="M873" s="31">
        <v>-12.489050000000001</v>
      </c>
      <c r="N873" s="31">
        <v>40.621099999999998</v>
      </c>
      <c r="P873" s="31" t="s">
        <v>27</v>
      </c>
      <c r="Q873" s="31" t="s">
        <v>833</v>
      </c>
      <c r="S873" s="31">
        <v>27.1</v>
      </c>
      <c r="T873" s="31">
        <v>9.1</v>
      </c>
      <c r="V873" s="31" t="s">
        <v>834</v>
      </c>
    </row>
    <row r="874" spans="2:22" s="31" customFormat="1" hidden="1">
      <c r="B874" s="31" t="s">
        <v>850</v>
      </c>
      <c r="C874" s="31" t="s">
        <v>21</v>
      </c>
      <c r="D874" s="31" t="s">
        <v>747</v>
      </c>
      <c r="E874" s="31">
        <v>2000</v>
      </c>
      <c r="G874" s="31" t="s">
        <v>732</v>
      </c>
      <c r="H874" s="31" t="s">
        <v>851</v>
      </c>
      <c r="I874" s="31" t="s">
        <v>852</v>
      </c>
      <c r="J874" s="31" t="s">
        <v>853</v>
      </c>
      <c r="K874" s="31" t="s">
        <v>833</v>
      </c>
      <c r="L874" s="31" t="s">
        <v>833</v>
      </c>
      <c r="M874" s="31">
        <v>-25.119688</v>
      </c>
      <c r="N874" s="31">
        <v>33.730237000000002</v>
      </c>
      <c r="P874" s="31" t="s">
        <v>27</v>
      </c>
      <c r="Q874" s="31">
        <v>16</v>
      </c>
      <c r="S874" s="31">
        <v>28.23</v>
      </c>
      <c r="T874" s="31">
        <v>6.61</v>
      </c>
      <c r="V874" s="31" t="s">
        <v>854</v>
      </c>
    </row>
    <row r="875" spans="2:22" s="31" customFormat="1" hidden="1">
      <c r="B875" s="31" t="s">
        <v>855</v>
      </c>
      <c r="C875" s="31" t="s">
        <v>21</v>
      </c>
      <c r="D875" s="31" t="s">
        <v>747</v>
      </c>
      <c r="E875" s="31">
        <v>2000</v>
      </c>
      <c r="G875" s="31" t="s">
        <v>732</v>
      </c>
      <c r="H875" s="31" t="s">
        <v>335</v>
      </c>
      <c r="I875" s="31" t="s">
        <v>831</v>
      </c>
      <c r="J875" s="31" t="s">
        <v>832</v>
      </c>
      <c r="K875" s="31" t="s">
        <v>833</v>
      </c>
      <c r="L875" s="31" t="s">
        <v>833</v>
      </c>
      <c r="M875" s="31">
        <v>-23.776944440000001</v>
      </c>
      <c r="N875" s="31">
        <v>35.51055556</v>
      </c>
      <c r="P875" s="31" t="s">
        <v>27</v>
      </c>
      <c r="Q875" s="31">
        <v>3</v>
      </c>
      <c r="S875" s="31">
        <v>10.8</v>
      </c>
      <c r="T875" s="31">
        <v>1.3</v>
      </c>
      <c r="V875" s="31" t="s">
        <v>856</v>
      </c>
    </row>
    <row r="876" spans="2:22" s="31" customFormat="1" hidden="1">
      <c r="B876" s="31" t="s">
        <v>855</v>
      </c>
      <c r="C876" s="31" t="s">
        <v>21</v>
      </c>
      <c r="D876" s="31" t="s">
        <v>747</v>
      </c>
      <c r="E876" s="31">
        <v>2000</v>
      </c>
      <c r="G876" s="31" t="s">
        <v>732</v>
      </c>
      <c r="H876" s="31" t="s">
        <v>335</v>
      </c>
      <c r="I876" s="31" t="s">
        <v>831</v>
      </c>
      <c r="J876" s="31" t="s">
        <v>832</v>
      </c>
      <c r="K876" s="31" t="s">
        <v>833</v>
      </c>
      <c r="L876" s="31" t="s">
        <v>833</v>
      </c>
      <c r="M876" s="31">
        <v>-23.776944440000001</v>
      </c>
      <c r="N876" s="31">
        <v>35.51055556</v>
      </c>
      <c r="P876" s="31" t="s">
        <v>819</v>
      </c>
      <c r="Q876" s="31">
        <v>3</v>
      </c>
      <c r="S876" s="31">
        <v>0</v>
      </c>
      <c r="T876" s="31">
        <v>0</v>
      </c>
      <c r="V876" s="31" t="s">
        <v>856</v>
      </c>
    </row>
    <row r="877" spans="2:22" s="31" customFormat="1" hidden="1">
      <c r="B877" s="31" t="s">
        <v>855</v>
      </c>
      <c r="C877" s="31" t="s">
        <v>21</v>
      </c>
      <c r="D877" s="31" t="s">
        <v>747</v>
      </c>
      <c r="E877" s="31">
        <v>2000</v>
      </c>
      <c r="G877" s="31" t="s">
        <v>732</v>
      </c>
      <c r="H877" s="31" t="s">
        <v>335</v>
      </c>
      <c r="I877" s="31" t="s">
        <v>831</v>
      </c>
      <c r="J877" s="31" t="s">
        <v>832</v>
      </c>
      <c r="K877" s="31" t="s">
        <v>833</v>
      </c>
      <c r="L877" s="31" t="s">
        <v>833</v>
      </c>
      <c r="M877" s="31">
        <v>-23.776944440000001</v>
      </c>
      <c r="N877" s="31">
        <v>35.51055556</v>
      </c>
      <c r="P877" s="31" t="s">
        <v>857</v>
      </c>
      <c r="Q877" s="31">
        <v>3</v>
      </c>
      <c r="S877" s="31">
        <v>0</v>
      </c>
      <c r="T877" s="31">
        <v>0</v>
      </c>
      <c r="V877" s="31" t="s">
        <v>856</v>
      </c>
    </row>
    <row r="878" spans="2:22" s="31" customFormat="1" hidden="1">
      <c r="B878" s="31" t="s">
        <v>855</v>
      </c>
      <c r="C878" s="31" t="s">
        <v>21</v>
      </c>
      <c r="D878" s="31" t="s">
        <v>747</v>
      </c>
      <c r="E878" s="31">
        <v>2000</v>
      </c>
      <c r="G878" s="31" t="s">
        <v>732</v>
      </c>
      <c r="H878" s="31" t="s">
        <v>335</v>
      </c>
      <c r="I878" s="31" t="s">
        <v>831</v>
      </c>
      <c r="J878" s="31" t="s">
        <v>832</v>
      </c>
      <c r="K878" s="31" t="s">
        <v>833</v>
      </c>
      <c r="L878" s="31" t="s">
        <v>833</v>
      </c>
      <c r="M878" s="31">
        <v>-23.776944440000001</v>
      </c>
      <c r="N878" s="31">
        <v>35.51055556</v>
      </c>
      <c r="P878" s="31" t="s">
        <v>858</v>
      </c>
      <c r="Q878" s="31">
        <v>3</v>
      </c>
      <c r="S878" s="31">
        <v>0.9</v>
      </c>
      <c r="T878" s="31">
        <v>1.4</v>
      </c>
      <c r="V878" s="31" t="s">
        <v>856</v>
      </c>
    </row>
    <row r="879" spans="2:22" s="31" customFormat="1" hidden="1">
      <c r="B879" s="31" t="s">
        <v>855</v>
      </c>
      <c r="C879" s="31" t="s">
        <v>21</v>
      </c>
      <c r="D879" s="31" t="s">
        <v>747</v>
      </c>
      <c r="E879" s="31">
        <v>2000</v>
      </c>
      <c r="G879" s="31" t="s">
        <v>732</v>
      </c>
      <c r="H879" s="31" t="s">
        <v>335</v>
      </c>
      <c r="I879" s="31" t="s">
        <v>831</v>
      </c>
      <c r="J879" s="31" t="s">
        <v>835</v>
      </c>
      <c r="K879" s="31" t="s">
        <v>833</v>
      </c>
      <c r="L879" s="31" t="s">
        <v>833</v>
      </c>
      <c r="M879" s="31">
        <v>-23.812222219999999</v>
      </c>
      <c r="N879" s="31">
        <v>35.541666669999998</v>
      </c>
      <c r="P879" s="31" t="s">
        <v>27</v>
      </c>
      <c r="Q879" s="31">
        <v>7</v>
      </c>
      <c r="S879" s="31">
        <v>7.8</v>
      </c>
      <c r="T879" s="31">
        <v>0.6</v>
      </c>
      <c r="V879" s="31" t="s">
        <v>856</v>
      </c>
    </row>
    <row r="880" spans="2:22" s="31" customFormat="1" hidden="1">
      <c r="B880" s="31" t="s">
        <v>855</v>
      </c>
      <c r="C880" s="31" t="s">
        <v>21</v>
      </c>
      <c r="D880" s="31" t="s">
        <v>747</v>
      </c>
      <c r="E880" s="31">
        <v>2000</v>
      </c>
      <c r="G880" s="31" t="s">
        <v>732</v>
      </c>
      <c r="H880" s="31" t="s">
        <v>335</v>
      </c>
      <c r="I880" s="31" t="s">
        <v>831</v>
      </c>
      <c r="J880" s="31" t="s">
        <v>835</v>
      </c>
      <c r="K880" s="31" t="s">
        <v>833</v>
      </c>
      <c r="L880" s="31" t="s">
        <v>833</v>
      </c>
      <c r="M880" s="31">
        <v>-23.812222219999999</v>
      </c>
      <c r="N880" s="31">
        <v>35.541666669999998</v>
      </c>
      <c r="P880" s="31" t="s">
        <v>819</v>
      </c>
      <c r="Q880" s="31">
        <v>7</v>
      </c>
      <c r="S880" s="31">
        <v>0.4</v>
      </c>
      <c r="T880" s="31">
        <v>0.6</v>
      </c>
      <c r="V880" s="31" t="s">
        <v>856</v>
      </c>
    </row>
    <row r="881" spans="2:22" s="31" customFormat="1" hidden="1">
      <c r="B881" s="31" t="s">
        <v>855</v>
      </c>
      <c r="C881" s="31" t="s">
        <v>21</v>
      </c>
      <c r="D881" s="31" t="s">
        <v>747</v>
      </c>
      <c r="E881" s="31">
        <v>2000</v>
      </c>
      <c r="G881" s="31" t="s">
        <v>732</v>
      </c>
      <c r="H881" s="31" t="s">
        <v>335</v>
      </c>
      <c r="I881" s="31" t="s">
        <v>831</v>
      </c>
      <c r="J881" s="31" t="s">
        <v>835</v>
      </c>
      <c r="K881" s="31" t="s">
        <v>833</v>
      </c>
      <c r="L881" s="31" t="s">
        <v>833</v>
      </c>
      <c r="M881" s="31">
        <v>-23.812222219999999</v>
      </c>
      <c r="N881" s="31">
        <v>35.541666669999998</v>
      </c>
      <c r="P881" s="31" t="s">
        <v>857</v>
      </c>
      <c r="Q881" s="31">
        <v>7</v>
      </c>
      <c r="S881" s="31">
        <v>0</v>
      </c>
      <c r="T881" s="31">
        <v>0</v>
      </c>
      <c r="V881" s="31" t="s">
        <v>856</v>
      </c>
    </row>
    <row r="882" spans="2:22" s="31" customFormat="1" hidden="1">
      <c r="B882" s="31" t="s">
        <v>855</v>
      </c>
      <c r="C882" s="31" t="s">
        <v>21</v>
      </c>
      <c r="D882" s="31" t="s">
        <v>747</v>
      </c>
      <c r="E882" s="31">
        <v>2000</v>
      </c>
      <c r="G882" s="31" t="s">
        <v>732</v>
      </c>
      <c r="H882" s="31" t="s">
        <v>335</v>
      </c>
      <c r="I882" s="31" t="s">
        <v>831</v>
      </c>
      <c r="J882" s="31" t="s">
        <v>835</v>
      </c>
      <c r="K882" s="31" t="s">
        <v>833</v>
      </c>
      <c r="L882" s="31" t="s">
        <v>833</v>
      </c>
      <c r="M882" s="31">
        <v>-23.812222219999999</v>
      </c>
      <c r="N882" s="31">
        <v>35.541666669999998</v>
      </c>
      <c r="P882" s="31" t="s">
        <v>858</v>
      </c>
      <c r="Q882" s="31">
        <v>7</v>
      </c>
      <c r="S882" s="31">
        <v>0</v>
      </c>
      <c r="T882" s="31">
        <v>0</v>
      </c>
      <c r="V882" s="31" t="s">
        <v>856</v>
      </c>
    </row>
    <row r="883" spans="2:22" s="31" customFormat="1" hidden="1">
      <c r="B883" s="31" t="s">
        <v>855</v>
      </c>
      <c r="C883" s="31" t="s">
        <v>21</v>
      </c>
      <c r="D883" s="31" t="s">
        <v>747</v>
      </c>
      <c r="E883" s="31">
        <v>2000</v>
      </c>
      <c r="G883" s="31" t="s">
        <v>732</v>
      </c>
      <c r="H883" s="31" t="s">
        <v>335</v>
      </c>
      <c r="I883" s="31" t="s">
        <v>836</v>
      </c>
      <c r="J883" s="31" t="s">
        <v>837</v>
      </c>
      <c r="K883" s="31" t="s">
        <v>833</v>
      </c>
      <c r="L883" s="31" t="s">
        <v>833</v>
      </c>
      <c r="M883" s="31">
        <v>-21.52033333</v>
      </c>
      <c r="N883" s="31">
        <v>35.490666670000003</v>
      </c>
      <c r="P883" s="31" t="s">
        <v>27</v>
      </c>
      <c r="Q883" s="31">
        <v>5</v>
      </c>
      <c r="S883" s="31">
        <v>90.6</v>
      </c>
      <c r="T883" s="31">
        <v>8.1999999999999993</v>
      </c>
      <c r="V883" s="31" t="s">
        <v>856</v>
      </c>
    </row>
    <row r="884" spans="2:22" s="31" customFormat="1" hidden="1">
      <c r="B884" s="31" t="s">
        <v>855</v>
      </c>
      <c r="C884" s="31" t="s">
        <v>21</v>
      </c>
      <c r="D884" s="31" t="s">
        <v>747</v>
      </c>
      <c r="E884" s="31">
        <v>2000</v>
      </c>
      <c r="G884" s="31" t="s">
        <v>732</v>
      </c>
      <c r="H884" s="31" t="s">
        <v>335</v>
      </c>
      <c r="I884" s="31" t="s">
        <v>836</v>
      </c>
      <c r="J884" s="31" t="s">
        <v>837</v>
      </c>
      <c r="K884" s="31" t="s">
        <v>833</v>
      </c>
      <c r="L884" s="31" t="s">
        <v>833</v>
      </c>
      <c r="M884" s="31">
        <v>-21.52033333</v>
      </c>
      <c r="N884" s="31">
        <v>35.490666670000003</v>
      </c>
      <c r="P884" s="31" t="s">
        <v>819</v>
      </c>
      <c r="Q884" s="31">
        <v>5</v>
      </c>
      <c r="S884" s="31">
        <v>4.3</v>
      </c>
      <c r="T884" s="31">
        <v>2.8</v>
      </c>
      <c r="V884" s="31" t="s">
        <v>856</v>
      </c>
    </row>
    <row r="885" spans="2:22" s="31" customFormat="1" hidden="1">
      <c r="B885" s="31" t="s">
        <v>855</v>
      </c>
      <c r="C885" s="31" t="s">
        <v>21</v>
      </c>
      <c r="D885" s="31" t="s">
        <v>747</v>
      </c>
      <c r="E885" s="31">
        <v>2000</v>
      </c>
      <c r="G885" s="31" t="s">
        <v>732</v>
      </c>
      <c r="H885" s="31" t="s">
        <v>335</v>
      </c>
      <c r="I885" s="31" t="s">
        <v>836</v>
      </c>
      <c r="J885" s="31" t="s">
        <v>837</v>
      </c>
      <c r="K885" s="31" t="s">
        <v>833</v>
      </c>
      <c r="L885" s="31" t="s">
        <v>833</v>
      </c>
      <c r="M885" s="31">
        <v>-21.52033333</v>
      </c>
      <c r="N885" s="31">
        <v>35.490666670000003</v>
      </c>
      <c r="P885" s="31" t="s">
        <v>858</v>
      </c>
      <c r="Q885" s="31">
        <v>5</v>
      </c>
      <c r="S885" s="31">
        <v>0.2</v>
      </c>
      <c r="T885" s="31">
        <v>0.2</v>
      </c>
      <c r="V885" s="31" t="s">
        <v>856</v>
      </c>
    </row>
    <row r="886" spans="2:22" s="31" customFormat="1" hidden="1">
      <c r="B886" s="31" t="s">
        <v>855</v>
      </c>
      <c r="C886" s="31" t="s">
        <v>21</v>
      </c>
      <c r="D886" s="31" t="s">
        <v>747</v>
      </c>
      <c r="E886" s="31">
        <v>2000</v>
      </c>
      <c r="G886" s="31" t="s">
        <v>732</v>
      </c>
      <c r="H886" s="31" t="s">
        <v>335</v>
      </c>
      <c r="I886" s="31" t="s">
        <v>836</v>
      </c>
      <c r="J886" s="31" t="s">
        <v>859</v>
      </c>
      <c r="K886" s="31" t="s">
        <v>833</v>
      </c>
      <c r="L886" s="31" t="s">
        <v>833</v>
      </c>
      <c r="M886" s="31">
        <v>-21.80351667</v>
      </c>
      <c r="N886" s="31">
        <v>35.502600000000001</v>
      </c>
      <c r="P886" s="31" t="s">
        <v>27</v>
      </c>
      <c r="Q886" s="31">
        <v>6</v>
      </c>
      <c r="S886" s="31">
        <v>85.6</v>
      </c>
      <c r="T886" s="31">
        <v>27</v>
      </c>
      <c r="V886" s="31" t="s">
        <v>856</v>
      </c>
    </row>
    <row r="887" spans="2:22" s="31" customFormat="1" hidden="1">
      <c r="B887" s="31" t="s">
        <v>855</v>
      </c>
      <c r="C887" s="31" t="s">
        <v>21</v>
      </c>
      <c r="D887" s="31" t="s">
        <v>747</v>
      </c>
      <c r="E887" s="31">
        <v>2000</v>
      </c>
      <c r="G887" s="31" t="s">
        <v>732</v>
      </c>
      <c r="H887" s="31" t="s">
        <v>335</v>
      </c>
      <c r="I887" s="31" t="s">
        <v>836</v>
      </c>
      <c r="J887" s="31" t="s">
        <v>859</v>
      </c>
      <c r="K887" s="31" t="s">
        <v>833</v>
      </c>
      <c r="L887" s="31" t="s">
        <v>833</v>
      </c>
      <c r="M887" s="31">
        <v>-21.80351667</v>
      </c>
      <c r="N887" s="31">
        <v>35.502600000000001</v>
      </c>
      <c r="P887" s="31" t="s">
        <v>819</v>
      </c>
      <c r="Q887" s="31">
        <v>6</v>
      </c>
      <c r="S887" s="31">
        <v>4.0999999999999996</v>
      </c>
      <c r="T887" s="31">
        <v>3.6</v>
      </c>
      <c r="V887" s="31" t="s">
        <v>856</v>
      </c>
    </row>
    <row r="888" spans="2:22" s="31" customFormat="1" hidden="1">
      <c r="B888" s="31" t="s">
        <v>855</v>
      </c>
      <c r="C888" s="31" t="s">
        <v>21</v>
      </c>
      <c r="D888" s="31" t="s">
        <v>747</v>
      </c>
      <c r="E888" s="31">
        <v>2000</v>
      </c>
      <c r="G888" s="31" t="s">
        <v>732</v>
      </c>
      <c r="H888" s="31" t="s">
        <v>335</v>
      </c>
      <c r="I888" s="31" t="s">
        <v>836</v>
      </c>
      <c r="J888" s="31" t="s">
        <v>859</v>
      </c>
      <c r="K888" s="31" t="s">
        <v>833</v>
      </c>
      <c r="L888" s="31" t="s">
        <v>833</v>
      </c>
      <c r="M888" s="31">
        <v>-21.80351667</v>
      </c>
      <c r="N888" s="31">
        <v>35.502600000000001</v>
      </c>
      <c r="P888" s="31" t="s">
        <v>857</v>
      </c>
      <c r="Q888" s="31">
        <v>6</v>
      </c>
      <c r="S888" s="31">
        <v>0.1</v>
      </c>
      <c r="T888" s="31">
        <v>0.2</v>
      </c>
      <c r="V888" s="31" t="s">
        <v>856</v>
      </c>
    </row>
    <row r="889" spans="2:22" s="31" customFormat="1" hidden="1">
      <c r="B889" s="31" t="s">
        <v>855</v>
      </c>
      <c r="C889" s="31" t="s">
        <v>21</v>
      </c>
      <c r="D889" s="31" t="s">
        <v>747</v>
      </c>
      <c r="E889" s="31">
        <v>2000</v>
      </c>
      <c r="G889" s="31" t="s">
        <v>732</v>
      </c>
      <c r="H889" s="31" t="s">
        <v>335</v>
      </c>
      <c r="I889" s="31" t="s">
        <v>836</v>
      </c>
      <c r="J889" s="31" t="s">
        <v>859</v>
      </c>
      <c r="K889" s="31" t="s">
        <v>833</v>
      </c>
      <c r="L889" s="31" t="s">
        <v>833</v>
      </c>
      <c r="M889" s="31">
        <v>-21.80351667</v>
      </c>
      <c r="N889" s="31">
        <v>35.502600000000001</v>
      </c>
      <c r="P889" s="31" t="s">
        <v>858</v>
      </c>
      <c r="Q889" s="31">
        <v>6</v>
      </c>
      <c r="S889" s="31">
        <v>6.2</v>
      </c>
      <c r="T889" s="31">
        <v>9.3000000000000007</v>
      </c>
      <c r="V889" s="31" t="s">
        <v>856</v>
      </c>
    </row>
    <row r="890" spans="2:22" s="31" customFormat="1" hidden="1">
      <c r="B890" s="31" t="s">
        <v>855</v>
      </c>
      <c r="C890" s="31" t="s">
        <v>21</v>
      </c>
      <c r="D890" s="31" t="s">
        <v>747</v>
      </c>
      <c r="E890" s="31">
        <v>2000</v>
      </c>
      <c r="G890" s="31" t="s">
        <v>732</v>
      </c>
      <c r="H890" s="31" t="s">
        <v>838</v>
      </c>
      <c r="I890" s="31" t="s">
        <v>839</v>
      </c>
      <c r="J890" s="31" t="s">
        <v>860</v>
      </c>
      <c r="K890" s="31" t="s">
        <v>833</v>
      </c>
      <c r="L890" s="31" t="s">
        <v>833</v>
      </c>
      <c r="M890" s="31">
        <v>-25.90431667</v>
      </c>
      <c r="N890" s="31">
        <v>33.052266670000002</v>
      </c>
      <c r="P890" s="31" t="s">
        <v>27</v>
      </c>
      <c r="Q890" s="31">
        <v>3</v>
      </c>
      <c r="S890" s="31">
        <v>31.1</v>
      </c>
      <c r="T890" s="31">
        <v>0.5</v>
      </c>
      <c r="V890" s="31" t="s">
        <v>856</v>
      </c>
    </row>
    <row r="891" spans="2:22" s="31" customFormat="1" hidden="1">
      <c r="B891" s="31" t="s">
        <v>855</v>
      </c>
      <c r="C891" s="31" t="s">
        <v>21</v>
      </c>
      <c r="D891" s="31" t="s">
        <v>747</v>
      </c>
      <c r="E891" s="31">
        <v>2000</v>
      </c>
      <c r="G891" s="31" t="s">
        <v>732</v>
      </c>
      <c r="H891" s="31" t="s">
        <v>838</v>
      </c>
      <c r="I891" s="31" t="s">
        <v>839</v>
      </c>
      <c r="J891" s="31" t="s">
        <v>860</v>
      </c>
      <c r="K891" s="31" t="s">
        <v>833</v>
      </c>
      <c r="L891" s="31" t="s">
        <v>833</v>
      </c>
      <c r="M891" s="31">
        <v>-25.90431667</v>
      </c>
      <c r="N891" s="31">
        <v>33.052266670000002</v>
      </c>
      <c r="P891" s="31" t="s">
        <v>819</v>
      </c>
      <c r="Q891" s="31">
        <v>3</v>
      </c>
      <c r="S891" s="31">
        <v>0</v>
      </c>
      <c r="T891" s="31">
        <v>0</v>
      </c>
      <c r="V891" s="31" t="s">
        <v>856</v>
      </c>
    </row>
    <row r="892" spans="2:22" s="31" customFormat="1" hidden="1">
      <c r="B892" s="31" t="s">
        <v>855</v>
      </c>
      <c r="C892" s="31" t="s">
        <v>21</v>
      </c>
      <c r="D892" s="31" t="s">
        <v>747</v>
      </c>
      <c r="E892" s="31">
        <v>2000</v>
      </c>
      <c r="G892" s="31" t="s">
        <v>732</v>
      </c>
      <c r="H892" s="31" t="s">
        <v>838</v>
      </c>
      <c r="I892" s="31" t="s">
        <v>839</v>
      </c>
      <c r="J892" s="31" t="s">
        <v>860</v>
      </c>
      <c r="K892" s="31" t="s">
        <v>833</v>
      </c>
      <c r="L892" s="31" t="s">
        <v>833</v>
      </c>
      <c r="M892" s="31">
        <v>-25.90431667</v>
      </c>
      <c r="N892" s="31">
        <v>33.052266670000002</v>
      </c>
      <c r="P892" s="31" t="s">
        <v>857</v>
      </c>
      <c r="Q892" s="31">
        <v>3</v>
      </c>
      <c r="S892" s="31">
        <v>0</v>
      </c>
      <c r="T892" s="31">
        <v>0</v>
      </c>
      <c r="V892" s="31" t="s">
        <v>856</v>
      </c>
    </row>
    <row r="893" spans="2:22" s="31" customFormat="1" hidden="1">
      <c r="B893" s="31" t="s">
        <v>855</v>
      </c>
      <c r="C893" s="31" t="s">
        <v>21</v>
      </c>
      <c r="D893" s="31" t="s">
        <v>747</v>
      </c>
      <c r="E893" s="31">
        <v>2000</v>
      </c>
      <c r="G893" s="31" t="s">
        <v>732</v>
      </c>
      <c r="H893" s="31" t="s">
        <v>838</v>
      </c>
      <c r="I893" s="31" t="s">
        <v>839</v>
      </c>
      <c r="J893" s="31" t="s">
        <v>860</v>
      </c>
      <c r="K893" s="31" t="s">
        <v>833</v>
      </c>
      <c r="L893" s="31" t="s">
        <v>833</v>
      </c>
      <c r="M893" s="31">
        <v>-25.90431667</v>
      </c>
      <c r="N893" s="31">
        <v>33.052266670000002</v>
      </c>
      <c r="P893" s="31" t="s">
        <v>858</v>
      </c>
      <c r="Q893" s="31">
        <v>3</v>
      </c>
      <c r="S893" s="31">
        <v>0</v>
      </c>
      <c r="T893" s="31">
        <v>0</v>
      </c>
      <c r="V893" s="31" t="s">
        <v>856</v>
      </c>
    </row>
    <row r="894" spans="2:22" s="31" customFormat="1" hidden="1">
      <c r="B894" s="31" t="s">
        <v>855</v>
      </c>
      <c r="C894" s="31" t="s">
        <v>21</v>
      </c>
      <c r="D894" s="31" t="s">
        <v>747</v>
      </c>
      <c r="E894" s="31">
        <v>2000</v>
      </c>
      <c r="G894" s="31" t="s">
        <v>732</v>
      </c>
      <c r="H894" s="31" t="s">
        <v>838</v>
      </c>
      <c r="I894" s="31" t="s">
        <v>839</v>
      </c>
      <c r="J894" s="31" t="s">
        <v>840</v>
      </c>
      <c r="K894" s="31" t="s">
        <v>833</v>
      </c>
      <c r="L894" s="31" t="s">
        <v>833</v>
      </c>
      <c r="M894" s="31">
        <v>-26.019649999999999</v>
      </c>
      <c r="N894" s="31">
        <v>32.902983329999998</v>
      </c>
      <c r="P894" s="31" t="s">
        <v>27</v>
      </c>
      <c r="Q894" s="31">
        <v>5</v>
      </c>
      <c r="S894" s="31">
        <v>61.8</v>
      </c>
      <c r="T894" s="31">
        <v>18.2</v>
      </c>
      <c r="V894" s="31" t="s">
        <v>856</v>
      </c>
    </row>
    <row r="895" spans="2:22" s="31" customFormat="1" hidden="1">
      <c r="B895" s="31" t="s">
        <v>855</v>
      </c>
      <c r="C895" s="31" t="s">
        <v>21</v>
      </c>
      <c r="D895" s="31" t="s">
        <v>747</v>
      </c>
      <c r="E895" s="31">
        <v>2000</v>
      </c>
      <c r="G895" s="31" t="s">
        <v>732</v>
      </c>
      <c r="H895" s="31" t="s">
        <v>838</v>
      </c>
      <c r="I895" s="31" t="s">
        <v>839</v>
      </c>
      <c r="J895" s="31" t="s">
        <v>840</v>
      </c>
      <c r="K895" s="31" t="s">
        <v>833</v>
      </c>
      <c r="L895" s="31" t="s">
        <v>833</v>
      </c>
      <c r="M895" s="31">
        <v>-26.019649999999999</v>
      </c>
      <c r="N895" s="31">
        <v>32.902983329999998</v>
      </c>
      <c r="P895" s="31" t="s">
        <v>819</v>
      </c>
      <c r="Q895" s="31">
        <v>5</v>
      </c>
      <c r="S895" s="31">
        <v>0.2</v>
      </c>
      <c r="T895" s="31">
        <v>0.2</v>
      </c>
      <c r="V895" s="31" t="s">
        <v>856</v>
      </c>
    </row>
    <row r="896" spans="2:22" s="31" customFormat="1" hidden="1">
      <c r="B896" s="31" t="s">
        <v>855</v>
      </c>
      <c r="C896" s="31" t="s">
        <v>21</v>
      </c>
      <c r="D896" s="31" t="s">
        <v>747</v>
      </c>
      <c r="E896" s="31">
        <v>2000</v>
      </c>
      <c r="G896" s="31" t="s">
        <v>732</v>
      </c>
      <c r="H896" s="31" t="s">
        <v>838</v>
      </c>
      <c r="I896" s="31" t="s">
        <v>839</v>
      </c>
      <c r="J896" s="31" t="s">
        <v>840</v>
      </c>
      <c r="K896" s="31" t="s">
        <v>833</v>
      </c>
      <c r="L896" s="31" t="s">
        <v>833</v>
      </c>
      <c r="M896" s="31">
        <v>-26.019649999999999</v>
      </c>
      <c r="N896" s="31">
        <v>32.902983329999998</v>
      </c>
      <c r="P896" s="31" t="s">
        <v>857</v>
      </c>
      <c r="Q896" s="31">
        <v>5</v>
      </c>
      <c r="S896" s="31">
        <v>0</v>
      </c>
      <c r="T896" s="31">
        <v>0</v>
      </c>
      <c r="V896" s="31" t="s">
        <v>856</v>
      </c>
    </row>
    <row r="897" spans="2:22" s="31" customFormat="1" hidden="1">
      <c r="B897" s="31" t="s">
        <v>855</v>
      </c>
      <c r="C897" s="31" t="s">
        <v>21</v>
      </c>
      <c r="D897" s="31" t="s">
        <v>747</v>
      </c>
      <c r="E897" s="31">
        <v>2000</v>
      </c>
      <c r="G897" s="31" t="s">
        <v>732</v>
      </c>
      <c r="H897" s="31" t="s">
        <v>838</v>
      </c>
      <c r="I897" s="31" t="s">
        <v>839</v>
      </c>
      <c r="J897" s="31" t="s">
        <v>840</v>
      </c>
      <c r="K897" s="31" t="s">
        <v>833</v>
      </c>
      <c r="L897" s="31" t="s">
        <v>833</v>
      </c>
      <c r="M897" s="31">
        <v>-26.019649999999999</v>
      </c>
      <c r="N897" s="31">
        <v>32.902983329999998</v>
      </c>
      <c r="P897" s="31" t="s">
        <v>858</v>
      </c>
      <c r="Q897" s="31">
        <v>5</v>
      </c>
      <c r="S897" s="31">
        <v>2.7</v>
      </c>
      <c r="T897" s="31">
        <v>2.4</v>
      </c>
      <c r="V897" s="31" t="s">
        <v>856</v>
      </c>
    </row>
    <row r="898" spans="2:22" s="31" customFormat="1" hidden="1">
      <c r="B898" s="31" t="s">
        <v>855</v>
      </c>
      <c r="C898" s="31" t="s">
        <v>21</v>
      </c>
      <c r="D898" s="31" t="s">
        <v>747</v>
      </c>
      <c r="E898" s="31">
        <v>2000</v>
      </c>
      <c r="G898" s="31" t="s">
        <v>732</v>
      </c>
      <c r="H898" s="31" t="s">
        <v>838</v>
      </c>
      <c r="I898" s="31" t="s">
        <v>839</v>
      </c>
      <c r="J898" s="31" t="s">
        <v>841</v>
      </c>
      <c r="K898" s="31" t="s">
        <v>833</v>
      </c>
      <c r="L898" s="31" t="s">
        <v>833</v>
      </c>
      <c r="M898" s="31">
        <v>-26.073601759999999</v>
      </c>
      <c r="N898" s="31">
        <v>32.9527</v>
      </c>
      <c r="P898" s="31" t="s">
        <v>27</v>
      </c>
      <c r="Q898" s="31">
        <v>1</v>
      </c>
      <c r="S898" s="31">
        <v>55.1</v>
      </c>
      <c r="T898" s="31" t="s">
        <v>833</v>
      </c>
      <c r="V898" s="31" t="s">
        <v>856</v>
      </c>
    </row>
    <row r="899" spans="2:22" s="31" customFormat="1" hidden="1">
      <c r="B899" s="31" t="s">
        <v>855</v>
      </c>
      <c r="C899" s="31" t="s">
        <v>21</v>
      </c>
      <c r="D899" s="31" t="s">
        <v>747</v>
      </c>
      <c r="E899" s="31">
        <v>2000</v>
      </c>
      <c r="G899" s="31" t="s">
        <v>732</v>
      </c>
      <c r="H899" s="31" t="s">
        <v>838</v>
      </c>
      <c r="I899" s="31" t="s">
        <v>839</v>
      </c>
      <c r="J899" s="31" t="s">
        <v>841</v>
      </c>
      <c r="K899" s="31" t="s">
        <v>833</v>
      </c>
      <c r="L899" s="31" t="s">
        <v>833</v>
      </c>
      <c r="M899" s="31">
        <v>-26.073601759999999</v>
      </c>
      <c r="N899" s="31">
        <v>32.9527</v>
      </c>
      <c r="P899" s="31" t="s">
        <v>819</v>
      </c>
      <c r="Q899" s="31">
        <v>1</v>
      </c>
      <c r="S899" s="31">
        <v>0.1</v>
      </c>
      <c r="T899" s="31" t="s">
        <v>833</v>
      </c>
      <c r="V899" s="31" t="s">
        <v>856</v>
      </c>
    </row>
    <row r="900" spans="2:22" s="31" customFormat="1" hidden="1">
      <c r="B900" s="31" t="s">
        <v>855</v>
      </c>
      <c r="C900" s="31" t="s">
        <v>21</v>
      </c>
      <c r="D900" s="31" t="s">
        <v>747</v>
      </c>
      <c r="E900" s="31">
        <v>2000</v>
      </c>
      <c r="G900" s="31" t="s">
        <v>732</v>
      </c>
      <c r="H900" s="31" t="s">
        <v>838</v>
      </c>
      <c r="I900" s="31" t="s">
        <v>839</v>
      </c>
      <c r="J900" s="31" t="s">
        <v>841</v>
      </c>
      <c r="K900" s="31" t="s">
        <v>833</v>
      </c>
      <c r="L900" s="31" t="s">
        <v>833</v>
      </c>
      <c r="M900" s="31">
        <v>-26.073601759999999</v>
      </c>
      <c r="N900" s="31">
        <v>32.9527</v>
      </c>
      <c r="P900" s="31" t="s">
        <v>857</v>
      </c>
      <c r="Q900" s="31">
        <v>1</v>
      </c>
      <c r="S900" s="31">
        <v>0</v>
      </c>
      <c r="T900" s="31" t="s">
        <v>833</v>
      </c>
      <c r="V900" s="31" t="s">
        <v>856</v>
      </c>
    </row>
    <row r="901" spans="2:22" s="31" customFormat="1" hidden="1">
      <c r="B901" s="31" t="s">
        <v>855</v>
      </c>
      <c r="C901" s="31" t="s">
        <v>21</v>
      </c>
      <c r="D901" s="31" t="s">
        <v>747</v>
      </c>
      <c r="E901" s="31">
        <v>2000</v>
      </c>
      <c r="G901" s="31" t="s">
        <v>732</v>
      </c>
      <c r="H901" s="31" t="s">
        <v>838</v>
      </c>
      <c r="I901" s="31" t="s">
        <v>839</v>
      </c>
      <c r="J901" s="31" t="s">
        <v>841</v>
      </c>
      <c r="K901" s="31" t="s">
        <v>833</v>
      </c>
      <c r="L901" s="31" t="s">
        <v>833</v>
      </c>
      <c r="M901" s="31">
        <v>-26.073601759999999</v>
      </c>
      <c r="N901" s="31">
        <v>32.9527</v>
      </c>
      <c r="P901" s="31" t="s">
        <v>858</v>
      </c>
      <c r="Q901" s="31">
        <v>1</v>
      </c>
      <c r="S901" s="31">
        <v>0</v>
      </c>
      <c r="T901" s="31" t="s">
        <v>833</v>
      </c>
      <c r="V901" s="31" t="s">
        <v>856</v>
      </c>
    </row>
    <row r="902" spans="2:22" s="31" customFormat="1" hidden="1">
      <c r="B902" s="31" t="s">
        <v>855</v>
      </c>
      <c r="C902" s="31" t="s">
        <v>21</v>
      </c>
      <c r="D902" s="31" t="s">
        <v>746</v>
      </c>
      <c r="E902" s="31">
        <v>2000</v>
      </c>
      <c r="G902" s="31" t="s">
        <v>732</v>
      </c>
      <c r="H902" s="31" t="s">
        <v>842</v>
      </c>
      <c r="I902" s="31" t="s">
        <v>843</v>
      </c>
      <c r="J902" s="31" t="s">
        <v>844</v>
      </c>
      <c r="K902" s="31" t="s">
        <v>833</v>
      </c>
      <c r="L902" s="31" t="s">
        <v>833</v>
      </c>
      <c r="M902" s="31">
        <v>-15.048116670000001</v>
      </c>
      <c r="N902" s="31">
        <v>40.783566669999999</v>
      </c>
      <c r="P902" s="31" t="s">
        <v>27</v>
      </c>
      <c r="Q902" s="31">
        <v>2</v>
      </c>
      <c r="S902" s="31">
        <v>42.1</v>
      </c>
      <c r="T902" s="31">
        <v>1</v>
      </c>
      <c r="V902" s="31" t="s">
        <v>856</v>
      </c>
    </row>
    <row r="903" spans="2:22" s="31" customFormat="1" hidden="1">
      <c r="B903" s="31" t="s">
        <v>855</v>
      </c>
      <c r="C903" s="31" t="s">
        <v>21</v>
      </c>
      <c r="D903" s="31" t="s">
        <v>746</v>
      </c>
      <c r="E903" s="31">
        <v>2000</v>
      </c>
      <c r="G903" s="31" t="s">
        <v>732</v>
      </c>
      <c r="H903" s="31" t="s">
        <v>842</v>
      </c>
      <c r="I903" s="31" t="s">
        <v>843</v>
      </c>
      <c r="J903" s="31" t="s">
        <v>844</v>
      </c>
      <c r="K903" s="31" t="s">
        <v>833</v>
      </c>
      <c r="L903" s="31" t="s">
        <v>833</v>
      </c>
      <c r="M903" s="31">
        <v>-15.048116670000001</v>
      </c>
      <c r="N903" s="31">
        <v>40.783566669999999</v>
      </c>
      <c r="P903" s="31" t="s">
        <v>857</v>
      </c>
      <c r="Q903" s="31">
        <v>2</v>
      </c>
      <c r="S903" s="31">
        <v>1.9</v>
      </c>
      <c r="T903" s="31">
        <v>0.6</v>
      </c>
      <c r="V903" s="31" t="s">
        <v>856</v>
      </c>
    </row>
    <row r="904" spans="2:22" s="31" customFormat="1" hidden="1">
      <c r="B904" s="31" t="s">
        <v>855</v>
      </c>
      <c r="C904" s="31" t="s">
        <v>21</v>
      </c>
      <c r="D904" s="31" t="s">
        <v>746</v>
      </c>
      <c r="E904" s="31">
        <v>2000</v>
      </c>
      <c r="G904" s="31" t="s">
        <v>732</v>
      </c>
      <c r="H904" s="31" t="s">
        <v>842</v>
      </c>
      <c r="I904" s="31" t="s">
        <v>843</v>
      </c>
      <c r="J904" s="31" t="s">
        <v>844</v>
      </c>
      <c r="K904" s="31" t="s">
        <v>833</v>
      </c>
      <c r="L904" s="31" t="s">
        <v>833</v>
      </c>
      <c r="M904" s="31">
        <v>-15.048116670000001</v>
      </c>
      <c r="N904" s="31">
        <v>40.783566669999999</v>
      </c>
      <c r="P904" s="31" t="s">
        <v>858</v>
      </c>
      <c r="Q904" s="31">
        <v>2</v>
      </c>
      <c r="S904" s="31">
        <v>18</v>
      </c>
      <c r="T904" s="31">
        <v>7.1</v>
      </c>
      <c r="V904" s="31" t="s">
        <v>856</v>
      </c>
    </row>
    <row r="905" spans="2:22" s="31" customFormat="1" hidden="1">
      <c r="B905" s="31" t="s">
        <v>855</v>
      </c>
      <c r="C905" s="31" t="s">
        <v>21</v>
      </c>
      <c r="D905" s="31" t="s">
        <v>746</v>
      </c>
      <c r="E905" s="31">
        <v>2000</v>
      </c>
      <c r="G905" s="31" t="s">
        <v>732</v>
      </c>
      <c r="H905" s="31" t="s">
        <v>842</v>
      </c>
      <c r="I905" s="31" t="s">
        <v>843</v>
      </c>
      <c r="J905" s="31" t="s">
        <v>845</v>
      </c>
      <c r="K905" s="31" t="s">
        <v>833</v>
      </c>
      <c r="L905" s="31" t="s">
        <v>833</v>
      </c>
      <c r="M905" s="31">
        <v>-14.9762</v>
      </c>
      <c r="N905" s="31">
        <v>40.78981667</v>
      </c>
      <c r="P905" s="31" t="s">
        <v>27</v>
      </c>
      <c r="Q905" s="31">
        <v>1</v>
      </c>
      <c r="S905" s="31">
        <v>51.7</v>
      </c>
      <c r="T905" s="31" t="s">
        <v>833</v>
      </c>
      <c r="V905" s="31" t="s">
        <v>856</v>
      </c>
    </row>
    <row r="906" spans="2:22" s="31" customFormat="1" hidden="1">
      <c r="B906" s="31" t="s">
        <v>855</v>
      </c>
      <c r="C906" s="31" t="s">
        <v>21</v>
      </c>
      <c r="D906" s="31" t="s">
        <v>746</v>
      </c>
      <c r="E906" s="31">
        <v>2000</v>
      </c>
      <c r="G906" s="31" t="s">
        <v>732</v>
      </c>
      <c r="H906" s="31" t="s">
        <v>842</v>
      </c>
      <c r="I906" s="31" t="s">
        <v>843</v>
      </c>
      <c r="J906" s="31" t="s">
        <v>845</v>
      </c>
      <c r="K906" s="31" t="s">
        <v>833</v>
      </c>
      <c r="L906" s="31" t="s">
        <v>833</v>
      </c>
      <c r="M906" s="31">
        <v>-14.9762</v>
      </c>
      <c r="N906" s="31">
        <v>40.78981667</v>
      </c>
      <c r="P906" s="31" t="s">
        <v>819</v>
      </c>
      <c r="Q906" s="31">
        <v>1</v>
      </c>
      <c r="S906" s="31">
        <v>0.2</v>
      </c>
      <c r="T906" s="31" t="s">
        <v>833</v>
      </c>
      <c r="V906" s="31" t="s">
        <v>856</v>
      </c>
    </row>
    <row r="907" spans="2:22" s="31" customFormat="1" hidden="1">
      <c r="B907" s="31" t="s">
        <v>855</v>
      </c>
      <c r="C907" s="31" t="s">
        <v>21</v>
      </c>
      <c r="D907" s="31" t="s">
        <v>746</v>
      </c>
      <c r="E907" s="31">
        <v>2000</v>
      </c>
      <c r="G907" s="31" t="s">
        <v>732</v>
      </c>
      <c r="H907" s="31" t="s">
        <v>842</v>
      </c>
      <c r="I907" s="31" t="s">
        <v>843</v>
      </c>
      <c r="J907" s="31" t="s">
        <v>845</v>
      </c>
      <c r="K907" s="31" t="s">
        <v>833</v>
      </c>
      <c r="L907" s="31" t="s">
        <v>833</v>
      </c>
      <c r="M907" s="31">
        <v>-14.9762</v>
      </c>
      <c r="N907" s="31">
        <v>40.78981667</v>
      </c>
      <c r="P907" s="31" t="s">
        <v>857</v>
      </c>
      <c r="Q907" s="31">
        <v>1</v>
      </c>
      <c r="S907" s="31">
        <v>0</v>
      </c>
      <c r="T907" s="31" t="s">
        <v>833</v>
      </c>
      <c r="V907" s="31" t="s">
        <v>856</v>
      </c>
    </row>
    <row r="908" spans="2:22" s="31" customFormat="1" hidden="1">
      <c r="B908" s="31" t="s">
        <v>855</v>
      </c>
      <c r="C908" s="31" t="s">
        <v>21</v>
      </c>
      <c r="D908" s="31" t="s">
        <v>746</v>
      </c>
      <c r="E908" s="31">
        <v>2000</v>
      </c>
      <c r="G908" s="31" t="s">
        <v>732</v>
      </c>
      <c r="H908" s="31" t="s">
        <v>842</v>
      </c>
      <c r="I908" s="31" t="s">
        <v>843</v>
      </c>
      <c r="J908" s="31" t="s">
        <v>845</v>
      </c>
      <c r="K908" s="31" t="s">
        <v>833</v>
      </c>
      <c r="L908" s="31" t="s">
        <v>833</v>
      </c>
      <c r="M908" s="31">
        <v>-14.9762</v>
      </c>
      <c r="N908" s="31">
        <v>40.78981667</v>
      </c>
      <c r="P908" s="31" t="s">
        <v>858</v>
      </c>
      <c r="Q908" s="31">
        <v>1</v>
      </c>
      <c r="S908" s="31">
        <v>6.2</v>
      </c>
      <c r="T908" s="31" t="s">
        <v>833</v>
      </c>
      <c r="V908" s="31" t="s">
        <v>856</v>
      </c>
    </row>
    <row r="909" spans="2:22" s="31" customFormat="1" hidden="1">
      <c r="B909" s="31" t="s">
        <v>855</v>
      </c>
      <c r="C909" s="31" t="s">
        <v>21</v>
      </c>
      <c r="D909" s="31" t="s">
        <v>746</v>
      </c>
      <c r="E909" s="31">
        <v>2000</v>
      </c>
      <c r="G909" s="31" t="s">
        <v>732</v>
      </c>
      <c r="H909" s="31" t="s">
        <v>846</v>
      </c>
      <c r="I909" s="31" t="s">
        <v>322</v>
      </c>
      <c r="J909" s="31" t="s">
        <v>847</v>
      </c>
      <c r="K909" s="31" t="s">
        <v>833</v>
      </c>
      <c r="L909" s="31" t="s">
        <v>833</v>
      </c>
      <c r="M909" s="31">
        <v>-12.958966670000001</v>
      </c>
      <c r="N909" s="31">
        <v>40.55993333</v>
      </c>
      <c r="P909" s="31" t="s">
        <v>27</v>
      </c>
      <c r="Q909" s="31">
        <v>4</v>
      </c>
      <c r="S909" s="31">
        <v>78.099999999999994</v>
      </c>
      <c r="T909" s="31">
        <v>0.6</v>
      </c>
      <c r="V909" s="31" t="s">
        <v>856</v>
      </c>
    </row>
    <row r="910" spans="2:22" s="31" customFormat="1" hidden="1">
      <c r="B910" s="31" t="s">
        <v>855</v>
      </c>
      <c r="C910" s="31" t="s">
        <v>21</v>
      </c>
      <c r="D910" s="31" t="s">
        <v>746</v>
      </c>
      <c r="E910" s="31">
        <v>2000</v>
      </c>
      <c r="G910" s="31" t="s">
        <v>732</v>
      </c>
      <c r="H910" s="31" t="s">
        <v>846</v>
      </c>
      <c r="I910" s="31" t="s">
        <v>322</v>
      </c>
      <c r="J910" s="31" t="s">
        <v>847</v>
      </c>
      <c r="K910" s="31" t="s">
        <v>833</v>
      </c>
      <c r="L910" s="31" t="s">
        <v>833</v>
      </c>
      <c r="M910" s="31">
        <v>-12.958966670000001</v>
      </c>
      <c r="N910" s="31">
        <v>40.55993333</v>
      </c>
      <c r="P910" s="31" t="s">
        <v>819</v>
      </c>
      <c r="Q910" s="31">
        <v>4</v>
      </c>
      <c r="S910" s="31">
        <v>3.4</v>
      </c>
      <c r="T910" s="31">
        <v>4.0999999999999996</v>
      </c>
      <c r="V910" s="31" t="s">
        <v>856</v>
      </c>
    </row>
    <row r="911" spans="2:22" s="31" customFormat="1" hidden="1">
      <c r="B911" s="31" t="s">
        <v>855</v>
      </c>
      <c r="C911" s="31" t="s">
        <v>21</v>
      </c>
      <c r="D911" s="31" t="s">
        <v>746</v>
      </c>
      <c r="E911" s="31">
        <v>2000</v>
      </c>
      <c r="G911" s="31" t="s">
        <v>732</v>
      </c>
      <c r="H911" s="31" t="s">
        <v>846</v>
      </c>
      <c r="I911" s="31" t="s">
        <v>322</v>
      </c>
      <c r="J911" s="31" t="s">
        <v>847</v>
      </c>
      <c r="K911" s="31" t="s">
        <v>833</v>
      </c>
      <c r="L911" s="31" t="s">
        <v>833</v>
      </c>
      <c r="M911" s="31">
        <v>-12.958966670000001</v>
      </c>
      <c r="N911" s="31">
        <v>40.55993333</v>
      </c>
      <c r="P911" s="31" t="s">
        <v>857</v>
      </c>
      <c r="Q911" s="31">
        <v>4</v>
      </c>
      <c r="S911" s="31">
        <v>0</v>
      </c>
      <c r="T911" s="31">
        <v>0</v>
      </c>
      <c r="V911" s="31" t="s">
        <v>856</v>
      </c>
    </row>
    <row r="912" spans="2:22" s="31" customFormat="1" hidden="1">
      <c r="B912" s="31" t="s">
        <v>855</v>
      </c>
      <c r="C912" s="31" t="s">
        <v>21</v>
      </c>
      <c r="D912" s="31" t="s">
        <v>746</v>
      </c>
      <c r="E912" s="31">
        <v>2000</v>
      </c>
      <c r="G912" s="31" t="s">
        <v>732</v>
      </c>
      <c r="H912" s="31" t="s">
        <v>846</v>
      </c>
      <c r="I912" s="31" t="s">
        <v>322</v>
      </c>
      <c r="J912" s="31" t="s">
        <v>847</v>
      </c>
      <c r="K912" s="31" t="s">
        <v>833</v>
      </c>
      <c r="L912" s="31" t="s">
        <v>833</v>
      </c>
      <c r="M912" s="31">
        <v>-12.958966670000001</v>
      </c>
      <c r="N912" s="31">
        <v>40.55993333</v>
      </c>
      <c r="P912" s="31" t="s">
        <v>858</v>
      </c>
      <c r="Q912" s="31">
        <v>4</v>
      </c>
      <c r="S912" s="31">
        <v>0.5</v>
      </c>
      <c r="T912" s="31">
        <v>0.4</v>
      </c>
      <c r="V912" s="31" t="s">
        <v>856</v>
      </c>
    </row>
    <row r="913" spans="2:22" s="31" customFormat="1" hidden="1">
      <c r="B913" s="31" t="s">
        <v>855</v>
      </c>
      <c r="C913" s="31" t="s">
        <v>21</v>
      </c>
      <c r="D913" s="31" t="s">
        <v>746</v>
      </c>
      <c r="E913" s="31">
        <v>2000</v>
      </c>
      <c r="G913" s="31" t="s">
        <v>732</v>
      </c>
      <c r="H913" s="31" t="s">
        <v>848</v>
      </c>
      <c r="I913" s="31" t="s">
        <v>325</v>
      </c>
      <c r="J913" s="31" t="s">
        <v>849</v>
      </c>
      <c r="K913" s="31" t="s">
        <v>833</v>
      </c>
      <c r="L913" s="31" t="s">
        <v>833</v>
      </c>
      <c r="M913" s="31">
        <v>-12.489050000000001</v>
      </c>
      <c r="N913" s="31">
        <v>40.621099999999998</v>
      </c>
      <c r="P913" s="31" t="s">
        <v>27</v>
      </c>
      <c r="Q913" s="31">
        <v>1</v>
      </c>
      <c r="S913" s="31">
        <v>31.8</v>
      </c>
      <c r="T913" s="31" t="s">
        <v>833</v>
      </c>
      <c r="V913" s="31" t="s">
        <v>856</v>
      </c>
    </row>
    <row r="914" spans="2:22" s="31" customFormat="1" hidden="1">
      <c r="B914" s="31" t="s">
        <v>855</v>
      </c>
      <c r="C914" s="31" t="s">
        <v>21</v>
      </c>
      <c r="D914" s="31" t="s">
        <v>746</v>
      </c>
      <c r="E914" s="31">
        <v>2000</v>
      </c>
      <c r="G914" s="31" t="s">
        <v>732</v>
      </c>
      <c r="H914" s="31" t="s">
        <v>848</v>
      </c>
      <c r="I914" s="31" t="s">
        <v>325</v>
      </c>
      <c r="J914" s="31" t="s">
        <v>849</v>
      </c>
      <c r="K914" s="31" t="s">
        <v>833</v>
      </c>
      <c r="L914" s="31" t="s">
        <v>833</v>
      </c>
      <c r="M914" s="31">
        <v>-12.489050000000001</v>
      </c>
      <c r="N914" s="31">
        <v>40.621099999999998</v>
      </c>
      <c r="P914" s="31" t="s">
        <v>819</v>
      </c>
      <c r="Q914" s="31">
        <v>1</v>
      </c>
      <c r="S914" s="31">
        <v>0</v>
      </c>
      <c r="T914" s="31" t="s">
        <v>833</v>
      </c>
      <c r="V914" s="31" t="s">
        <v>856</v>
      </c>
    </row>
    <row r="915" spans="2:22" s="31" customFormat="1" hidden="1">
      <c r="B915" s="31" t="s">
        <v>855</v>
      </c>
      <c r="C915" s="31" t="s">
        <v>21</v>
      </c>
      <c r="D915" s="31" t="s">
        <v>746</v>
      </c>
      <c r="E915" s="31">
        <v>2000</v>
      </c>
      <c r="G915" s="31" t="s">
        <v>732</v>
      </c>
      <c r="H915" s="31" t="s">
        <v>848</v>
      </c>
      <c r="I915" s="31" t="s">
        <v>325</v>
      </c>
      <c r="J915" s="31" t="s">
        <v>849</v>
      </c>
      <c r="K915" s="31" t="s">
        <v>833</v>
      </c>
      <c r="L915" s="31" t="s">
        <v>833</v>
      </c>
      <c r="M915" s="31">
        <v>-12.489050000000001</v>
      </c>
      <c r="N915" s="31">
        <v>40.621099999999998</v>
      </c>
      <c r="P915" s="31" t="s">
        <v>857</v>
      </c>
      <c r="Q915" s="31">
        <v>1</v>
      </c>
      <c r="S915" s="31">
        <v>0</v>
      </c>
      <c r="T915" s="31" t="s">
        <v>833</v>
      </c>
      <c r="V915" s="31" t="s">
        <v>856</v>
      </c>
    </row>
    <row r="916" spans="2:22" s="31" customFormat="1" hidden="1">
      <c r="B916" s="31" t="s">
        <v>855</v>
      </c>
      <c r="C916" s="31" t="s">
        <v>21</v>
      </c>
      <c r="D916" s="31" t="s">
        <v>746</v>
      </c>
      <c r="E916" s="31">
        <v>2000</v>
      </c>
      <c r="G916" s="31" t="s">
        <v>732</v>
      </c>
      <c r="H916" s="31" t="s">
        <v>848</v>
      </c>
      <c r="I916" s="31" t="s">
        <v>325</v>
      </c>
      <c r="J916" s="31" t="s">
        <v>849</v>
      </c>
      <c r="K916" s="31" t="s">
        <v>833</v>
      </c>
      <c r="L916" s="31" t="s">
        <v>833</v>
      </c>
      <c r="M916" s="31">
        <v>-12.489050000000001</v>
      </c>
      <c r="N916" s="31">
        <v>40.621099999999998</v>
      </c>
      <c r="P916" s="31" t="s">
        <v>858</v>
      </c>
      <c r="Q916" s="31">
        <v>1</v>
      </c>
      <c r="S916" s="31">
        <v>0.4</v>
      </c>
      <c r="T916" s="31" t="s">
        <v>833</v>
      </c>
      <c r="V916" s="31" t="s">
        <v>856</v>
      </c>
    </row>
    <row r="917" spans="2:22" s="31" customFormat="1" hidden="1">
      <c r="B917" s="31" t="s">
        <v>830</v>
      </c>
      <c r="C917" s="31" t="s">
        <v>21</v>
      </c>
      <c r="E917" s="31">
        <v>2002</v>
      </c>
      <c r="H917" s="31" t="s">
        <v>335</v>
      </c>
      <c r="I917" s="31" t="s">
        <v>831</v>
      </c>
      <c r="J917" s="31" t="s">
        <v>832</v>
      </c>
      <c r="K917" s="31" t="s">
        <v>833</v>
      </c>
      <c r="L917" s="31" t="s">
        <v>833</v>
      </c>
      <c r="M917" s="31">
        <v>-23.776944440000001</v>
      </c>
      <c r="N917" s="31">
        <v>35.51055556</v>
      </c>
      <c r="P917" s="31" t="s">
        <v>27</v>
      </c>
      <c r="Q917" s="31" t="s">
        <v>833</v>
      </c>
      <c r="S917" s="31">
        <v>5</v>
      </c>
      <c r="T917" s="31">
        <v>4</v>
      </c>
      <c r="V917" s="31" t="s">
        <v>834</v>
      </c>
    </row>
    <row r="918" spans="2:22" s="31" customFormat="1" hidden="1">
      <c r="B918" s="31" t="s">
        <v>830</v>
      </c>
      <c r="C918" s="31" t="s">
        <v>21</v>
      </c>
      <c r="E918" s="31">
        <v>2002</v>
      </c>
      <c r="H918" s="31" t="s">
        <v>335</v>
      </c>
      <c r="I918" s="31" t="s">
        <v>831</v>
      </c>
      <c r="J918" s="31" t="s">
        <v>835</v>
      </c>
      <c r="K918" s="31" t="s">
        <v>833</v>
      </c>
      <c r="L918" s="31" t="s">
        <v>833</v>
      </c>
      <c r="M918" s="31">
        <v>-23.812222219999999</v>
      </c>
      <c r="N918" s="31">
        <v>35.541666669999998</v>
      </c>
      <c r="P918" s="31" t="s">
        <v>27</v>
      </c>
      <c r="Q918" s="31" t="s">
        <v>833</v>
      </c>
      <c r="S918" s="31">
        <v>11</v>
      </c>
      <c r="T918" s="31">
        <v>5.8</v>
      </c>
      <c r="V918" s="31" t="s">
        <v>834</v>
      </c>
    </row>
    <row r="919" spans="2:22" s="31" customFormat="1" hidden="1">
      <c r="B919" s="31" t="s">
        <v>830</v>
      </c>
      <c r="C919" s="31" t="s">
        <v>21</v>
      </c>
      <c r="E919" s="31">
        <v>2002</v>
      </c>
      <c r="H919" s="31" t="s">
        <v>335</v>
      </c>
      <c r="I919" s="31" t="s">
        <v>836</v>
      </c>
      <c r="J919" s="31" t="s">
        <v>859</v>
      </c>
      <c r="K919" s="31" t="s">
        <v>833</v>
      </c>
      <c r="L919" s="31" t="s">
        <v>833</v>
      </c>
      <c r="M919" s="31">
        <v>-21.80351667</v>
      </c>
      <c r="N919" s="31">
        <v>35.502600000000001</v>
      </c>
      <c r="P919" s="31" t="s">
        <v>27</v>
      </c>
      <c r="Q919" s="31" t="s">
        <v>833</v>
      </c>
      <c r="S919" s="31">
        <v>23</v>
      </c>
      <c r="T919" s="31">
        <v>15</v>
      </c>
      <c r="V919" s="31" t="s">
        <v>834</v>
      </c>
    </row>
    <row r="920" spans="2:22" s="31" customFormat="1" hidden="1">
      <c r="B920" s="31" t="s">
        <v>830</v>
      </c>
      <c r="C920" s="31" t="s">
        <v>21</v>
      </c>
      <c r="E920" s="31">
        <v>2002</v>
      </c>
      <c r="H920" s="31" t="s">
        <v>838</v>
      </c>
      <c r="I920" s="31" t="s">
        <v>839</v>
      </c>
      <c r="J920" s="31" t="s">
        <v>860</v>
      </c>
      <c r="K920" s="31" t="s">
        <v>833</v>
      </c>
      <c r="L920" s="31" t="s">
        <v>833</v>
      </c>
      <c r="M920" s="31">
        <v>-25.90431667</v>
      </c>
      <c r="N920" s="31">
        <v>33.052266670000002</v>
      </c>
      <c r="P920" s="31" t="s">
        <v>27</v>
      </c>
      <c r="Q920" s="31">
        <v>1</v>
      </c>
      <c r="S920" s="31">
        <v>33</v>
      </c>
      <c r="T920" s="31" t="s">
        <v>833</v>
      </c>
      <c r="V920" s="31" t="s">
        <v>834</v>
      </c>
    </row>
    <row r="921" spans="2:22" s="31" customFormat="1" hidden="1">
      <c r="B921" s="31" t="s">
        <v>830</v>
      </c>
      <c r="C921" s="31" t="s">
        <v>21</v>
      </c>
      <c r="E921" s="31">
        <v>2002</v>
      </c>
      <c r="H921" s="31" t="s">
        <v>838</v>
      </c>
      <c r="I921" s="31" t="s">
        <v>839</v>
      </c>
      <c r="J921" s="31" t="s">
        <v>840</v>
      </c>
      <c r="K921" s="31" t="s">
        <v>833</v>
      </c>
      <c r="L921" s="31" t="s">
        <v>833</v>
      </c>
      <c r="M921" s="31">
        <v>-26.019649999999999</v>
      </c>
      <c r="N921" s="31">
        <v>32.902983329999998</v>
      </c>
      <c r="P921" s="31" t="s">
        <v>27</v>
      </c>
      <c r="Q921" s="31" t="s">
        <v>833</v>
      </c>
      <c r="S921" s="31">
        <v>37.799999999999997</v>
      </c>
      <c r="T921" s="31">
        <v>14.2</v>
      </c>
      <c r="V921" s="31" t="s">
        <v>834</v>
      </c>
    </row>
    <row r="922" spans="2:22" s="31" customFormat="1" hidden="1">
      <c r="B922" s="31" t="s">
        <v>830</v>
      </c>
      <c r="C922" s="31" t="s">
        <v>21</v>
      </c>
      <c r="E922" s="31">
        <v>2002</v>
      </c>
      <c r="H922" s="31" t="s">
        <v>842</v>
      </c>
      <c r="I922" s="31" t="s">
        <v>843</v>
      </c>
      <c r="J922" s="31" t="s">
        <v>844</v>
      </c>
      <c r="K922" s="31" t="s">
        <v>833</v>
      </c>
      <c r="L922" s="31" t="s">
        <v>833</v>
      </c>
      <c r="M922" s="31">
        <v>-15.048116670000001</v>
      </c>
      <c r="N922" s="31">
        <v>40.783566669999999</v>
      </c>
      <c r="P922" s="31" t="s">
        <v>27</v>
      </c>
      <c r="Q922" s="31" t="s">
        <v>833</v>
      </c>
      <c r="S922" s="31">
        <v>13.2</v>
      </c>
      <c r="T922" s="31">
        <v>9.5</v>
      </c>
      <c r="V922" s="31" t="s">
        <v>834</v>
      </c>
    </row>
    <row r="923" spans="2:22" s="31" customFormat="1" hidden="1">
      <c r="B923" s="31" t="s">
        <v>830</v>
      </c>
      <c r="C923" s="31" t="s">
        <v>21</v>
      </c>
      <c r="E923" s="31">
        <v>2002</v>
      </c>
      <c r="H923" s="31" t="s">
        <v>842</v>
      </c>
      <c r="I923" s="31" t="s">
        <v>843</v>
      </c>
      <c r="J923" s="31" t="s">
        <v>845</v>
      </c>
      <c r="K923" s="31" t="s">
        <v>833</v>
      </c>
      <c r="L923" s="31" t="s">
        <v>833</v>
      </c>
      <c r="M923" s="31">
        <v>-14.9762</v>
      </c>
      <c r="N923" s="31">
        <v>40.78981667</v>
      </c>
      <c r="P923" s="31" t="s">
        <v>27</v>
      </c>
      <c r="Q923" s="31" t="s">
        <v>833</v>
      </c>
      <c r="S923" s="31">
        <v>42</v>
      </c>
      <c r="T923" s="31">
        <v>6</v>
      </c>
      <c r="V923" s="31" t="s">
        <v>834</v>
      </c>
    </row>
    <row r="924" spans="2:22" s="31" customFormat="1" hidden="1">
      <c r="B924" s="31" t="s">
        <v>830</v>
      </c>
      <c r="C924" s="31" t="s">
        <v>21</v>
      </c>
      <c r="E924" s="31">
        <v>2002</v>
      </c>
      <c r="H924" s="31" t="s">
        <v>846</v>
      </c>
      <c r="I924" s="31" t="s">
        <v>322</v>
      </c>
      <c r="J924" s="31" t="s">
        <v>847</v>
      </c>
      <c r="K924" s="31" t="s">
        <v>833</v>
      </c>
      <c r="L924" s="31" t="s">
        <v>833</v>
      </c>
      <c r="M924" s="31">
        <v>-12.958966670000001</v>
      </c>
      <c r="N924" s="31">
        <v>40.55993333</v>
      </c>
      <c r="P924" s="31" t="s">
        <v>27</v>
      </c>
      <c r="Q924" s="31">
        <v>4</v>
      </c>
      <c r="S924" s="31">
        <v>80</v>
      </c>
      <c r="T924" s="31">
        <v>4.4000000000000004</v>
      </c>
      <c r="V924" s="31" t="s">
        <v>834</v>
      </c>
    </row>
    <row r="925" spans="2:22" s="31" customFormat="1" hidden="1">
      <c r="B925" s="31" t="s">
        <v>830</v>
      </c>
      <c r="C925" s="31" t="s">
        <v>21</v>
      </c>
      <c r="E925" s="31">
        <v>2002</v>
      </c>
      <c r="H925" s="31" t="s">
        <v>848</v>
      </c>
      <c r="I925" s="31" t="s">
        <v>325</v>
      </c>
      <c r="J925" s="31" t="s">
        <v>849</v>
      </c>
      <c r="K925" s="31" t="s">
        <v>833</v>
      </c>
      <c r="L925" s="31" t="s">
        <v>833</v>
      </c>
      <c r="M925" s="31">
        <v>-12.489050000000001</v>
      </c>
      <c r="N925" s="31">
        <v>40.621099999999998</v>
      </c>
      <c r="P925" s="31" t="s">
        <v>27</v>
      </c>
      <c r="Q925" s="31" t="s">
        <v>833</v>
      </c>
      <c r="S925" s="31">
        <v>55.9</v>
      </c>
      <c r="T925" s="31">
        <v>8.9</v>
      </c>
      <c r="V925" s="31" t="s">
        <v>834</v>
      </c>
    </row>
    <row r="926" spans="2:22" s="31" customFormat="1" hidden="1">
      <c r="B926" s="31" t="s">
        <v>861</v>
      </c>
      <c r="C926" s="31" t="s">
        <v>21</v>
      </c>
      <c r="E926" s="31">
        <v>2005</v>
      </c>
      <c r="H926" s="31" t="s">
        <v>335</v>
      </c>
      <c r="I926" s="31" t="s">
        <v>836</v>
      </c>
      <c r="J926" s="31" t="s">
        <v>862</v>
      </c>
      <c r="K926" s="31" t="s">
        <v>833</v>
      </c>
      <c r="L926" s="31" t="s">
        <v>833</v>
      </c>
      <c r="M926" s="31">
        <v>-21.518083000000001</v>
      </c>
      <c r="N926" s="31">
        <v>35.487625000000001</v>
      </c>
      <c r="P926" s="31" t="s">
        <v>27</v>
      </c>
      <c r="Q926" s="31">
        <v>8</v>
      </c>
      <c r="S926" s="31">
        <v>33.200000000000003</v>
      </c>
      <c r="T926" s="31">
        <v>11.3</v>
      </c>
      <c r="V926" s="31" t="s">
        <v>863</v>
      </c>
    </row>
    <row r="927" spans="2:22" s="31" customFormat="1" hidden="1">
      <c r="B927" s="31" t="s">
        <v>861</v>
      </c>
      <c r="C927" s="31" t="s">
        <v>21</v>
      </c>
      <c r="E927" s="31">
        <v>2005</v>
      </c>
      <c r="H927" s="31" t="s">
        <v>335</v>
      </c>
      <c r="I927" s="31" t="s">
        <v>836</v>
      </c>
      <c r="J927" s="31" t="s">
        <v>862</v>
      </c>
      <c r="K927" s="31" t="s">
        <v>833</v>
      </c>
      <c r="L927" s="31" t="s">
        <v>833</v>
      </c>
      <c r="M927" s="31">
        <v>-21.518083000000001</v>
      </c>
      <c r="N927" s="31">
        <v>35.487625000000001</v>
      </c>
      <c r="P927" s="31" t="s">
        <v>819</v>
      </c>
      <c r="Q927" s="31">
        <v>8</v>
      </c>
      <c r="S927" s="31">
        <v>8.6</v>
      </c>
      <c r="T927" s="31">
        <v>7.4</v>
      </c>
      <c r="V927" s="31" t="s">
        <v>863</v>
      </c>
    </row>
    <row r="928" spans="2:22" s="31" customFormat="1" hidden="1">
      <c r="B928" s="31" t="s">
        <v>861</v>
      </c>
      <c r="C928" s="31" t="s">
        <v>21</v>
      </c>
      <c r="E928" s="31">
        <v>2005</v>
      </c>
      <c r="H928" s="31" t="s">
        <v>335</v>
      </c>
      <c r="I928" s="31" t="s">
        <v>836</v>
      </c>
      <c r="J928" s="31" t="s">
        <v>862</v>
      </c>
      <c r="K928" s="31" t="s">
        <v>833</v>
      </c>
      <c r="L928" s="31" t="s">
        <v>833</v>
      </c>
      <c r="M928" s="31">
        <v>-21.518083000000001</v>
      </c>
      <c r="N928" s="31">
        <v>35.487625000000001</v>
      </c>
      <c r="P928" s="31" t="s">
        <v>858</v>
      </c>
      <c r="Q928" s="31">
        <v>8</v>
      </c>
      <c r="S928" s="31">
        <v>5.8</v>
      </c>
      <c r="T928" s="31">
        <v>7.7</v>
      </c>
      <c r="V928" s="31" t="s">
        <v>863</v>
      </c>
    </row>
    <row r="929" spans="2:22" s="31" customFormat="1" hidden="1">
      <c r="B929" s="31" t="s">
        <v>861</v>
      </c>
      <c r="C929" s="31" t="s">
        <v>21</v>
      </c>
      <c r="E929" s="31">
        <v>2005</v>
      </c>
      <c r="H929" s="31" t="s">
        <v>335</v>
      </c>
      <c r="I929" s="31" t="s">
        <v>836</v>
      </c>
      <c r="J929" s="31" t="s">
        <v>859</v>
      </c>
      <c r="K929" s="31" t="s">
        <v>833</v>
      </c>
      <c r="L929" s="31" t="s">
        <v>833</v>
      </c>
      <c r="M929" s="31">
        <v>-21.80351667</v>
      </c>
      <c r="N929" s="31">
        <v>35.502600000000001</v>
      </c>
      <c r="P929" s="31" t="s">
        <v>27</v>
      </c>
      <c r="Q929" s="31">
        <v>5</v>
      </c>
      <c r="S929" s="31">
        <v>39</v>
      </c>
      <c r="T929" s="31">
        <v>7</v>
      </c>
      <c r="V929" s="31" t="s">
        <v>863</v>
      </c>
    </row>
    <row r="930" spans="2:22" s="31" customFormat="1" hidden="1">
      <c r="B930" s="31" t="s">
        <v>861</v>
      </c>
      <c r="C930" s="31" t="s">
        <v>21</v>
      </c>
      <c r="E930" s="31">
        <v>2005</v>
      </c>
      <c r="H930" s="31" t="s">
        <v>335</v>
      </c>
      <c r="I930" s="31" t="s">
        <v>836</v>
      </c>
      <c r="J930" s="31" t="s">
        <v>859</v>
      </c>
      <c r="K930" s="31" t="s">
        <v>833</v>
      </c>
      <c r="L930" s="31" t="s">
        <v>833</v>
      </c>
      <c r="M930" s="31">
        <v>-21.80351667</v>
      </c>
      <c r="N930" s="31">
        <v>35.502600000000001</v>
      </c>
      <c r="P930" s="31" t="s">
        <v>819</v>
      </c>
      <c r="Q930" s="31">
        <v>5</v>
      </c>
      <c r="S930" s="31">
        <v>15.1</v>
      </c>
      <c r="T930" s="31">
        <v>17.2</v>
      </c>
      <c r="V930" s="31" t="s">
        <v>863</v>
      </c>
    </row>
    <row r="931" spans="2:22" s="31" customFormat="1" hidden="1">
      <c r="B931" s="31" t="s">
        <v>861</v>
      </c>
      <c r="C931" s="31" t="s">
        <v>21</v>
      </c>
      <c r="E931" s="31">
        <v>2005</v>
      </c>
      <c r="H931" s="31" t="s">
        <v>335</v>
      </c>
      <c r="I931" s="31" t="s">
        <v>836</v>
      </c>
      <c r="J931" s="31" t="s">
        <v>859</v>
      </c>
      <c r="K931" s="31" t="s">
        <v>833</v>
      </c>
      <c r="L931" s="31" t="s">
        <v>833</v>
      </c>
      <c r="M931" s="31">
        <v>-21.80351667</v>
      </c>
      <c r="N931" s="31">
        <v>35.502600000000001</v>
      </c>
      <c r="P931" s="31" t="s">
        <v>858</v>
      </c>
      <c r="Q931" s="31">
        <v>5</v>
      </c>
      <c r="S931" s="31">
        <v>28.3</v>
      </c>
      <c r="T931" s="31">
        <v>10.8</v>
      </c>
      <c r="V931" s="31" t="s">
        <v>863</v>
      </c>
    </row>
    <row r="932" spans="2:22" hidden="1">
      <c r="B932" s="31" t="s">
        <v>864</v>
      </c>
      <c r="C932" s="31" t="s">
        <v>210</v>
      </c>
      <c r="D932" s="31" t="s">
        <v>749</v>
      </c>
      <c r="E932" s="31">
        <v>1999</v>
      </c>
      <c r="F932" s="31" t="s">
        <v>620</v>
      </c>
      <c r="G932" s="31" t="s">
        <v>732</v>
      </c>
      <c r="H932" s="31" t="s">
        <v>865</v>
      </c>
      <c r="I932" s="31" t="s">
        <v>866</v>
      </c>
      <c r="J932" s="31"/>
      <c r="K932" s="31" t="s">
        <v>867</v>
      </c>
      <c r="L932" s="31" t="s">
        <v>868</v>
      </c>
      <c r="M932" s="31" t="s">
        <v>869</v>
      </c>
      <c r="N932" s="31" t="s">
        <v>870</v>
      </c>
      <c r="O932" s="31" t="s">
        <v>26</v>
      </c>
      <c r="P932" s="31" t="s">
        <v>27</v>
      </c>
      <c r="Q932" s="31"/>
      <c r="R932" s="31"/>
      <c r="S932" s="31">
        <v>63</v>
      </c>
      <c r="T932" s="31"/>
      <c r="U932" s="31"/>
      <c r="V932" s="31" t="s">
        <v>871</v>
      </c>
    </row>
    <row r="933" spans="2:22" hidden="1">
      <c r="B933" s="31" t="s">
        <v>864</v>
      </c>
      <c r="C933" s="31" t="s">
        <v>210</v>
      </c>
      <c r="D933" s="31" t="s">
        <v>749</v>
      </c>
      <c r="E933" s="31">
        <v>1999</v>
      </c>
      <c r="F933" s="31" t="s">
        <v>620</v>
      </c>
      <c r="G933" s="31" t="s">
        <v>732</v>
      </c>
      <c r="H933" s="31" t="s">
        <v>865</v>
      </c>
      <c r="I933" s="31" t="s">
        <v>872</v>
      </c>
      <c r="J933" s="31"/>
      <c r="K933" s="31" t="s">
        <v>867</v>
      </c>
      <c r="L933" s="31" t="s">
        <v>873</v>
      </c>
      <c r="M933" s="31" t="s">
        <v>874</v>
      </c>
      <c r="N933" s="31" t="s">
        <v>875</v>
      </c>
      <c r="O933" s="31" t="s">
        <v>26</v>
      </c>
      <c r="P933" s="31" t="s">
        <v>27</v>
      </c>
      <c r="Q933" s="31"/>
      <c r="R933" s="31"/>
      <c r="S933" s="31">
        <v>63</v>
      </c>
      <c r="T933" s="31"/>
      <c r="U933" s="31"/>
      <c r="V933" s="31" t="s">
        <v>871</v>
      </c>
    </row>
    <row r="934" spans="2:22" hidden="1">
      <c r="B934" s="31" t="s">
        <v>864</v>
      </c>
      <c r="C934" s="31" t="s">
        <v>210</v>
      </c>
      <c r="D934" s="31" t="s">
        <v>749</v>
      </c>
      <c r="E934" s="31">
        <v>1999</v>
      </c>
      <c r="F934" s="31" t="s">
        <v>620</v>
      </c>
      <c r="G934" s="31" t="s">
        <v>732</v>
      </c>
      <c r="H934" s="31" t="s">
        <v>865</v>
      </c>
      <c r="I934" s="31" t="s">
        <v>876</v>
      </c>
      <c r="J934" s="31"/>
      <c r="K934" s="31" t="s">
        <v>877</v>
      </c>
      <c r="L934" s="31" t="s">
        <v>878</v>
      </c>
      <c r="M934" s="31"/>
      <c r="N934" s="31"/>
      <c r="O934" s="31" t="s">
        <v>26</v>
      </c>
      <c r="P934" s="31" t="s">
        <v>27</v>
      </c>
      <c r="Q934" s="31"/>
      <c r="R934" s="31"/>
      <c r="S934" s="31">
        <v>40.5</v>
      </c>
      <c r="T934" s="31"/>
      <c r="U934" s="31"/>
      <c r="V934" s="31" t="s">
        <v>871</v>
      </c>
    </row>
    <row r="935" spans="2:22" hidden="1">
      <c r="B935" s="31" t="s">
        <v>864</v>
      </c>
      <c r="C935" s="31" t="s">
        <v>210</v>
      </c>
      <c r="D935" s="31" t="s">
        <v>749</v>
      </c>
      <c r="E935" s="31">
        <v>1999</v>
      </c>
      <c r="F935" s="31" t="s">
        <v>620</v>
      </c>
      <c r="G935" s="31"/>
      <c r="H935" s="31" t="s">
        <v>865</v>
      </c>
      <c r="I935" s="31" t="s">
        <v>212</v>
      </c>
      <c r="J935" s="31" t="s">
        <v>879</v>
      </c>
      <c r="K935" s="31" t="s">
        <v>877</v>
      </c>
      <c r="L935" s="31" t="s">
        <v>880</v>
      </c>
      <c r="M935" s="31" t="s">
        <v>881</v>
      </c>
      <c r="N935" s="31" t="s">
        <v>882</v>
      </c>
      <c r="O935" s="31" t="s">
        <v>26</v>
      </c>
      <c r="P935" s="31" t="s">
        <v>27</v>
      </c>
      <c r="Q935" s="31"/>
      <c r="R935" s="31"/>
      <c r="S935" s="31">
        <v>40.5</v>
      </c>
      <c r="T935" s="31"/>
      <c r="U935" s="31"/>
      <c r="V935" s="31" t="s">
        <v>871</v>
      </c>
    </row>
    <row r="936" spans="2:22" hidden="1">
      <c r="B936" s="31" t="s">
        <v>864</v>
      </c>
      <c r="C936" s="31" t="s">
        <v>210</v>
      </c>
      <c r="D936" s="31" t="s">
        <v>749</v>
      </c>
      <c r="E936" s="31">
        <v>1999</v>
      </c>
      <c r="F936" s="31" t="s">
        <v>620</v>
      </c>
      <c r="G936" s="31"/>
      <c r="H936" s="31" t="s">
        <v>865</v>
      </c>
      <c r="I936" s="31" t="s">
        <v>212</v>
      </c>
      <c r="J936" s="31" t="s">
        <v>883</v>
      </c>
      <c r="K936" s="31" t="s">
        <v>877</v>
      </c>
      <c r="L936" s="31" t="s">
        <v>880</v>
      </c>
      <c r="M936" s="31" t="s">
        <v>884</v>
      </c>
      <c r="N936" s="31" t="s">
        <v>885</v>
      </c>
      <c r="O936" s="31" t="s">
        <v>26</v>
      </c>
      <c r="P936" s="31" t="s">
        <v>27</v>
      </c>
      <c r="Q936" s="31"/>
      <c r="R936" s="31"/>
      <c r="S936" s="31">
        <v>40.5</v>
      </c>
      <c r="T936" s="31"/>
      <c r="U936" s="31"/>
      <c r="V936" s="31" t="s">
        <v>871</v>
      </c>
    </row>
    <row r="937" spans="2:22" hidden="1">
      <c r="B937" s="31" t="s">
        <v>864</v>
      </c>
      <c r="C937" s="31" t="s">
        <v>210</v>
      </c>
      <c r="D937" s="31" t="s">
        <v>749</v>
      </c>
      <c r="E937" s="31">
        <v>1999</v>
      </c>
      <c r="F937" s="31" t="s">
        <v>620</v>
      </c>
      <c r="G937" s="31"/>
      <c r="H937" s="31" t="s">
        <v>865</v>
      </c>
      <c r="I937" s="31" t="s">
        <v>212</v>
      </c>
      <c r="J937" s="31" t="s">
        <v>886</v>
      </c>
      <c r="K937" s="31" t="s">
        <v>867</v>
      </c>
      <c r="L937" s="31" t="s">
        <v>887</v>
      </c>
      <c r="M937" s="31" t="s">
        <v>888</v>
      </c>
      <c r="N937" s="31" t="s">
        <v>889</v>
      </c>
      <c r="O937" s="31" t="s">
        <v>26</v>
      </c>
      <c r="P937" s="31" t="s">
        <v>27</v>
      </c>
      <c r="Q937" s="31"/>
      <c r="R937" s="31"/>
      <c r="S937" s="31">
        <v>63</v>
      </c>
      <c r="T937" s="31"/>
      <c r="U937" s="31"/>
      <c r="V937" s="31" t="s">
        <v>871</v>
      </c>
    </row>
    <row r="938" spans="2:22" hidden="1">
      <c r="B938" s="31" t="s">
        <v>864</v>
      </c>
      <c r="C938" s="31" t="s">
        <v>210</v>
      </c>
      <c r="D938" s="31" t="s">
        <v>749</v>
      </c>
      <c r="E938" s="31">
        <v>1999</v>
      </c>
      <c r="F938" s="31" t="s">
        <v>620</v>
      </c>
      <c r="G938" s="31"/>
      <c r="H938" s="31" t="s">
        <v>865</v>
      </c>
      <c r="I938" s="31" t="s">
        <v>212</v>
      </c>
      <c r="J938" s="31" t="s">
        <v>890</v>
      </c>
      <c r="K938" s="31" t="s">
        <v>867</v>
      </c>
      <c r="L938" s="31" t="s">
        <v>887</v>
      </c>
      <c r="M938" s="31" t="s">
        <v>891</v>
      </c>
      <c r="N938" s="31" t="s">
        <v>892</v>
      </c>
      <c r="O938" s="31" t="s">
        <v>26</v>
      </c>
      <c r="P938" s="31" t="s">
        <v>27</v>
      </c>
      <c r="Q938" s="31"/>
      <c r="R938" s="31"/>
      <c r="S938" s="31">
        <v>88</v>
      </c>
      <c r="T938" s="31"/>
      <c r="U938" s="31"/>
      <c r="V938" s="31" t="s">
        <v>871</v>
      </c>
    </row>
    <row r="939" spans="2:22" hidden="1">
      <c r="B939" s="31" t="s">
        <v>864</v>
      </c>
      <c r="C939" s="31" t="s">
        <v>210</v>
      </c>
      <c r="D939" s="31" t="s">
        <v>749</v>
      </c>
      <c r="E939" s="31">
        <v>1999</v>
      </c>
      <c r="F939" s="31" t="s">
        <v>620</v>
      </c>
      <c r="G939" s="31"/>
      <c r="H939" s="31" t="s">
        <v>865</v>
      </c>
      <c r="I939" s="31" t="s">
        <v>212</v>
      </c>
      <c r="J939" s="31" t="s">
        <v>893</v>
      </c>
      <c r="K939" s="31" t="s">
        <v>867</v>
      </c>
      <c r="L939" s="31" t="s">
        <v>887</v>
      </c>
      <c r="M939" s="31" t="s">
        <v>894</v>
      </c>
      <c r="N939" s="31" t="s">
        <v>895</v>
      </c>
      <c r="O939" s="31" t="s">
        <v>26</v>
      </c>
      <c r="P939" s="31" t="s">
        <v>27</v>
      </c>
      <c r="Q939" s="31"/>
      <c r="R939" s="31"/>
      <c r="S939" s="31">
        <v>63</v>
      </c>
      <c r="T939" s="31"/>
      <c r="U939" s="31"/>
      <c r="V939" s="31" t="s">
        <v>871</v>
      </c>
    </row>
    <row r="940" spans="2:22" hidden="1">
      <c r="B940" s="31" t="s">
        <v>864</v>
      </c>
      <c r="C940" s="31" t="s">
        <v>210</v>
      </c>
      <c r="D940" s="31" t="s">
        <v>749</v>
      </c>
      <c r="E940" s="31">
        <v>1999</v>
      </c>
      <c r="F940" s="31" t="s">
        <v>620</v>
      </c>
      <c r="G940" s="31" t="s">
        <v>732</v>
      </c>
      <c r="H940" s="31" t="s">
        <v>865</v>
      </c>
      <c r="I940" s="31" t="s">
        <v>896</v>
      </c>
      <c r="J940" s="31"/>
      <c r="K940" s="31" t="s">
        <v>877</v>
      </c>
      <c r="L940" s="31" t="s">
        <v>897</v>
      </c>
      <c r="M940" s="31" t="s">
        <v>898</v>
      </c>
      <c r="N940" s="31" t="s">
        <v>899</v>
      </c>
      <c r="O940" s="31" t="s">
        <v>26</v>
      </c>
      <c r="P940" s="31" t="s">
        <v>27</v>
      </c>
      <c r="Q940" s="31"/>
      <c r="R940" s="31"/>
      <c r="S940" s="31">
        <v>20.5</v>
      </c>
      <c r="T940" s="31"/>
      <c r="U940" s="31"/>
      <c r="V940" s="31" t="s">
        <v>871</v>
      </c>
    </row>
    <row r="941" spans="2:22" hidden="1">
      <c r="B941" s="31" t="s">
        <v>864</v>
      </c>
      <c r="C941" s="31" t="s">
        <v>210</v>
      </c>
      <c r="D941" s="31" t="s">
        <v>749</v>
      </c>
      <c r="E941" s="31">
        <v>1999</v>
      </c>
      <c r="F941" s="31" t="s">
        <v>620</v>
      </c>
      <c r="G941" s="31" t="s">
        <v>732</v>
      </c>
      <c r="H941" s="31" t="s">
        <v>865</v>
      </c>
      <c r="I941" s="31" t="s">
        <v>900</v>
      </c>
      <c r="J941" s="31"/>
      <c r="K941" s="31" t="s">
        <v>877</v>
      </c>
      <c r="L941" s="31" t="s">
        <v>897</v>
      </c>
      <c r="M941" s="31" t="s">
        <v>901</v>
      </c>
      <c r="N941" s="31" t="s">
        <v>902</v>
      </c>
      <c r="O941" s="31" t="s">
        <v>26</v>
      </c>
      <c r="P941" s="31" t="s">
        <v>27</v>
      </c>
      <c r="Q941" s="31"/>
      <c r="R941" s="31"/>
      <c r="S941" s="31">
        <v>20.5</v>
      </c>
      <c r="T941" s="31"/>
      <c r="U941" s="31"/>
      <c r="V941" s="31" t="s">
        <v>871</v>
      </c>
    </row>
    <row r="942" spans="2:22" hidden="1">
      <c r="B942" s="31" t="s">
        <v>864</v>
      </c>
      <c r="C942" s="31" t="s">
        <v>210</v>
      </c>
      <c r="D942" s="31" t="s">
        <v>749</v>
      </c>
      <c r="E942" s="31">
        <v>1999</v>
      </c>
      <c r="F942" s="31" t="s">
        <v>620</v>
      </c>
      <c r="G942" s="31" t="s">
        <v>732</v>
      </c>
      <c r="H942" s="31" t="s">
        <v>865</v>
      </c>
      <c r="I942" s="31" t="s">
        <v>903</v>
      </c>
      <c r="J942" s="31"/>
      <c r="K942" s="31" t="s">
        <v>867</v>
      </c>
      <c r="L942" s="31" t="s">
        <v>904</v>
      </c>
      <c r="M942" s="31" t="s">
        <v>905</v>
      </c>
      <c r="N942" s="31" t="s">
        <v>906</v>
      </c>
      <c r="O942" s="31" t="s">
        <v>26</v>
      </c>
      <c r="P942" s="31" t="s">
        <v>27</v>
      </c>
      <c r="Q942" s="31"/>
      <c r="R942" s="31"/>
      <c r="S942" s="31">
        <v>63</v>
      </c>
      <c r="T942" s="31"/>
      <c r="U942" s="31"/>
      <c r="V942" s="31" t="s">
        <v>871</v>
      </c>
    </row>
    <row r="943" spans="2:22" hidden="1">
      <c r="B943" s="31" t="s">
        <v>864</v>
      </c>
      <c r="C943" s="31" t="s">
        <v>210</v>
      </c>
      <c r="D943" s="31" t="s">
        <v>749</v>
      </c>
      <c r="E943" s="31">
        <v>1999</v>
      </c>
      <c r="F943" s="31" t="s">
        <v>620</v>
      </c>
      <c r="G943" s="31" t="s">
        <v>732</v>
      </c>
      <c r="H943" s="31" t="s">
        <v>865</v>
      </c>
      <c r="I943" s="31" t="s">
        <v>907</v>
      </c>
      <c r="J943" s="31"/>
      <c r="K943" s="31" t="s">
        <v>908</v>
      </c>
      <c r="L943" s="31" t="s">
        <v>904</v>
      </c>
      <c r="M943" s="31" t="s">
        <v>909</v>
      </c>
      <c r="N943" s="31" t="s">
        <v>910</v>
      </c>
      <c r="O943" s="31" t="s">
        <v>26</v>
      </c>
      <c r="P943" s="31" t="s">
        <v>27</v>
      </c>
      <c r="Q943" s="31"/>
      <c r="R943" s="31"/>
      <c r="S943" s="31">
        <v>20.5</v>
      </c>
      <c r="T943" s="31"/>
      <c r="U943" s="31"/>
      <c r="V943" s="31" t="s">
        <v>871</v>
      </c>
    </row>
    <row r="944" spans="2:22" hidden="1">
      <c r="B944" s="31" t="s">
        <v>864</v>
      </c>
      <c r="C944" s="31" t="s">
        <v>210</v>
      </c>
      <c r="D944" s="31" t="s">
        <v>749</v>
      </c>
      <c r="E944" s="31">
        <v>1999</v>
      </c>
      <c r="F944" s="31" t="s">
        <v>620</v>
      </c>
      <c r="G944" s="31" t="s">
        <v>732</v>
      </c>
      <c r="H944" s="31" t="s">
        <v>865</v>
      </c>
      <c r="I944" s="31" t="s">
        <v>911</v>
      </c>
      <c r="J944" s="31"/>
      <c r="K944" s="31" t="s">
        <v>564</v>
      </c>
      <c r="L944" s="31" t="s">
        <v>904</v>
      </c>
      <c r="M944" s="31"/>
      <c r="N944" s="31"/>
      <c r="O944" s="31" t="s">
        <v>26</v>
      </c>
      <c r="P944" s="31" t="s">
        <v>27</v>
      </c>
      <c r="Q944" s="31"/>
      <c r="R944" s="31"/>
      <c r="S944" s="31">
        <v>20.5</v>
      </c>
      <c r="T944" s="31"/>
      <c r="U944" s="31"/>
      <c r="V944" s="31" t="s">
        <v>871</v>
      </c>
    </row>
    <row r="945" spans="2:22" hidden="1">
      <c r="B945" s="31" t="s">
        <v>864</v>
      </c>
      <c r="C945" s="31" t="s">
        <v>210</v>
      </c>
      <c r="D945" s="31" t="s">
        <v>749</v>
      </c>
      <c r="E945" s="31">
        <v>1999</v>
      </c>
      <c r="F945" s="31" t="s">
        <v>620</v>
      </c>
      <c r="G945" s="31"/>
      <c r="H945" s="31" t="s">
        <v>865</v>
      </c>
      <c r="I945" s="31" t="s">
        <v>212</v>
      </c>
      <c r="J945" s="31" t="s">
        <v>912</v>
      </c>
      <c r="K945" s="31" t="s">
        <v>877</v>
      </c>
      <c r="L945" s="31" t="s">
        <v>913</v>
      </c>
      <c r="M945" s="31" t="s">
        <v>914</v>
      </c>
      <c r="N945" s="31" t="s">
        <v>915</v>
      </c>
      <c r="O945" s="31" t="s">
        <v>26</v>
      </c>
      <c r="P945" s="31" t="s">
        <v>27</v>
      </c>
      <c r="Q945" s="31"/>
      <c r="R945" s="31"/>
      <c r="S945" s="31">
        <v>20.5</v>
      </c>
      <c r="T945" s="31"/>
      <c r="U945" s="31"/>
      <c r="V945" s="31" t="s">
        <v>871</v>
      </c>
    </row>
    <row r="946" spans="2:22" hidden="1">
      <c r="B946" s="31" t="s">
        <v>864</v>
      </c>
      <c r="C946" s="31" t="s">
        <v>210</v>
      </c>
      <c r="D946" s="31" t="s">
        <v>749</v>
      </c>
      <c r="E946" s="31">
        <v>1999</v>
      </c>
      <c r="F946" s="31" t="s">
        <v>620</v>
      </c>
      <c r="G946" s="31" t="s">
        <v>732</v>
      </c>
      <c r="H946" s="31" t="s">
        <v>865</v>
      </c>
      <c r="I946" s="31" t="s">
        <v>916</v>
      </c>
      <c r="J946" s="31" t="s">
        <v>917</v>
      </c>
      <c r="K946" s="31" t="s">
        <v>867</v>
      </c>
      <c r="L946" s="31" t="s">
        <v>904</v>
      </c>
      <c r="M946" s="31" t="s">
        <v>918</v>
      </c>
      <c r="N946" s="31" t="s">
        <v>919</v>
      </c>
      <c r="O946" s="31" t="s">
        <v>26</v>
      </c>
      <c r="P946" s="31" t="s">
        <v>27</v>
      </c>
      <c r="Q946" s="31"/>
      <c r="R946" s="31"/>
      <c r="S946" s="31">
        <v>88</v>
      </c>
      <c r="T946" s="31"/>
      <c r="U946" s="31"/>
      <c r="V946" s="31" t="s">
        <v>871</v>
      </c>
    </row>
    <row r="947" spans="2:22" hidden="1">
      <c r="B947" s="31" t="s">
        <v>864</v>
      </c>
      <c r="C947" s="31" t="s">
        <v>210</v>
      </c>
      <c r="D947" s="31" t="s">
        <v>749</v>
      </c>
      <c r="E947" s="31">
        <v>1999</v>
      </c>
      <c r="F947" s="31" t="s">
        <v>620</v>
      </c>
      <c r="G947" s="31"/>
      <c r="H947" s="31" t="s">
        <v>865</v>
      </c>
      <c r="I947" s="31" t="s">
        <v>916</v>
      </c>
      <c r="J947" s="31" t="s">
        <v>920</v>
      </c>
      <c r="K947" s="31" t="s">
        <v>908</v>
      </c>
      <c r="L947" s="31" t="s">
        <v>904</v>
      </c>
      <c r="M947" s="31" t="s">
        <v>921</v>
      </c>
      <c r="N947" s="31" t="s">
        <v>922</v>
      </c>
      <c r="O947" s="31" t="s">
        <v>26</v>
      </c>
      <c r="P947" s="31" t="s">
        <v>27</v>
      </c>
      <c r="Q947" s="31"/>
      <c r="R947" s="31"/>
      <c r="S947" s="31">
        <v>5.5</v>
      </c>
      <c r="T947" s="31"/>
      <c r="U947" s="31"/>
      <c r="V947" s="31" t="s">
        <v>871</v>
      </c>
    </row>
    <row r="948" spans="2:22" hidden="1">
      <c r="B948" s="31" t="s">
        <v>864</v>
      </c>
      <c r="C948" s="31" t="s">
        <v>210</v>
      </c>
      <c r="D948" s="31" t="s">
        <v>749</v>
      </c>
      <c r="E948" s="31">
        <v>1999</v>
      </c>
      <c r="F948" s="31" t="s">
        <v>620</v>
      </c>
      <c r="G948" s="31" t="s">
        <v>732</v>
      </c>
      <c r="H948" s="31" t="s">
        <v>865</v>
      </c>
      <c r="I948" s="31" t="s">
        <v>916</v>
      </c>
      <c r="J948" s="31" t="s">
        <v>923</v>
      </c>
      <c r="K948" s="31" t="s">
        <v>908</v>
      </c>
      <c r="L948" s="31" t="s">
        <v>904</v>
      </c>
      <c r="M948" s="31" t="s">
        <v>924</v>
      </c>
      <c r="N948" s="31" t="s">
        <v>925</v>
      </c>
      <c r="O948" s="31" t="s">
        <v>26</v>
      </c>
      <c r="P948" s="31" t="s">
        <v>27</v>
      </c>
      <c r="Q948" s="31"/>
      <c r="R948" s="31"/>
      <c r="S948" s="31">
        <v>40.5</v>
      </c>
      <c r="T948" s="31"/>
      <c r="U948" s="31"/>
      <c r="V948" s="31" t="s">
        <v>871</v>
      </c>
    </row>
    <row r="949" spans="2:22" hidden="1">
      <c r="B949" s="31" t="s">
        <v>864</v>
      </c>
      <c r="C949" s="31" t="s">
        <v>210</v>
      </c>
      <c r="D949" s="31" t="s">
        <v>749</v>
      </c>
      <c r="E949" s="31">
        <v>1999</v>
      </c>
      <c r="F949" s="31" t="s">
        <v>620</v>
      </c>
      <c r="G949" s="31" t="s">
        <v>732</v>
      </c>
      <c r="H949" s="31" t="s">
        <v>865</v>
      </c>
      <c r="I949" s="31" t="s">
        <v>916</v>
      </c>
      <c r="J949" s="31" t="s">
        <v>926</v>
      </c>
      <c r="K949" s="31" t="s">
        <v>867</v>
      </c>
      <c r="L949" s="31" t="s">
        <v>904</v>
      </c>
      <c r="M949" s="31" t="s">
        <v>927</v>
      </c>
      <c r="N949" s="31" t="s">
        <v>928</v>
      </c>
      <c r="O949" s="31" t="s">
        <v>26</v>
      </c>
      <c r="P949" s="31" t="s">
        <v>27</v>
      </c>
      <c r="Q949" s="31"/>
      <c r="R949" s="31"/>
      <c r="S949" s="31">
        <v>63</v>
      </c>
      <c r="T949" s="31"/>
      <c r="U949" s="31"/>
      <c r="V949" s="31" t="s">
        <v>871</v>
      </c>
    </row>
    <row r="950" spans="2:22" hidden="1">
      <c r="B950" s="31" t="s">
        <v>864</v>
      </c>
      <c r="C950" s="31" t="s">
        <v>210</v>
      </c>
      <c r="D950" s="31" t="s">
        <v>749</v>
      </c>
      <c r="E950" s="31">
        <v>1999</v>
      </c>
      <c r="F950" s="31" t="s">
        <v>620</v>
      </c>
      <c r="G950" s="31" t="s">
        <v>732</v>
      </c>
      <c r="H950" s="31" t="s">
        <v>865</v>
      </c>
      <c r="I950" s="31" t="s">
        <v>916</v>
      </c>
      <c r="J950" s="31" t="s">
        <v>929</v>
      </c>
      <c r="K950" s="31" t="s">
        <v>867</v>
      </c>
      <c r="L950" s="31" t="s">
        <v>904</v>
      </c>
      <c r="M950" s="31" t="s">
        <v>930</v>
      </c>
      <c r="N950" s="31" t="s">
        <v>931</v>
      </c>
      <c r="O950" s="31" t="s">
        <v>26</v>
      </c>
      <c r="P950" s="31" t="s">
        <v>27</v>
      </c>
      <c r="Q950" s="31"/>
      <c r="R950" s="31"/>
      <c r="S950" s="31">
        <v>63</v>
      </c>
      <c r="T950" s="31"/>
      <c r="U950" s="31"/>
      <c r="V950" s="31" t="s">
        <v>871</v>
      </c>
    </row>
    <row r="951" spans="2:22" hidden="1">
      <c r="B951" s="31" t="s">
        <v>864</v>
      </c>
      <c r="C951" s="31" t="s">
        <v>210</v>
      </c>
      <c r="D951" s="31" t="s">
        <v>749</v>
      </c>
      <c r="E951" s="31">
        <v>1999</v>
      </c>
      <c r="F951" s="31" t="s">
        <v>620</v>
      </c>
      <c r="G951" s="31" t="s">
        <v>732</v>
      </c>
      <c r="H951" s="31" t="s">
        <v>865</v>
      </c>
      <c r="I951" s="31" t="s">
        <v>932</v>
      </c>
      <c r="J951" s="31" t="s">
        <v>933</v>
      </c>
      <c r="K951" s="31" t="s">
        <v>867</v>
      </c>
      <c r="L951" s="31" t="s">
        <v>934</v>
      </c>
      <c r="M951" s="31" t="s">
        <v>935</v>
      </c>
      <c r="N951" s="31" t="s">
        <v>936</v>
      </c>
      <c r="O951" s="31" t="s">
        <v>26</v>
      </c>
      <c r="P951" s="31" t="s">
        <v>27</v>
      </c>
      <c r="Q951" s="31"/>
      <c r="R951" s="31"/>
      <c r="S951" s="31">
        <v>40.5</v>
      </c>
      <c r="T951" s="31"/>
      <c r="U951" s="31"/>
      <c r="V951" s="31" t="s">
        <v>871</v>
      </c>
    </row>
    <row r="952" spans="2:22" hidden="1">
      <c r="B952" s="31" t="s">
        <v>864</v>
      </c>
      <c r="C952" s="31" t="s">
        <v>210</v>
      </c>
      <c r="D952" s="31" t="s">
        <v>749</v>
      </c>
      <c r="E952" s="31">
        <v>1999</v>
      </c>
      <c r="F952" s="31" t="s">
        <v>620</v>
      </c>
      <c r="G952" s="31" t="s">
        <v>732</v>
      </c>
      <c r="H952" s="31" t="s">
        <v>865</v>
      </c>
      <c r="I952" s="31" t="s">
        <v>932</v>
      </c>
      <c r="J952" s="31" t="s">
        <v>937</v>
      </c>
      <c r="K952" s="31" t="s">
        <v>867</v>
      </c>
      <c r="L952" s="31" t="s">
        <v>904</v>
      </c>
      <c r="M952" s="31" t="s">
        <v>938</v>
      </c>
      <c r="N952" s="31" t="s">
        <v>939</v>
      </c>
      <c r="O952" s="31" t="s">
        <v>26</v>
      </c>
      <c r="P952" s="31" t="s">
        <v>27</v>
      </c>
      <c r="Q952" s="31"/>
      <c r="R952" s="31"/>
      <c r="S952" s="31">
        <v>63</v>
      </c>
      <c r="T952" s="31"/>
      <c r="U952" s="31"/>
      <c r="V952" s="31" t="s">
        <v>871</v>
      </c>
    </row>
    <row r="953" spans="2:22" hidden="1">
      <c r="B953" s="31" t="s">
        <v>864</v>
      </c>
      <c r="C953" s="31" t="s">
        <v>210</v>
      </c>
      <c r="D953" s="31" t="s">
        <v>749</v>
      </c>
      <c r="E953" s="31">
        <v>1999</v>
      </c>
      <c r="F953" s="31" t="s">
        <v>620</v>
      </c>
      <c r="G953" s="31" t="s">
        <v>732</v>
      </c>
      <c r="H953" s="31" t="s">
        <v>865</v>
      </c>
      <c r="I953" s="31" t="s">
        <v>932</v>
      </c>
      <c r="J953" s="31" t="s">
        <v>940</v>
      </c>
      <c r="K953" s="31" t="s">
        <v>867</v>
      </c>
      <c r="L953" s="31" t="s">
        <v>904</v>
      </c>
      <c r="M953" s="31" t="s">
        <v>941</v>
      </c>
      <c r="N953" s="31" t="s">
        <v>942</v>
      </c>
      <c r="O953" s="31" t="s">
        <v>26</v>
      </c>
      <c r="P953" s="31" t="s">
        <v>27</v>
      </c>
      <c r="Q953" s="31"/>
      <c r="R953" s="31"/>
      <c r="S953" s="31">
        <v>20.5</v>
      </c>
      <c r="T953" s="31"/>
      <c r="U953" s="31"/>
      <c r="V953" s="31" t="s">
        <v>871</v>
      </c>
    </row>
    <row r="954" spans="2:22" hidden="1">
      <c r="B954" s="31" t="s">
        <v>864</v>
      </c>
      <c r="C954" s="31" t="s">
        <v>210</v>
      </c>
      <c r="D954" s="31" t="s">
        <v>749</v>
      </c>
      <c r="E954" s="31">
        <v>1999</v>
      </c>
      <c r="F954" s="31" t="s">
        <v>620</v>
      </c>
      <c r="G954" s="31" t="s">
        <v>732</v>
      </c>
      <c r="H954" s="31" t="s">
        <v>865</v>
      </c>
      <c r="I954" s="31" t="s">
        <v>932</v>
      </c>
      <c r="J954" s="31" t="s">
        <v>943</v>
      </c>
      <c r="K954" s="31" t="s">
        <v>867</v>
      </c>
      <c r="L954" s="31" t="s">
        <v>904</v>
      </c>
      <c r="M954" s="31" t="s">
        <v>944</v>
      </c>
      <c r="N954" s="31" t="s">
        <v>945</v>
      </c>
      <c r="O954" s="31" t="s">
        <v>26</v>
      </c>
      <c r="P954" s="31" t="s">
        <v>27</v>
      </c>
      <c r="Q954" s="31"/>
      <c r="R954" s="31"/>
      <c r="S954" s="31">
        <v>63</v>
      </c>
      <c r="T954" s="31"/>
      <c r="U954" s="31"/>
      <c r="V954" s="31" t="s">
        <v>871</v>
      </c>
    </row>
    <row r="955" spans="2:22" hidden="1">
      <c r="B955" s="31" t="s">
        <v>864</v>
      </c>
      <c r="C955" s="31" t="s">
        <v>210</v>
      </c>
      <c r="D955" s="31" t="s">
        <v>749</v>
      </c>
      <c r="E955" s="31">
        <v>1999</v>
      </c>
      <c r="F955" s="31" t="s">
        <v>620</v>
      </c>
      <c r="G955" s="31" t="s">
        <v>732</v>
      </c>
      <c r="H955" s="31" t="s">
        <v>865</v>
      </c>
      <c r="I955" s="31" t="s">
        <v>946</v>
      </c>
      <c r="J955" s="31"/>
      <c r="K955" s="31" t="s">
        <v>867</v>
      </c>
      <c r="L955" s="31" t="s">
        <v>887</v>
      </c>
      <c r="M955" s="31" t="s">
        <v>947</v>
      </c>
      <c r="N955" s="31" t="s">
        <v>948</v>
      </c>
      <c r="O955" s="31" t="s">
        <v>26</v>
      </c>
      <c r="P955" s="31" t="s">
        <v>27</v>
      </c>
      <c r="Q955" s="31"/>
      <c r="R955" s="31"/>
      <c r="S955" s="31">
        <v>63</v>
      </c>
      <c r="T955" s="31"/>
      <c r="U955" s="31"/>
      <c r="V955" s="31" t="s">
        <v>871</v>
      </c>
    </row>
    <row r="956" spans="2:22" hidden="1">
      <c r="B956" s="31" t="s">
        <v>864</v>
      </c>
      <c r="C956" s="31" t="s">
        <v>210</v>
      </c>
      <c r="D956" s="31" t="s">
        <v>749</v>
      </c>
      <c r="E956" s="31">
        <v>1999</v>
      </c>
      <c r="F956" s="31" t="s">
        <v>620</v>
      </c>
      <c r="G956" s="31" t="s">
        <v>732</v>
      </c>
      <c r="H956" s="31" t="s">
        <v>865</v>
      </c>
      <c r="I956" s="31" t="s">
        <v>949</v>
      </c>
      <c r="J956" s="31"/>
      <c r="K956" s="31" t="s">
        <v>877</v>
      </c>
      <c r="L956" s="31" t="s">
        <v>950</v>
      </c>
      <c r="M956" s="31" t="s">
        <v>951</v>
      </c>
      <c r="N956" s="31" t="s">
        <v>952</v>
      </c>
      <c r="O956" s="31" t="s">
        <v>26</v>
      </c>
      <c r="P956" s="31" t="s">
        <v>27</v>
      </c>
      <c r="Q956" s="31"/>
      <c r="R956" s="31"/>
      <c r="S956" s="31">
        <v>20.5</v>
      </c>
      <c r="T956" s="31"/>
      <c r="U956" s="31"/>
      <c r="V956" s="31" t="s">
        <v>871</v>
      </c>
    </row>
    <row r="957" spans="2:22" hidden="1">
      <c r="B957" s="31" t="s">
        <v>864</v>
      </c>
      <c r="C957" s="31" t="s">
        <v>210</v>
      </c>
      <c r="D957" s="31" t="s">
        <v>749</v>
      </c>
      <c r="E957" s="31">
        <v>1999</v>
      </c>
      <c r="F957" s="31" t="s">
        <v>620</v>
      </c>
      <c r="G957" s="31" t="s">
        <v>732</v>
      </c>
      <c r="H957" s="31" t="s">
        <v>865</v>
      </c>
      <c r="I957" s="31" t="s">
        <v>953</v>
      </c>
      <c r="J957" s="31"/>
      <c r="K957" s="31" t="s">
        <v>867</v>
      </c>
      <c r="L957" s="31" t="s">
        <v>954</v>
      </c>
      <c r="M957" s="31" t="s">
        <v>955</v>
      </c>
      <c r="N957" s="31" t="s">
        <v>956</v>
      </c>
      <c r="O957" s="31" t="s">
        <v>26</v>
      </c>
      <c r="P957" s="31" t="s">
        <v>27</v>
      </c>
      <c r="Q957" s="31"/>
      <c r="R957" s="31"/>
      <c r="S957" s="31">
        <v>88</v>
      </c>
      <c r="T957" s="31"/>
      <c r="U957" s="31"/>
      <c r="V957" s="31" t="s">
        <v>871</v>
      </c>
    </row>
    <row r="958" spans="2:22" hidden="1">
      <c r="B958" s="31" t="s">
        <v>864</v>
      </c>
      <c r="C958" s="31" t="s">
        <v>210</v>
      </c>
      <c r="D958" s="31" t="s">
        <v>749</v>
      </c>
      <c r="E958" s="31">
        <v>1999</v>
      </c>
      <c r="F958" s="31" t="s">
        <v>620</v>
      </c>
      <c r="G958" s="31" t="s">
        <v>732</v>
      </c>
      <c r="H958" s="31" t="s">
        <v>865</v>
      </c>
      <c r="I958" s="31" t="s">
        <v>957</v>
      </c>
      <c r="J958" s="31"/>
      <c r="K958" s="31" t="s">
        <v>867</v>
      </c>
      <c r="L958" s="31" t="s">
        <v>904</v>
      </c>
      <c r="M958" s="31" t="s">
        <v>958</v>
      </c>
      <c r="N958" s="31" t="s">
        <v>959</v>
      </c>
      <c r="O958" s="31" t="s">
        <v>26</v>
      </c>
      <c r="P958" s="31" t="s">
        <v>27</v>
      </c>
      <c r="Q958" s="31"/>
      <c r="R958" s="31"/>
      <c r="S958" s="31">
        <v>63</v>
      </c>
      <c r="T958" s="31"/>
      <c r="U958" s="31"/>
      <c r="V958" s="31" t="s">
        <v>871</v>
      </c>
    </row>
    <row r="959" spans="2:22" hidden="1">
      <c r="B959" s="31" t="s">
        <v>864</v>
      </c>
      <c r="C959" s="31" t="s">
        <v>210</v>
      </c>
      <c r="D959" s="31" t="s">
        <v>749</v>
      </c>
      <c r="E959" s="31">
        <v>1999</v>
      </c>
      <c r="F959" s="31" t="s">
        <v>620</v>
      </c>
      <c r="G959" s="31" t="s">
        <v>732</v>
      </c>
      <c r="H959" s="31" t="s">
        <v>865</v>
      </c>
      <c r="I959" s="31" t="s">
        <v>960</v>
      </c>
      <c r="J959" s="31"/>
      <c r="K959" s="31" t="s">
        <v>867</v>
      </c>
      <c r="L959" s="31" t="s">
        <v>887</v>
      </c>
      <c r="M959" s="31" t="s">
        <v>955</v>
      </c>
      <c r="N959" s="31" t="s">
        <v>961</v>
      </c>
      <c r="O959" s="31" t="s">
        <v>26</v>
      </c>
      <c r="P959" s="31" t="s">
        <v>27</v>
      </c>
      <c r="Q959" s="31"/>
      <c r="R959" s="31"/>
      <c r="S959" s="31">
        <v>63</v>
      </c>
      <c r="T959" s="31"/>
      <c r="U959" s="31"/>
      <c r="V959" s="31" t="s">
        <v>871</v>
      </c>
    </row>
    <row r="960" spans="2:22" hidden="1">
      <c r="B960" s="31" t="s">
        <v>864</v>
      </c>
      <c r="C960" s="31" t="s">
        <v>210</v>
      </c>
      <c r="D960" s="31" t="s">
        <v>749</v>
      </c>
      <c r="E960" s="31">
        <v>1999</v>
      </c>
      <c r="F960" s="31" t="s">
        <v>620</v>
      </c>
      <c r="G960" s="31" t="s">
        <v>732</v>
      </c>
      <c r="H960" s="31" t="s">
        <v>865</v>
      </c>
      <c r="I960" s="31" t="s">
        <v>962</v>
      </c>
      <c r="J960" s="31"/>
      <c r="K960" s="31" t="s">
        <v>962</v>
      </c>
      <c r="L960" s="31" t="s">
        <v>887</v>
      </c>
      <c r="M960" s="31" t="s">
        <v>963</v>
      </c>
      <c r="N960" s="31" t="s">
        <v>964</v>
      </c>
      <c r="O960" s="31" t="s">
        <v>26</v>
      </c>
      <c r="P960" s="31" t="s">
        <v>27</v>
      </c>
      <c r="Q960" s="31"/>
      <c r="R960" s="31"/>
      <c r="S960" s="31">
        <v>40.5</v>
      </c>
      <c r="T960" s="31"/>
      <c r="U960" s="31"/>
      <c r="V960" s="31" t="s">
        <v>871</v>
      </c>
    </row>
    <row r="961" spans="2:22" hidden="1">
      <c r="B961" s="31" t="s">
        <v>864</v>
      </c>
      <c r="C961" s="31" t="s">
        <v>210</v>
      </c>
      <c r="D961" s="31" t="s">
        <v>749</v>
      </c>
      <c r="E961" s="31">
        <v>1999</v>
      </c>
      <c r="F961" s="31" t="s">
        <v>620</v>
      </c>
      <c r="G961" s="31" t="s">
        <v>732</v>
      </c>
      <c r="H961" s="31" t="s">
        <v>865</v>
      </c>
      <c r="I961" s="31" t="s">
        <v>965</v>
      </c>
      <c r="J961" s="31"/>
      <c r="K961" s="31" t="s">
        <v>867</v>
      </c>
      <c r="L961" s="31" t="s">
        <v>868</v>
      </c>
      <c r="M961" s="31" t="s">
        <v>966</v>
      </c>
      <c r="N961" s="31" t="s">
        <v>967</v>
      </c>
      <c r="O961" s="31" t="s">
        <v>26</v>
      </c>
      <c r="P961" s="31" t="s">
        <v>27</v>
      </c>
      <c r="Q961" s="31"/>
      <c r="R961" s="31"/>
      <c r="S961" s="31">
        <v>20.5</v>
      </c>
      <c r="T961" s="31"/>
      <c r="U961" s="31"/>
      <c r="V961" s="31" t="s">
        <v>871</v>
      </c>
    </row>
    <row r="962" spans="2:22" hidden="1">
      <c r="B962" s="31" t="s">
        <v>864</v>
      </c>
      <c r="C962" s="31" t="s">
        <v>210</v>
      </c>
      <c r="D962" s="31" t="s">
        <v>749</v>
      </c>
      <c r="E962" s="31">
        <v>1999</v>
      </c>
      <c r="F962" s="31" t="s">
        <v>620</v>
      </c>
      <c r="G962" s="31" t="s">
        <v>732</v>
      </c>
      <c r="H962" s="31" t="s">
        <v>865</v>
      </c>
      <c r="I962" s="31" t="s">
        <v>968</v>
      </c>
      <c r="J962" s="31"/>
      <c r="K962" s="31" t="s">
        <v>867</v>
      </c>
      <c r="L962" s="31" t="s">
        <v>904</v>
      </c>
      <c r="M962" s="31" t="s">
        <v>969</v>
      </c>
      <c r="N962" s="31" t="s">
        <v>970</v>
      </c>
      <c r="O962" s="31" t="s">
        <v>26</v>
      </c>
      <c r="P962" s="31" t="s">
        <v>27</v>
      </c>
      <c r="Q962" s="31"/>
      <c r="R962" s="31"/>
      <c r="S962" s="31">
        <v>20.5</v>
      </c>
      <c r="T962" s="31"/>
      <c r="U962" s="31"/>
      <c r="V962" s="31" t="s">
        <v>871</v>
      </c>
    </row>
    <row r="963" spans="2:22" hidden="1">
      <c r="B963" s="31" t="s">
        <v>864</v>
      </c>
      <c r="C963" s="31" t="s">
        <v>210</v>
      </c>
      <c r="D963" s="31" t="s">
        <v>749</v>
      </c>
      <c r="E963" s="31">
        <v>1999</v>
      </c>
      <c r="F963" s="31" t="s">
        <v>620</v>
      </c>
      <c r="G963" s="31" t="s">
        <v>732</v>
      </c>
      <c r="H963" s="31" t="s">
        <v>865</v>
      </c>
      <c r="I963" s="31" t="s">
        <v>971</v>
      </c>
      <c r="J963" s="31"/>
      <c r="K963" s="31" t="s">
        <v>867</v>
      </c>
      <c r="L963" s="31" t="s">
        <v>904</v>
      </c>
      <c r="M963" s="31" t="s">
        <v>972</v>
      </c>
      <c r="N963" s="31" t="s">
        <v>973</v>
      </c>
      <c r="O963" s="31" t="s">
        <v>26</v>
      </c>
      <c r="P963" s="31" t="s">
        <v>27</v>
      </c>
      <c r="Q963" s="31"/>
      <c r="R963" s="31"/>
      <c r="S963" s="31">
        <v>40.5</v>
      </c>
      <c r="T963" s="31"/>
      <c r="U963" s="31"/>
      <c r="V963" s="31" t="s">
        <v>871</v>
      </c>
    </row>
    <row r="964" spans="2:22" hidden="1">
      <c r="B964" s="31" t="s">
        <v>864</v>
      </c>
      <c r="C964" s="31" t="s">
        <v>210</v>
      </c>
      <c r="D964" s="31" t="s">
        <v>749</v>
      </c>
      <c r="E964" s="31">
        <v>1999</v>
      </c>
      <c r="F964" s="31" t="s">
        <v>620</v>
      </c>
      <c r="G964" s="31" t="s">
        <v>732</v>
      </c>
      <c r="H964" s="31" t="s">
        <v>865</v>
      </c>
      <c r="I964" s="31" t="s">
        <v>974</v>
      </c>
      <c r="J964" s="31"/>
      <c r="K964" s="31" t="s">
        <v>867</v>
      </c>
      <c r="L964" s="31" t="s">
        <v>975</v>
      </c>
      <c r="M964" s="31" t="s">
        <v>976</v>
      </c>
      <c r="N964" s="31" t="s">
        <v>977</v>
      </c>
      <c r="O964" s="31" t="s">
        <v>26</v>
      </c>
      <c r="P964" s="31" t="s">
        <v>27</v>
      </c>
      <c r="Q964" s="31"/>
      <c r="R964" s="31"/>
      <c r="S964" s="31">
        <v>88</v>
      </c>
      <c r="T964" s="31"/>
      <c r="U964" s="31"/>
      <c r="V964" s="31" t="s">
        <v>871</v>
      </c>
    </row>
    <row r="965" spans="2:22" hidden="1">
      <c r="B965" s="31" t="s">
        <v>864</v>
      </c>
      <c r="C965" s="31" t="s">
        <v>210</v>
      </c>
      <c r="D965" s="31" t="s">
        <v>749</v>
      </c>
      <c r="E965" s="31">
        <v>1999</v>
      </c>
      <c r="F965" s="31" t="s">
        <v>620</v>
      </c>
      <c r="G965" s="31" t="s">
        <v>732</v>
      </c>
      <c r="H965" s="31" t="s">
        <v>865</v>
      </c>
      <c r="I965" s="31" t="s">
        <v>978</v>
      </c>
      <c r="J965" s="31"/>
      <c r="K965" s="31" t="s">
        <v>867</v>
      </c>
      <c r="L965" s="31" t="s">
        <v>979</v>
      </c>
      <c r="M965" s="31" t="s">
        <v>980</v>
      </c>
      <c r="N965" s="31" t="s">
        <v>981</v>
      </c>
      <c r="O965" s="31" t="s">
        <v>26</v>
      </c>
      <c r="P965" s="31" t="s">
        <v>27</v>
      </c>
      <c r="Q965" s="31"/>
      <c r="R965" s="31"/>
      <c r="S965" s="31">
        <v>40.5</v>
      </c>
      <c r="T965" s="31"/>
      <c r="U965" s="31"/>
      <c r="V965" s="31" t="s">
        <v>871</v>
      </c>
    </row>
  </sheetData>
  <autoFilter ref="A1:W965" xr:uid="{A3487280-61D2-45FF-B066-71BC6FDC48D4}">
    <filterColumn colId="1">
      <filters>
        <filter val="QUOD and BIGOT 2000"/>
      </filters>
    </filterColumn>
    <filterColumn colId="6">
      <customFilters>
        <customFilter operator="notEqual" val=" "/>
      </customFilters>
    </filterColumn>
  </autoFilter>
  <pageMargins left="0.7" right="0.7" top="0.75" bottom="0.75" header="0.3" footer="0.3"/>
  <pageSetup orientation="portrait" horizontalDpi="360" verticalDpi="36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3"/>
  <sheetViews>
    <sheetView topLeftCell="A55" workbookViewId="0">
      <selection activeCell="B72" sqref="B72"/>
    </sheetView>
  </sheetViews>
  <sheetFormatPr defaultColWidth="8.81640625" defaultRowHeight="14.5"/>
  <cols>
    <col min="2" max="2" width="255.7265625" bestFit="1" customWidth="1"/>
    <col min="3" max="3" width="8.453125" customWidth="1"/>
    <col min="4" max="4" width="255.7265625" bestFit="1" customWidth="1"/>
  </cols>
  <sheetData>
    <row r="1" spans="1:4">
      <c r="A1" s="50" t="s">
        <v>537</v>
      </c>
      <c r="B1" s="50"/>
      <c r="C1" s="50"/>
      <c r="D1" s="50"/>
    </row>
    <row r="2" spans="1:4">
      <c r="A2" t="s">
        <v>0</v>
      </c>
      <c r="B2" s="26" t="s">
        <v>535</v>
      </c>
      <c r="C2" s="26" t="s">
        <v>0</v>
      </c>
      <c r="D2" s="26" t="s">
        <v>536</v>
      </c>
    </row>
    <row r="3" spans="1:4">
      <c r="A3" s="10">
        <v>1</v>
      </c>
      <c r="B3" t="s">
        <v>347</v>
      </c>
      <c r="C3" s="8"/>
    </row>
    <row r="4" spans="1:4">
      <c r="A4" s="10">
        <v>2</v>
      </c>
      <c r="B4" s="8" t="s">
        <v>197</v>
      </c>
      <c r="C4" s="8">
        <v>1</v>
      </c>
      <c r="D4" s="8" t="s">
        <v>540</v>
      </c>
    </row>
    <row r="5" spans="1:4">
      <c r="A5" s="10">
        <v>3</v>
      </c>
      <c r="B5" s="8" t="s">
        <v>41</v>
      </c>
      <c r="C5" s="8">
        <v>2</v>
      </c>
      <c r="D5" s="8" t="s">
        <v>556</v>
      </c>
    </row>
    <row r="6" spans="1:4">
      <c r="A6" s="10">
        <v>4</v>
      </c>
      <c r="B6" s="8" t="s">
        <v>250</v>
      </c>
      <c r="C6" s="8">
        <v>3</v>
      </c>
      <c r="D6" s="8" t="s">
        <v>573</v>
      </c>
    </row>
    <row r="7" spans="1:4">
      <c r="A7" s="10">
        <v>5</v>
      </c>
      <c r="B7" s="18" t="s">
        <v>457</v>
      </c>
      <c r="C7" s="8"/>
    </row>
    <row r="8" spans="1:4">
      <c r="A8" s="10">
        <v>6</v>
      </c>
      <c r="B8" s="8" t="s">
        <v>253</v>
      </c>
      <c r="C8" s="8">
        <v>4</v>
      </c>
      <c r="D8" s="8" t="s">
        <v>574</v>
      </c>
    </row>
    <row r="9" spans="1:4">
      <c r="A9" s="10">
        <v>7</v>
      </c>
      <c r="B9" s="8" t="s">
        <v>28</v>
      </c>
      <c r="C9" s="8">
        <v>5</v>
      </c>
      <c r="D9" s="8" t="s">
        <v>575</v>
      </c>
    </row>
    <row r="10" spans="1:4">
      <c r="A10" s="10">
        <v>8</v>
      </c>
      <c r="B10" s="8" t="s">
        <v>245</v>
      </c>
      <c r="C10" s="8">
        <v>6</v>
      </c>
      <c r="D10" s="8" t="s">
        <v>576</v>
      </c>
    </row>
    <row r="11" spans="1:4">
      <c r="A11" s="10">
        <v>9</v>
      </c>
      <c r="B11" s="8" t="s">
        <v>245</v>
      </c>
      <c r="C11" s="8"/>
    </row>
    <row r="12" spans="1:4">
      <c r="A12" s="10">
        <v>10</v>
      </c>
      <c r="B12" s="15" t="s">
        <v>454</v>
      </c>
      <c r="C12" s="8"/>
    </row>
    <row r="13" spans="1:4">
      <c r="A13" s="10">
        <v>11</v>
      </c>
      <c r="B13" t="s">
        <v>395</v>
      </c>
      <c r="C13" s="8"/>
    </row>
    <row r="14" spans="1:4">
      <c r="A14" s="10">
        <v>12</v>
      </c>
      <c r="B14" s="14" t="s">
        <v>456</v>
      </c>
      <c r="C14" s="8"/>
    </row>
    <row r="15" spans="1:4">
      <c r="A15" s="10">
        <v>13</v>
      </c>
      <c r="B15" t="s">
        <v>408</v>
      </c>
      <c r="C15" s="8"/>
    </row>
    <row r="16" spans="1:4">
      <c r="A16" s="10">
        <v>14</v>
      </c>
      <c r="B16" t="s">
        <v>409</v>
      </c>
      <c r="C16" s="8"/>
    </row>
    <row r="17" spans="1:4">
      <c r="A17" s="10">
        <v>15</v>
      </c>
      <c r="B17" t="s">
        <v>364</v>
      </c>
      <c r="C17" s="8"/>
    </row>
    <row r="18" spans="1:4">
      <c r="A18" s="10">
        <v>16</v>
      </c>
      <c r="B18" t="s">
        <v>381</v>
      </c>
      <c r="C18" s="8"/>
    </row>
    <row r="19" spans="1:4">
      <c r="A19" s="10">
        <v>17</v>
      </c>
      <c r="B19" s="22" t="s">
        <v>467</v>
      </c>
      <c r="C19" s="8"/>
    </row>
    <row r="20" spans="1:4">
      <c r="A20" s="10">
        <v>18</v>
      </c>
      <c r="B20" s="22" t="s">
        <v>466</v>
      </c>
      <c r="C20" s="8"/>
    </row>
    <row r="21" spans="1:4">
      <c r="A21" s="10">
        <v>19</v>
      </c>
      <c r="B21" s="22" t="s">
        <v>452</v>
      </c>
      <c r="C21" s="8"/>
    </row>
    <row r="22" spans="1:4">
      <c r="A22" s="10">
        <v>20</v>
      </c>
      <c r="B22" s="13" t="s">
        <v>450</v>
      </c>
      <c r="C22" s="8"/>
    </row>
    <row r="23" spans="1:4">
      <c r="A23" s="10">
        <v>21</v>
      </c>
      <c r="B23" s="8" t="s">
        <v>164</v>
      </c>
      <c r="C23" s="8">
        <v>7</v>
      </c>
      <c r="D23" t="s">
        <v>577</v>
      </c>
    </row>
    <row r="24" spans="1:4">
      <c r="A24" s="10">
        <v>22</v>
      </c>
      <c r="B24" s="8" t="s">
        <v>493</v>
      </c>
      <c r="C24" s="8"/>
    </row>
    <row r="25" spans="1:4">
      <c r="A25" s="10">
        <v>23</v>
      </c>
      <c r="B25" s="8" t="s">
        <v>152</v>
      </c>
      <c r="C25" s="8">
        <v>8</v>
      </c>
      <c r="D25" s="8" t="s">
        <v>578</v>
      </c>
    </row>
    <row r="26" spans="1:4">
      <c r="A26" s="10">
        <v>24</v>
      </c>
      <c r="B26" s="8" t="s">
        <v>571</v>
      </c>
      <c r="C26" s="8"/>
    </row>
    <row r="27" spans="1:4">
      <c r="A27" s="10">
        <v>25</v>
      </c>
      <c r="B27" s="8" t="s">
        <v>541</v>
      </c>
      <c r="C27" s="8"/>
    </row>
    <row r="28" spans="1:4">
      <c r="A28" s="10">
        <v>26</v>
      </c>
      <c r="B28" s="8" t="s">
        <v>300</v>
      </c>
      <c r="C28" s="8">
        <v>9</v>
      </c>
      <c r="D28" s="8" t="s">
        <v>579</v>
      </c>
    </row>
    <row r="29" spans="1:4">
      <c r="A29" s="10">
        <v>27</v>
      </c>
      <c r="B29" t="s">
        <v>88</v>
      </c>
      <c r="C29" s="8">
        <v>10</v>
      </c>
      <c r="D29" s="8" t="s">
        <v>581</v>
      </c>
    </row>
    <row r="30" spans="1:4">
      <c r="A30" s="10">
        <v>28</v>
      </c>
      <c r="B30" s="8" t="s">
        <v>519</v>
      </c>
      <c r="C30" s="8"/>
    </row>
    <row r="31" spans="1:4">
      <c r="A31" s="10">
        <v>29</v>
      </c>
      <c r="B31" s="8" t="s">
        <v>410</v>
      </c>
      <c r="C31" s="8"/>
    </row>
    <row r="32" spans="1:4">
      <c r="A32" s="10">
        <v>30</v>
      </c>
      <c r="B32" s="8" t="s">
        <v>511</v>
      </c>
      <c r="C32" s="8"/>
    </row>
    <row r="33" spans="1:3">
      <c r="A33" s="10">
        <v>31</v>
      </c>
      <c r="B33" s="8" t="s">
        <v>478</v>
      </c>
      <c r="C33" s="8"/>
    </row>
    <row r="34" spans="1:3">
      <c r="A34" s="10">
        <v>32</v>
      </c>
      <c r="B34" s="8" t="s">
        <v>265</v>
      </c>
      <c r="C34" s="8"/>
    </row>
    <row r="35" spans="1:3">
      <c r="A35" s="10">
        <v>33</v>
      </c>
      <c r="B35" s="8" t="s">
        <v>509</v>
      </c>
      <c r="C35" s="8"/>
    </row>
    <row r="36" spans="1:3">
      <c r="A36" s="10">
        <v>34</v>
      </c>
      <c r="B36" s="8" t="s">
        <v>480</v>
      </c>
      <c r="C36" s="8"/>
    </row>
    <row r="37" spans="1:3">
      <c r="A37" s="10">
        <v>35</v>
      </c>
      <c r="B37" s="8" t="s">
        <v>480</v>
      </c>
      <c r="C37" s="8"/>
    </row>
    <row r="38" spans="1:3">
      <c r="A38" s="10">
        <v>36</v>
      </c>
      <c r="B38" s="8" t="s">
        <v>288</v>
      </c>
      <c r="C38" s="8"/>
    </row>
    <row r="39" spans="1:3">
      <c r="A39" s="10">
        <v>37</v>
      </c>
      <c r="B39" s="8" t="s">
        <v>526</v>
      </c>
      <c r="C39" s="8"/>
    </row>
    <row r="40" spans="1:3">
      <c r="A40" s="10">
        <v>38</v>
      </c>
      <c r="B40" s="8" t="s">
        <v>469</v>
      </c>
      <c r="C40" s="8"/>
    </row>
    <row r="41" spans="1:3">
      <c r="A41" s="10">
        <v>39</v>
      </c>
      <c r="B41" s="8" t="s">
        <v>281</v>
      </c>
      <c r="C41" s="8"/>
    </row>
    <row r="42" spans="1:3">
      <c r="A42" s="10">
        <v>40</v>
      </c>
      <c r="B42" s="8" t="s">
        <v>569</v>
      </c>
      <c r="C42" s="8"/>
    </row>
    <row r="43" spans="1:3">
      <c r="A43" s="10">
        <v>41</v>
      </c>
      <c r="B43" s="8" t="s">
        <v>522</v>
      </c>
      <c r="C43" s="8"/>
    </row>
    <row r="44" spans="1:3">
      <c r="A44" s="10">
        <v>42</v>
      </c>
      <c r="B44" t="s">
        <v>60</v>
      </c>
      <c r="C44" s="8"/>
    </row>
    <row r="45" spans="1:3">
      <c r="A45" s="10">
        <v>43</v>
      </c>
      <c r="B45" s="8" t="s">
        <v>128</v>
      </c>
      <c r="C45" s="8"/>
    </row>
    <row r="46" spans="1:3">
      <c r="B46" s="8" t="s">
        <v>671</v>
      </c>
    </row>
    <row r="47" spans="1:3">
      <c r="A47" s="10">
        <v>17</v>
      </c>
      <c r="B47" s="8" t="s">
        <v>314</v>
      </c>
      <c r="C47" s="8"/>
    </row>
    <row r="48" spans="1:3">
      <c r="A48" s="10">
        <v>56</v>
      </c>
      <c r="B48" s="8" t="s">
        <v>617</v>
      </c>
      <c r="C48" s="8"/>
    </row>
    <row r="49" spans="1:3">
      <c r="A49" s="10">
        <v>18</v>
      </c>
      <c r="B49" s="8" t="s">
        <v>305</v>
      </c>
      <c r="C49" s="8"/>
    </row>
    <row r="50" spans="1:3">
      <c r="A50" s="10">
        <v>54</v>
      </c>
      <c r="B50" s="13" t="s">
        <v>455</v>
      </c>
      <c r="C50" s="8"/>
    </row>
    <row r="51" spans="1:3">
      <c r="A51" s="10">
        <v>19</v>
      </c>
      <c r="B51" s="8" t="s">
        <v>189</v>
      </c>
      <c r="C51" s="8"/>
    </row>
    <row r="52" spans="1:3">
      <c r="A52" s="10">
        <v>20</v>
      </c>
      <c r="B52" s="8" t="s">
        <v>174</v>
      </c>
      <c r="C52" s="8"/>
    </row>
    <row r="53" spans="1:3">
      <c r="A53" s="10">
        <v>48</v>
      </c>
      <c r="B53" s="22" t="s">
        <v>468</v>
      </c>
      <c r="C53" s="8"/>
    </row>
    <row r="54" spans="1:3">
      <c r="A54" s="10">
        <v>25</v>
      </c>
      <c r="B54" t="s">
        <v>351</v>
      </c>
      <c r="C54" s="8"/>
    </row>
    <row r="55" spans="1:3">
      <c r="A55" s="10">
        <v>21</v>
      </c>
      <c r="B55" s="8" t="s">
        <v>276</v>
      </c>
      <c r="C55" s="8"/>
    </row>
    <row r="56" spans="1:3">
      <c r="A56" s="10">
        <v>30</v>
      </c>
      <c r="B56" t="s">
        <v>380</v>
      </c>
      <c r="C56" s="8"/>
    </row>
    <row r="57" spans="1:3">
      <c r="A57" s="10">
        <v>49</v>
      </c>
      <c r="B57" s="13" t="s">
        <v>449</v>
      </c>
      <c r="C57" s="8"/>
    </row>
    <row r="58" spans="1:3">
      <c r="A58" s="10">
        <v>22</v>
      </c>
      <c r="B58" s="8" t="s">
        <v>272</v>
      </c>
      <c r="C58" s="8"/>
    </row>
    <row r="59" spans="1:3">
      <c r="A59" s="10">
        <v>26</v>
      </c>
      <c r="B59" t="s">
        <v>358</v>
      </c>
      <c r="C59" s="8"/>
    </row>
    <row r="60" spans="1:3">
      <c r="A60" s="10">
        <v>69</v>
      </c>
      <c r="B60" s="8" t="s">
        <v>580</v>
      </c>
      <c r="C60" s="8"/>
    </row>
    <row r="61" spans="1:3">
      <c r="A61" s="10">
        <v>67</v>
      </c>
      <c r="B61" s="8" t="s">
        <v>554</v>
      </c>
      <c r="C61" s="8"/>
    </row>
    <row r="62" spans="1:3">
      <c r="B62" s="8" t="s">
        <v>704</v>
      </c>
    </row>
    <row r="63" spans="1:3">
      <c r="A63" s="10">
        <v>43</v>
      </c>
      <c r="B63" s="22" t="s">
        <v>464</v>
      </c>
      <c r="C63" s="8"/>
    </row>
    <row r="64" spans="1:3">
      <c r="A64" s="10">
        <v>45</v>
      </c>
      <c r="B64" s="22" t="s">
        <v>465</v>
      </c>
      <c r="C64" s="8"/>
    </row>
    <row r="65" spans="1:3">
      <c r="A65" s="10">
        <v>31</v>
      </c>
      <c r="B65" t="s">
        <v>382</v>
      </c>
      <c r="C65" s="8"/>
    </row>
    <row r="66" spans="1:3">
      <c r="A66" s="10">
        <v>32</v>
      </c>
      <c r="B66" t="s">
        <v>383</v>
      </c>
      <c r="C66" s="8"/>
    </row>
    <row r="67" spans="1:3">
      <c r="A67" s="10">
        <v>33</v>
      </c>
      <c r="B67" t="s">
        <v>384</v>
      </c>
      <c r="C67" s="8"/>
    </row>
    <row r="68" spans="1:3">
      <c r="A68" s="10">
        <v>34</v>
      </c>
      <c r="B68" t="s">
        <v>385</v>
      </c>
      <c r="C68" s="8"/>
    </row>
    <row r="69" spans="1:3">
      <c r="A69" s="10">
        <v>35</v>
      </c>
      <c r="B69" t="s">
        <v>386</v>
      </c>
      <c r="C69" s="8"/>
    </row>
    <row r="70" spans="1:3">
      <c r="A70" s="10">
        <v>36</v>
      </c>
      <c r="B70" t="s">
        <v>387</v>
      </c>
      <c r="C70" s="8"/>
    </row>
    <row r="71" spans="1:3">
      <c r="A71" s="10">
        <v>37</v>
      </c>
      <c r="B71" t="s">
        <v>388</v>
      </c>
      <c r="C71" s="8"/>
    </row>
    <row r="72" spans="1:3">
      <c r="A72" s="10">
        <v>38</v>
      </c>
      <c r="B72" t="s">
        <v>389</v>
      </c>
      <c r="C72" s="8"/>
    </row>
    <row r="73" spans="1:3">
      <c r="A73" s="10">
        <v>39</v>
      </c>
      <c r="B73" t="s">
        <v>390</v>
      </c>
      <c r="C73" s="8"/>
    </row>
  </sheetData>
  <autoFilter ref="A2:B60" xr:uid="{00000000-0009-0000-0000-000009000000}"/>
  <sortState xmlns:xlrd2="http://schemas.microsoft.com/office/spreadsheetml/2017/richdata2" ref="A3:D73">
    <sortCondition ref="B3"/>
  </sortState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Results tables</vt:lpstr>
      <vt:lpstr>Regional</vt:lpstr>
      <vt:lpstr>List of Ref.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2024-11-23T04:56:43Z</dcterms:modified>
</cp:coreProperties>
</file>